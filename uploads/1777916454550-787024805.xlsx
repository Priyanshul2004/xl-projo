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riyanshul\Downloads\"/>
    </mc:Choice>
  </mc:AlternateContent>
  <xr:revisionPtr revIDLastSave="0" documentId="13_ncr:1_{4371DC4D-BCB2-45DA-BD41-9E2D58C34BD1}" xr6:coauthVersionLast="47" xr6:coauthVersionMax="47" xr10:uidLastSave="{00000000-0000-0000-0000-000000000000}"/>
  <bookViews>
    <workbookView xWindow="-108" yWindow="-108" windowWidth="23256" windowHeight="13896" tabRatio="884" activeTab="5" xr2:uid="{00000000-000D-0000-FFFF-FFFF00000000}"/>
  </bookViews>
  <sheets>
    <sheet name="AdvanceBucket" sheetId="11" r:id="rId1"/>
    <sheet name="CapitalLendify" sheetId="12" r:id="rId2"/>
    <sheet name="FundMestro" sheetId="13" r:id="rId3"/>
    <sheet name="NextDollarPro" sheetId="14" r:id="rId4"/>
    <sheet name="FirstAssistLends" sheetId="9" r:id="rId5"/>
    <sheet name="CapitalPros" sheetId="10" r:id="rId6"/>
    <sheet name="SmartPayBuddy" sheetId="5" r:id="rId7"/>
    <sheet name="TapCashier" sheetId="6" r:id="rId8"/>
    <sheet name="SmartLendings" sheetId="7" r:id="rId9"/>
    <sheet name="Reports" sheetId="3" r:id="rId10"/>
    <sheet name="Ongage" sheetId="1" r:id="rId11"/>
    <sheet name="Customer.io" sheetId="2" r:id="rId12"/>
    <sheet name="Cashflowconnects_Gmail" sheetId="4" r:id="rId13"/>
    <sheet name="SmartPayBuddy_Gmail" sheetId="8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37" i="10" l="1"/>
  <c r="Q337" i="10"/>
  <c r="R336" i="10"/>
  <c r="Q336" i="10"/>
  <c r="R335" i="10"/>
  <c r="Q335" i="10"/>
  <c r="R334" i="10"/>
  <c r="Q334" i="10"/>
  <c r="AB333" i="10"/>
  <c r="AA333" i="10"/>
  <c r="Z333" i="10"/>
  <c r="R333" i="10"/>
  <c r="Q333" i="10"/>
  <c r="R332" i="10"/>
  <c r="Q332" i="10"/>
  <c r="R331" i="10"/>
  <c r="Q331" i="10"/>
  <c r="R330" i="10"/>
  <c r="Q330" i="10"/>
  <c r="R329" i="10"/>
  <c r="Q329" i="10"/>
  <c r="R328" i="10"/>
  <c r="Q328" i="10"/>
  <c r="R327" i="10"/>
  <c r="Q327" i="10"/>
  <c r="AB326" i="10"/>
  <c r="AA326" i="10"/>
  <c r="Z326" i="10"/>
  <c r="R326" i="10"/>
  <c r="Q326" i="10"/>
  <c r="R325" i="10"/>
  <c r="Q325" i="10"/>
  <c r="R324" i="10"/>
  <c r="Q324" i="10"/>
  <c r="R323" i="10"/>
  <c r="Q323" i="10"/>
  <c r="R322" i="10"/>
  <c r="Q322" i="10"/>
  <c r="R321" i="10"/>
  <c r="Q321" i="10"/>
  <c r="R320" i="10"/>
  <c r="Q320" i="10"/>
  <c r="R319" i="10"/>
  <c r="Q319" i="10"/>
  <c r="R318" i="10"/>
  <c r="Q318" i="10"/>
  <c r="R317" i="10"/>
  <c r="Q317" i="10"/>
  <c r="R316" i="10"/>
  <c r="Q316" i="10"/>
  <c r="R315" i="10"/>
  <c r="Q315" i="10"/>
  <c r="R314" i="10"/>
  <c r="Q314" i="10"/>
  <c r="R313" i="10"/>
  <c r="Q313" i="10"/>
  <c r="R312" i="10"/>
  <c r="Q312" i="10"/>
  <c r="R206" i="7"/>
  <c r="Q206" i="7"/>
  <c r="R203" i="7"/>
  <c r="Q203" i="7"/>
  <c r="R207" i="7"/>
  <c r="Q207" i="7"/>
  <c r="R205" i="7"/>
  <c r="Q205" i="7"/>
  <c r="R204" i="7"/>
  <c r="Q204" i="7"/>
  <c r="R201" i="7"/>
  <c r="Q201" i="7"/>
  <c r="R200" i="7"/>
  <c r="Q200" i="7"/>
  <c r="R199" i="7"/>
  <c r="Q199" i="7"/>
  <c r="R198" i="7"/>
  <c r="Q198" i="7"/>
  <c r="R197" i="7"/>
  <c r="Q197" i="7"/>
  <c r="R196" i="7"/>
  <c r="Q196" i="7"/>
  <c r="R195" i="7"/>
  <c r="Q195" i="7"/>
  <c r="R194" i="7"/>
  <c r="Q194" i="7"/>
  <c r="R193" i="7"/>
  <c r="Q193" i="7"/>
  <c r="R192" i="7"/>
  <c r="Q192" i="7"/>
  <c r="R191" i="7"/>
  <c r="Q191" i="7"/>
  <c r="R190" i="7"/>
  <c r="Q190" i="7"/>
  <c r="R189" i="7"/>
  <c r="Q189" i="7"/>
  <c r="R188" i="7"/>
  <c r="Q188" i="7"/>
  <c r="R202" i="6"/>
  <c r="Q202" i="6"/>
  <c r="R205" i="6"/>
  <c r="Q205" i="6"/>
  <c r="R203" i="6"/>
  <c r="Q203" i="6"/>
  <c r="R207" i="6"/>
  <c r="Q207" i="6"/>
  <c r="R206" i="6"/>
  <c r="Q206" i="6"/>
  <c r="R204" i="6"/>
  <c r="Q204" i="6"/>
  <c r="R201" i="6"/>
  <c r="Q201" i="6"/>
  <c r="R200" i="6"/>
  <c r="Q200" i="6"/>
  <c r="R199" i="6"/>
  <c r="Q199" i="6"/>
  <c r="R198" i="6"/>
  <c r="Q198" i="6"/>
  <c r="R197" i="6"/>
  <c r="Q197" i="6"/>
  <c r="R196" i="6"/>
  <c r="Q196" i="6"/>
  <c r="R195" i="6"/>
  <c r="Q195" i="6"/>
  <c r="R194" i="6"/>
  <c r="Q194" i="6"/>
  <c r="R193" i="6"/>
  <c r="Q193" i="6"/>
  <c r="R192" i="6"/>
  <c r="Q192" i="6"/>
  <c r="AA191" i="6"/>
  <c r="Z191" i="6"/>
  <c r="Y191" i="6"/>
  <c r="R191" i="6"/>
  <c r="Q191" i="6"/>
  <c r="R190" i="6"/>
  <c r="Q190" i="6"/>
  <c r="R189" i="6"/>
  <c r="Q189" i="6"/>
  <c r="R188" i="6"/>
  <c r="Q188" i="6"/>
  <c r="R207" i="5"/>
  <c r="Q207" i="5"/>
  <c r="R206" i="5"/>
  <c r="Q206" i="5"/>
  <c r="R203" i="5"/>
  <c r="Q203" i="5"/>
  <c r="R201" i="5"/>
  <c r="Q201" i="5"/>
  <c r="R200" i="5"/>
  <c r="Q200" i="5"/>
  <c r="R199" i="5"/>
  <c r="Q199" i="5"/>
  <c r="R198" i="5"/>
  <c r="Q198" i="5"/>
  <c r="R197" i="5"/>
  <c r="Q197" i="5"/>
  <c r="R196" i="5"/>
  <c r="Q196" i="5"/>
  <c r="R195" i="5"/>
  <c r="Q195" i="5"/>
  <c r="R194" i="5"/>
  <c r="Q194" i="5"/>
  <c r="R193" i="5"/>
  <c r="Q193" i="5"/>
  <c r="R192" i="5"/>
  <c r="Q192" i="5"/>
  <c r="R191" i="5"/>
  <c r="Q191" i="5"/>
  <c r="R190" i="5"/>
  <c r="Q190" i="5"/>
  <c r="R189" i="5"/>
  <c r="Q189" i="5"/>
  <c r="R188" i="5"/>
  <c r="Q188" i="5"/>
  <c r="R361" i="9"/>
  <c r="Q361" i="9"/>
  <c r="R360" i="9"/>
  <c r="Q360" i="9"/>
  <c r="R359" i="9"/>
  <c r="Q359" i="9"/>
  <c r="R358" i="9"/>
  <c r="Q358" i="9"/>
  <c r="AB357" i="9"/>
  <c r="AA357" i="9"/>
  <c r="Z357" i="9"/>
  <c r="R357" i="9"/>
  <c r="Q357" i="9"/>
  <c r="R356" i="9"/>
  <c r="Q356" i="9"/>
  <c r="R355" i="9"/>
  <c r="Q355" i="9"/>
  <c r="R354" i="9"/>
  <c r="Q354" i="9"/>
  <c r="R353" i="9"/>
  <c r="Q353" i="9"/>
  <c r="R352" i="9"/>
  <c r="Q352" i="9"/>
  <c r="R351" i="9"/>
  <c r="Q351" i="9"/>
  <c r="AB350" i="9"/>
  <c r="AA350" i="9"/>
  <c r="Z350" i="9"/>
  <c r="R350" i="9"/>
  <c r="Q350" i="9"/>
  <c r="R349" i="9"/>
  <c r="Q349" i="9"/>
  <c r="R348" i="9"/>
  <c r="Q348" i="9"/>
  <c r="R347" i="9"/>
  <c r="Q347" i="9"/>
  <c r="R346" i="9"/>
  <c r="Q346" i="9"/>
  <c r="R345" i="9"/>
  <c r="Q345" i="9"/>
  <c r="R344" i="9"/>
  <c r="Q344" i="9"/>
  <c r="R343" i="9"/>
  <c r="Q343" i="9"/>
  <c r="R342" i="9"/>
  <c r="Q342" i="9"/>
  <c r="R341" i="9"/>
  <c r="Q341" i="9"/>
  <c r="R340" i="9"/>
  <c r="Q340" i="9"/>
  <c r="R339" i="9"/>
  <c r="Q339" i="9"/>
  <c r="R338" i="9"/>
  <c r="Q338" i="9"/>
  <c r="R337" i="9"/>
  <c r="Q337" i="9"/>
  <c r="R336" i="9"/>
  <c r="Q336" i="9"/>
  <c r="R335" i="9"/>
  <c r="Q335" i="9"/>
  <c r="W85" i="14"/>
  <c r="V85" i="14"/>
  <c r="U85" i="14"/>
  <c r="S85" i="14"/>
  <c r="R85" i="14"/>
  <c r="S84" i="14"/>
  <c r="R84" i="14"/>
  <c r="S83" i="14"/>
  <c r="R83" i="14"/>
  <c r="S82" i="14"/>
  <c r="R82" i="14"/>
  <c r="S81" i="14"/>
  <c r="R81" i="14"/>
  <c r="S80" i="14"/>
  <c r="R80" i="14"/>
  <c r="S79" i="14"/>
  <c r="R79" i="14"/>
  <c r="S78" i="14"/>
  <c r="R78" i="14"/>
  <c r="W77" i="14"/>
  <c r="V77" i="14"/>
  <c r="U77" i="14"/>
  <c r="S77" i="14"/>
  <c r="R77" i="14"/>
  <c r="S76" i="14"/>
  <c r="R76" i="14"/>
  <c r="S75" i="14"/>
  <c r="R75" i="14"/>
  <c r="S74" i="14"/>
  <c r="R74" i="14"/>
  <c r="S73" i="14"/>
  <c r="R73" i="14"/>
  <c r="S72" i="14"/>
  <c r="R72" i="14"/>
  <c r="S71" i="14"/>
  <c r="R71" i="14"/>
  <c r="S85" i="13"/>
  <c r="R85" i="13"/>
  <c r="S84" i="13"/>
  <c r="R84" i="13"/>
  <c r="S83" i="13"/>
  <c r="R83" i="13"/>
  <c r="S82" i="13"/>
  <c r="R82" i="13"/>
  <c r="S81" i="13"/>
  <c r="R81" i="13"/>
  <c r="S80" i="13"/>
  <c r="R80" i="13"/>
  <c r="S79" i="13"/>
  <c r="R79" i="13"/>
  <c r="S78" i="13"/>
  <c r="R78" i="13"/>
  <c r="S77" i="13"/>
  <c r="R77" i="13"/>
  <c r="S76" i="13"/>
  <c r="R76" i="13"/>
  <c r="S75" i="13"/>
  <c r="R75" i="13"/>
  <c r="S74" i="13"/>
  <c r="R74" i="13"/>
  <c r="S73" i="13"/>
  <c r="R73" i="13"/>
  <c r="S72" i="13"/>
  <c r="R72" i="13"/>
  <c r="S71" i="13"/>
  <c r="R71" i="13"/>
  <c r="S85" i="12"/>
  <c r="R85" i="12"/>
  <c r="S84" i="12"/>
  <c r="R84" i="12"/>
  <c r="S83" i="12"/>
  <c r="R83" i="12"/>
  <c r="S82" i="12"/>
  <c r="R82" i="12"/>
  <c r="S81" i="12"/>
  <c r="R81" i="12"/>
  <c r="S80" i="12"/>
  <c r="R80" i="12"/>
  <c r="S79" i="12"/>
  <c r="R79" i="12"/>
  <c r="S78" i="12"/>
  <c r="R78" i="12"/>
  <c r="S77" i="12"/>
  <c r="R77" i="12"/>
  <c r="S76" i="12"/>
  <c r="R76" i="12"/>
  <c r="S75" i="12"/>
  <c r="R75" i="12"/>
  <c r="S74" i="12"/>
  <c r="R74" i="12"/>
  <c r="S73" i="12"/>
  <c r="R73" i="12"/>
  <c r="S72" i="12"/>
  <c r="R72" i="12"/>
  <c r="S71" i="12"/>
  <c r="R71" i="12"/>
  <c r="AE245" i="10"/>
  <c r="AF245" i="10"/>
  <c r="AG245" i="10"/>
  <c r="AA268" i="9"/>
  <c r="AB268" i="9"/>
  <c r="AC268" i="9"/>
  <c r="V29" i="14"/>
  <c r="W29" i="14"/>
  <c r="X29" i="14"/>
  <c r="U28" i="13"/>
  <c r="V28" i="13"/>
  <c r="W28" i="13"/>
  <c r="U28" i="12"/>
  <c r="V28" i="12"/>
  <c r="W28" i="12"/>
  <c r="Z70" i="11"/>
  <c r="AA70" i="11"/>
  <c r="AB70" i="11"/>
  <c r="Z306" i="10"/>
  <c r="AA306" i="10"/>
  <c r="AB306" i="10"/>
  <c r="Z329" i="9"/>
  <c r="AA329" i="9"/>
  <c r="AB329" i="9"/>
  <c r="U69" i="14"/>
  <c r="V69" i="14"/>
  <c r="W69" i="14"/>
  <c r="V70" i="11"/>
  <c r="W70" i="11"/>
  <c r="X70" i="11"/>
  <c r="Z299" i="10"/>
  <c r="AA299" i="10"/>
  <c r="AB299" i="10"/>
  <c r="Z322" i="9"/>
  <c r="AA322" i="9"/>
  <c r="AB322" i="9"/>
  <c r="U61" i="14"/>
  <c r="V61" i="14"/>
  <c r="W61" i="14"/>
  <c r="Y169" i="6"/>
  <c r="Z169" i="6"/>
  <c r="AA169" i="6"/>
  <c r="V55" i="11"/>
  <c r="W55" i="11"/>
  <c r="X55" i="11"/>
  <c r="Y277" i="10"/>
  <c r="Z277" i="10"/>
  <c r="AA277" i="10"/>
  <c r="Z298" i="9"/>
  <c r="AA298" i="9"/>
  <c r="AB298" i="9"/>
  <c r="U51" i="14"/>
  <c r="V51" i="14"/>
  <c r="W51" i="14"/>
  <c r="V48" i="13"/>
  <c r="W48" i="13"/>
  <c r="X48" i="13"/>
  <c r="V44" i="12"/>
  <c r="W44" i="12"/>
  <c r="X44" i="12"/>
  <c r="Y269" i="10"/>
  <c r="Z269" i="10"/>
  <c r="AA269" i="10"/>
  <c r="Z290" i="9"/>
  <c r="AA290" i="9"/>
  <c r="AB290" i="9"/>
  <c r="U45" i="14"/>
  <c r="V45" i="14"/>
  <c r="W45" i="14"/>
  <c r="S91" i="11"/>
  <c r="R91" i="11"/>
  <c r="S90" i="11"/>
  <c r="R90" i="11"/>
  <c r="S89" i="11"/>
  <c r="R89" i="11"/>
  <c r="S88" i="11"/>
  <c r="R88" i="11"/>
  <c r="S87" i="11"/>
  <c r="R87" i="11"/>
  <c r="S86" i="11"/>
  <c r="R86" i="11"/>
  <c r="S85" i="11"/>
  <c r="R85" i="11"/>
  <c r="S84" i="11"/>
  <c r="R84" i="11"/>
  <c r="S83" i="11"/>
  <c r="R83" i="11"/>
  <c r="S82" i="11"/>
  <c r="R82" i="11"/>
  <c r="S81" i="11"/>
  <c r="R81" i="11"/>
  <c r="S80" i="11"/>
  <c r="R80" i="11"/>
  <c r="S79" i="11"/>
  <c r="R79" i="11"/>
  <c r="S78" i="11"/>
  <c r="R78" i="11"/>
  <c r="S77" i="11"/>
  <c r="R77" i="11"/>
  <c r="S76" i="11"/>
  <c r="R76" i="11"/>
  <c r="R65" i="13"/>
  <c r="S65" i="13"/>
  <c r="R64" i="13"/>
  <c r="S64" i="13"/>
  <c r="Q264" i="10"/>
  <c r="R302" i="9"/>
  <c r="Q302" i="9"/>
  <c r="Q280" i="9"/>
  <c r="S49" i="14"/>
  <c r="R49" i="14"/>
  <c r="S48" i="14"/>
  <c r="R48" i="14"/>
  <c r="S49" i="13"/>
  <c r="R49" i="13"/>
  <c r="S48" i="13"/>
  <c r="R48" i="13"/>
  <c r="R33" i="14"/>
  <c r="S33" i="14"/>
  <c r="R34" i="14"/>
  <c r="S34" i="14"/>
  <c r="R186" i="7"/>
  <c r="Q186" i="7"/>
  <c r="R185" i="7"/>
  <c r="Q185" i="7"/>
  <c r="R184" i="7"/>
  <c r="Q184" i="7"/>
  <c r="R183" i="7"/>
  <c r="Q183" i="7"/>
  <c r="R182" i="7"/>
  <c r="Q182" i="7"/>
  <c r="R181" i="7"/>
  <c r="Q181" i="7"/>
  <c r="R180" i="7"/>
  <c r="Q180" i="7"/>
  <c r="R179" i="7"/>
  <c r="Q179" i="7"/>
  <c r="R178" i="7"/>
  <c r="Q178" i="7"/>
  <c r="R177" i="7"/>
  <c r="Q177" i="7"/>
  <c r="R176" i="7"/>
  <c r="Q176" i="7"/>
  <c r="R175" i="7"/>
  <c r="Q175" i="7"/>
  <c r="R174" i="7"/>
  <c r="Q174" i="7"/>
  <c r="R173" i="7"/>
  <c r="Q173" i="7"/>
  <c r="R172" i="7"/>
  <c r="Q172" i="7"/>
  <c r="R171" i="7"/>
  <c r="Q171" i="7"/>
  <c r="R170" i="7"/>
  <c r="Q170" i="7"/>
  <c r="R169" i="7"/>
  <c r="Q169" i="7"/>
  <c r="R168" i="7"/>
  <c r="Q168" i="7"/>
  <c r="R167" i="7"/>
  <c r="Q167" i="7"/>
  <c r="R166" i="7"/>
  <c r="Q166" i="7"/>
  <c r="R164" i="7"/>
  <c r="Q164" i="7"/>
  <c r="R163" i="7"/>
  <c r="Q163" i="7"/>
  <c r="R162" i="7"/>
  <c r="Q162" i="7"/>
  <c r="R161" i="7"/>
  <c r="Q161" i="7"/>
  <c r="R160" i="7"/>
  <c r="Q160" i="7"/>
  <c r="R159" i="7"/>
  <c r="Q159" i="7"/>
  <c r="R158" i="7"/>
  <c r="Q158" i="7"/>
  <c r="R157" i="7"/>
  <c r="Q157" i="7"/>
  <c r="R156" i="7"/>
  <c r="Q156" i="7"/>
  <c r="R155" i="7"/>
  <c r="Q155" i="7"/>
  <c r="R154" i="7"/>
  <c r="Q154" i="7"/>
  <c r="R153" i="7"/>
  <c r="Q153" i="7"/>
  <c r="R152" i="7"/>
  <c r="Q152" i="7"/>
  <c r="R151" i="7"/>
  <c r="Q151" i="7"/>
  <c r="R150" i="7"/>
  <c r="Q150" i="7"/>
  <c r="R149" i="7"/>
  <c r="Q149" i="7"/>
  <c r="R148" i="7"/>
  <c r="Q148" i="7"/>
  <c r="R147" i="7"/>
  <c r="Q147" i="7"/>
  <c r="R146" i="7"/>
  <c r="Q146" i="7"/>
  <c r="R145" i="7"/>
  <c r="Q145" i="7"/>
  <c r="R143" i="7"/>
  <c r="Q143" i="7"/>
  <c r="R142" i="7"/>
  <c r="Q142" i="7"/>
  <c r="R141" i="7"/>
  <c r="Q141" i="7"/>
  <c r="R140" i="7"/>
  <c r="Q140" i="7"/>
  <c r="R139" i="7"/>
  <c r="Q139" i="7"/>
  <c r="R138" i="7"/>
  <c r="Q138" i="7"/>
  <c r="R137" i="7"/>
  <c r="Q137" i="7"/>
  <c r="R136" i="7"/>
  <c r="Q136" i="7"/>
  <c r="R135" i="7"/>
  <c r="Q135" i="7"/>
  <c r="R134" i="7"/>
  <c r="Q134" i="7"/>
  <c r="R133" i="7"/>
  <c r="Q133" i="7"/>
  <c r="R132" i="7"/>
  <c r="Q132" i="7"/>
  <c r="R131" i="7"/>
  <c r="Q131" i="7"/>
  <c r="R130" i="7"/>
  <c r="Q130" i="7"/>
  <c r="R129" i="7"/>
  <c r="Q129" i="7"/>
  <c r="R128" i="7"/>
  <c r="Q128" i="7"/>
  <c r="R127" i="7"/>
  <c r="Q127" i="7"/>
  <c r="R126" i="7"/>
  <c r="Q126" i="7"/>
  <c r="R125" i="7"/>
  <c r="Q125" i="7"/>
  <c r="R186" i="6"/>
  <c r="Q186" i="6"/>
  <c r="R185" i="6"/>
  <c r="Q185" i="6"/>
  <c r="R184" i="6"/>
  <c r="Q184" i="6"/>
  <c r="R183" i="6"/>
  <c r="Q183" i="6"/>
  <c r="R182" i="6"/>
  <c r="Q182" i="6"/>
  <c r="R181" i="6"/>
  <c r="Q181" i="6"/>
  <c r="R180" i="6"/>
  <c r="Q180" i="6"/>
  <c r="R179" i="6"/>
  <c r="Q179" i="6"/>
  <c r="R178" i="6"/>
  <c r="Q178" i="6"/>
  <c r="R177" i="6"/>
  <c r="Q177" i="6"/>
  <c r="R176" i="6"/>
  <c r="Q176" i="6"/>
  <c r="R175" i="6"/>
  <c r="Q175" i="6"/>
  <c r="R174" i="6"/>
  <c r="Q174" i="6"/>
  <c r="R173" i="6"/>
  <c r="Q173" i="6"/>
  <c r="R172" i="6"/>
  <c r="Q172" i="6"/>
  <c r="R171" i="6"/>
  <c r="Q171" i="6"/>
  <c r="R170" i="6"/>
  <c r="Q170" i="6"/>
  <c r="R169" i="6"/>
  <c r="Q169" i="6"/>
  <c r="R168" i="6"/>
  <c r="Q168" i="6"/>
  <c r="R167" i="6"/>
  <c r="Q167" i="6"/>
  <c r="R166" i="6"/>
  <c r="Q166" i="6"/>
  <c r="R164" i="6"/>
  <c r="Q164" i="6"/>
  <c r="R163" i="6"/>
  <c r="Q163" i="6"/>
  <c r="R162" i="6"/>
  <c r="Q162" i="6"/>
  <c r="R161" i="6"/>
  <c r="Q161" i="6"/>
  <c r="R160" i="6"/>
  <c r="Q160" i="6"/>
  <c r="R159" i="6"/>
  <c r="Q159" i="6"/>
  <c r="R158" i="6"/>
  <c r="Q158" i="6"/>
  <c r="R157" i="6"/>
  <c r="Q157" i="6"/>
  <c r="R156" i="6"/>
  <c r="Q156" i="6"/>
  <c r="R155" i="6"/>
  <c r="Q155" i="6"/>
  <c r="R154" i="6"/>
  <c r="Q154" i="6"/>
  <c r="R153" i="6"/>
  <c r="Q153" i="6"/>
  <c r="R152" i="6"/>
  <c r="Q152" i="6"/>
  <c r="R151" i="6"/>
  <c r="Q151" i="6"/>
  <c r="R150" i="6"/>
  <c r="Q150" i="6"/>
  <c r="R149" i="6"/>
  <c r="Q149" i="6"/>
  <c r="R148" i="6"/>
  <c r="Q148" i="6"/>
  <c r="R147" i="6"/>
  <c r="Q147" i="6"/>
  <c r="R146" i="6"/>
  <c r="Q146" i="6"/>
  <c r="R145" i="6"/>
  <c r="Q145" i="6"/>
  <c r="R143" i="6"/>
  <c r="Q143" i="6"/>
  <c r="R142" i="6"/>
  <c r="Q142" i="6"/>
  <c r="R141" i="6"/>
  <c r="Q141" i="6"/>
  <c r="R140" i="6"/>
  <c r="Q140" i="6"/>
  <c r="R139" i="6"/>
  <c r="Q139" i="6"/>
  <c r="R138" i="6"/>
  <c r="Q138" i="6"/>
  <c r="R137" i="6"/>
  <c r="Q137" i="6"/>
  <c r="R136" i="6"/>
  <c r="Q136" i="6"/>
  <c r="R135" i="6"/>
  <c r="Q135" i="6"/>
  <c r="R134" i="6"/>
  <c r="Q134" i="6"/>
  <c r="R133" i="6"/>
  <c r="Q133" i="6"/>
  <c r="R132" i="6"/>
  <c r="Q132" i="6"/>
  <c r="R131" i="6"/>
  <c r="Q131" i="6"/>
  <c r="R130" i="6"/>
  <c r="Q130" i="6"/>
  <c r="R129" i="6"/>
  <c r="Q129" i="6"/>
  <c r="R128" i="6"/>
  <c r="Q128" i="6"/>
  <c r="R127" i="6"/>
  <c r="Q127" i="6"/>
  <c r="R126" i="6"/>
  <c r="Q126" i="6"/>
  <c r="R125" i="6"/>
  <c r="Q125" i="6"/>
  <c r="R186" i="5"/>
  <c r="Q186" i="5"/>
  <c r="R185" i="5"/>
  <c r="Q185" i="5"/>
  <c r="R184" i="5"/>
  <c r="Q184" i="5"/>
  <c r="R183" i="5"/>
  <c r="Q183" i="5"/>
  <c r="R182" i="5"/>
  <c r="Q182" i="5"/>
  <c r="R181" i="5"/>
  <c r="Q181" i="5"/>
  <c r="R180" i="5"/>
  <c r="Q180" i="5"/>
  <c r="R179" i="5"/>
  <c r="Q179" i="5"/>
  <c r="R178" i="5"/>
  <c r="Q178" i="5"/>
  <c r="R177" i="5"/>
  <c r="Q177" i="5"/>
  <c r="R176" i="5"/>
  <c r="Q176" i="5"/>
  <c r="R175" i="5"/>
  <c r="Q175" i="5"/>
  <c r="R174" i="5"/>
  <c r="Q174" i="5"/>
  <c r="R173" i="5"/>
  <c r="Q173" i="5"/>
  <c r="R172" i="5"/>
  <c r="Q172" i="5"/>
  <c r="R171" i="5"/>
  <c r="Q171" i="5"/>
  <c r="R170" i="5"/>
  <c r="Q170" i="5"/>
  <c r="R169" i="5"/>
  <c r="Q169" i="5"/>
  <c r="R168" i="5"/>
  <c r="Q168" i="5"/>
  <c r="R167" i="5"/>
  <c r="Q167" i="5"/>
  <c r="R166" i="5"/>
  <c r="Q166" i="5"/>
  <c r="R164" i="5"/>
  <c r="Q164" i="5"/>
  <c r="R163" i="5"/>
  <c r="Q163" i="5"/>
  <c r="R162" i="5"/>
  <c r="Q162" i="5"/>
  <c r="R161" i="5"/>
  <c r="Q161" i="5"/>
  <c r="R160" i="5"/>
  <c r="Q160" i="5"/>
  <c r="R159" i="5"/>
  <c r="Q159" i="5"/>
  <c r="R158" i="5"/>
  <c r="Q158" i="5"/>
  <c r="R157" i="5"/>
  <c r="Q157" i="5"/>
  <c r="R156" i="5"/>
  <c r="Q156" i="5"/>
  <c r="R155" i="5"/>
  <c r="Q155" i="5"/>
  <c r="R154" i="5"/>
  <c r="Q154" i="5"/>
  <c r="R153" i="5"/>
  <c r="Q153" i="5"/>
  <c r="R152" i="5"/>
  <c r="Q152" i="5"/>
  <c r="R151" i="5"/>
  <c r="Q151" i="5"/>
  <c r="R150" i="5"/>
  <c r="Q150" i="5"/>
  <c r="R149" i="5"/>
  <c r="Q149" i="5"/>
  <c r="R148" i="5"/>
  <c r="Q148" i="5"/>
  <c r="R147" i="5"/>
  <c r="Q147" i="5"/>
  <c r="R146" i="5"/>
  <c r="Q146" i="5"/>
  <c r="R145" i="5"/>
  <c r="Q145" i="5"/>
  <c r="R143" i="5"/>
  <c r="Q143" i="5"/>
  <c r="R142" i="5"/>
  <c r="Q142" i="5"/>
  <c r="AA141" i="5"/>
  <c r="Z141" i="5"/>
  <c r="Y141" i="5"/>
  <c r="R141" i="5"/>
  <c r="Q141" i="5"/>
  <c r="R140" i="5"/>
  <c r="Q140" i="5"/>
  <c r="R139" i="5"/>
  <c r="Q139" i="5"/>
  <c r="R138" i="5"/>
  <c r="Q138" i="5"/>
  <c r="R137" i="5"/>
  <c r="Q137" i="5"/>
  <c r="R136" i="5"/>
  <c r="Q136" i="5"/>
  <c r="R135" i="5"/>
  <c r="Q135" i="5"/>
  <c r="R134" i="5"/>
  <c r="Q134" i="5"/>
  <c r="R133" i="5"/>
  <c r="Q133" i="5"/>
  <c r="R132" i="5"/>
  <c r="Q132" i="5"/>
  <c r="R131" i="5"/>
  <c r="Q131" i="5"/>
  <c r="R130" i="5"/>
  <c r="Q130" i="5"/>
  <c r="R129" i="5"/>
  <c r="Q129" i="5"/>
  <c r="R128" i="5"/>
  <c r="Q128" i="5"/>
  <c r="R127" i="5"/>
  <c r="Q127" i="5"/>
  <c r="R126" i="5"/>
  <c r="Q126" i="5"/>
  <c r="R125" i="5"/>
  <c r="Q125" i="5"/>
  <c r="R310" i="10"/>
  <c r="Q310" i="10"/>
  <c r="R309" i="10"/>
  <c r="Q309" i="10"/>
  <c r="R308" i="10"/>
  <c r="Q308" i="10"/>
  <c r="R307" i="10"/>
  <c r="Q307" i="10"/>
  <c r="R306" i="10"/>
  <c r="Q306" i="10"/>
  <c r="R305" i="10"/>
  <c r="Q305" i="10"/>
  <c r="R304" i="10"/>
  <c r="Q304" i="10"/>
  <c r="R303" i="10"/>
  <c r="Q303" i="10"/>
  <c r="R302" i="10"/>
  <c r="Q302" i="10"/>
  <c r="R301" i="10"/>
  <c r="Q301" i="10"/>
  <c r="R300" i="10"/>
  <c r="Q300" i="10"/>
  <c r="R299" i="10"/>
  <c r="Q299" i="10"/>
  <c r="R298" i="10"/>
  <c r="Q298" i="10"/>
  <c r="R297" i="10"/>
  <c r="Q297" i="10"/>
  <c r="R296" i="10"/>
  <c r="Q296" i="10"/>
  <c r="R295" i="10"/>
  <c r="Q295" i="10"/>
  <c r="R294" i="10"/>
  <c r="Q294" i="10"/>
  <c r="R293" i="10"/>
  <c r="Q293" i="10"/>
  <c r="R292" i="10"/>
  <c r="Q292" i="10"/>
  <c r="R291" i="10"/>
  <c r="Q291" i="10"/>
  <c r="R290" i="10"/>
  <c r="Q290" i="10"/>
  <c r="R289" i="10"/>
  <c r="Q289" i="10"/>
  <c r="R288" i="10"/>
  <c r="Q288" i="10"/>
  <c r="R287" i="10"/>
  <c r="Q287" i="10"/>
  <c r="R286" i="10"/>
  <c r="Q286" i="10"/>
  <c r="R285" i="10"/>
  <c r="Q285" i="10"/>
  <c r="R283" i="10"/>
  <c r="Q283" i="10"/>
  <c r="R282" i="10"/>
  <c r="Q282" i="10"/>
  <c r="R281" i="10"/>
  <c r="Q281" i="10"/>
  <c r="R280" i="10"/>
  <c r="Q280" i="10"/>
  <c r="R279" i="10"/>
  <c r="Q279" i="10"/>
  <c r="R278" i="10"/>
  <c r="Q278" i="10"/>
  <c r="R277" i="10"/>
  <c r="Q277" i="10"/>
  <c r="R276" i="10"/>
  <c r="Q276" i="10"/>
  <c r="R275" i="10"/>
  <c r="Q275" i="10"/>
  <c r="R274" i="10"/>
  <c r="Q274" i="10"/>
  <c r="R273" i="10"/>
  <c r="Q273" i="10"/>
  <c r="R272" i="10"/>
  <c r="Q272" i="10"/>
  <c r="R271" i="10"/>
  <c r="Q271" i="10"/>
  <c r="R270" i="10"/>
  <c r="Q270" i="10"/>
  <c r="R269" i="10"/>
  <c r="Q269" i="10"/>
  <c r="R268" i="10"/>
  <c r="Q268" i="10"/>
  <c r="R267" i="10"/>
  <c r="Q267" i="10"/>
  <c r="R266" i="10"/>
  <c r="Q266" i="10"/>
  <c r="R265" i="10"/>
  <c r="Q265" i="10"/>
  <c r="R264" i="10"/>
  <c r="R263" i="10"/>
  <c r="Q263" i="10"/>
  <c r="R262" i="10"/>
  <c r="Q262" i="10"/>
  <c r="R261" i="10"/>
  <c r="Q261" i="10"/>
  <c r="R260" i="10"/>
  <c r="Q260" i="10"/>
  <c r="R259" i="10"/>
  <c r="Q259" i="10"/>
  <c r="R258" i="10"/>
  <c r="Q258" i="10"/>
  <c r="R256" i="10"/>
  <c r="Q256" i="10"/>
  <c r="R255" i="10"/>
  <c r="Q255" i="10"/>
  <c r="R254" i="10"/>
  <c r="Q254" i="10"/>
  <c r="R253" i="10"/>
  <c r="Q253" i="10"/>
  <c r="Z252" i="10"/>
  <c r="Y252" i="10"/>
  <c r="X252" i="10"/>
  <c r="R252" i="10"/>
  <c r="Q252" i="10"/>
  <c r="R251" i="10"/>
  <c r="Q251" i="10"/>
  <c r="AC250" i="10"/>
  <c r="AB250" i="10"/>
  <c r="AA250" i="10"/>
  <c r="R250" i="10"/>
  <c r="Q250" i="10"/>
  <c r="R249" i="10"/>
  <c r="Q249" i="10"/>
  <c r="R248" i="10"/>
  <c r="Q248" i="10"/>
  <c r="R247" i="10"/>
  <c r="Q247" i="10"/>
  <c r="R246" i="10"/>
  <c r="Q246" i="10"/>
  <c r="R245" i="10"/>
  <c r="Q245" i="10"/>
  <c r="R244" i="10"/>
  <c r="Q244" i="10"/>
  <c r="R243" i="10"/>
  <c r="Q243" i="10"/>
  <c r="R242" i="10"/>
  <c r="Q242" i="10"/>
  <c r="R241" i="10"/>
  <c r="Q241" i="10"/>
  <c r="R240" i="10"/>
  <c r="Q240" i="10"/>
  <c r="R239" i="10"/>
  <c r="Q239" i="10"/>
  <c r="R238" i="10"/>
  <c r="Q238" i="10"/>
  <c r="R237" i="10"/>
  <c r="Q237" i="10"/>
  <c r="R236" i="10"/>
  <c r="Q236" i="10"/>
  <c r="R235" i="10"/>
  <c r="Q235" i="10"/>
  <c r="R234" i="10"/>
  <c r="Q234" i="10"/>
  <c r="R233" i="10"/>
  <c r="Q233" i="10"/>
  <c r="R333" i="9"/>
  <c r="Q333" i="9"/>
  <c r="R332" i="9"/>
  <c r="Q332" i="9"/>
  <c r="R331" i="9"/>
  <c r="Q331" i="9"/>
  <c r="R330" i="9"/>
  <c r="Q330" i="9"/>
  <c r="R329" i="9"/>
  <c r="Q329" i="9"/>
  <c r="R328" i="9"/>
  <c r="Q328" i="9"/>
  <c r="R327" i="9"/>
  <c r="Q327" i="9"/>
  <c r="R326" i="9"/>
  <c r="Q326" i="9"/>
  <c r="R325" i="9"/>
  <c r="Q325" i="9"/>
  <c r="R324" i="9"/>
  <c r="Q324" i="9"/>
  <c r="R323" i="9"/>
  <c r="Q323" i="9"/>
  <c r="R322" i="9"/>
  <c r="Q322" i="9"/>
  <c r="R321" i="9"/>
  <c r="Q321" i="9"/>
  <c r="R320" i="9"/>
  <c r="Q320" i="9"/>
  <c r="R319" i="9"/>
  <c r="Q319" i="9"/>
  <c r="R318" i="9"/>
  <c r="Q318" i="9"/>
  <c r="R317" i="9"/>
  <c r="Q317" i="9"/>
  <c r="R316" i="9"/>
  <c r="Q316" i="9"/>
  <c r="R315" i="9"/>
  <c r="Q315" i="9"/>
  <c r="R314" i="9"/>
  <c r="Q314" i="9"/>
  <c r="R313" i="9"/>
  <c r="Q313" i="9"/>
  <c r="R312" i="9"/>
  <c r="Q312" i="9"/>
  <c r="R311" i="9"/>
  <c r="Q311" i="9"/>
  <c r="R310" i="9"/>
  <c r="Q310" i="9"/>
  <c r="R309" i="9"/>
  <c r="Q309" i="9"/>
  <c r="R308" i="9"/>
  <c r="Q308" i="9"/>
  <c r="R307" i="9"/>
  <c r="Q307" i="9"/>
  <c r="R305" i="9"/>
  <c r="Q305" i="9"/>
  <c r="R304" i="9"/>
  <c r="Q304" i="9"/>
  <c r="R303" i="9"/>
  <c r="Q303" i="9"/>
  <c r="R301" i="9"/>
  <c r="Q301" i="9"/>
  <c r="R300" i="9"/>
  <c r="Q300" i="9"/>
  <c r="R299" i="9"/>
  <c r="Q299" i="9"/>
  <c r="R298" i="9"/>
  <c r="Q298" i="9"/>
  <c r="R297" i="9"/>
  <c r="Q297" i="9"/>
  <c r="R296" i="9"/>
  <c r="Q296" i="9"/>
  <c r="R295" i="9"/>
  <c r="Q295" i="9"/>
  <c r="R294" i="9"/>
  <c r="Q294" i="9"/>
  <c r="R293" i="9"/>
  <c r="Q293" i="9"/>
  <c r="R292" i="9"/>
  <c r="Q292" i="9"/>
  <c r="R291" i="9"/>
  <c r="Q291" i="9"/>
  <c r="R290" i="9"/>
  <c r="Q290" i="9"/>
  <c r="R289" i="9"/>
  <c r="Q289" i="9"/>
  <c r="R288" i="9"/>
  <c r="Q288" i="9"/>
  <c r="R287" i="9"/>
  <c r="Q287" i="9"/>
  <c r="R286" i="9"/>
  <c r="Q286" i="9"/>
  <c r="R285" i="9"/>
  <c r="Q285" i="9"/>
  <c r="R284" i="9"/>
  <c r="Q284" i="9"/>
  <c r="R283" i="9"/>
  <c r="Q283" i="9"/>
  <c r="R282" i="9"/>
  <c r="Q282" i="9"/>
  <c r="R281" i="9"/>
  <c r="Q281" i="9"/>
  <c r="R280" i="9"/>
  <c r="S65" i="14"/>
  <c r="R65" i="14"/>
  <c r="S64" i="14"/>
  <c r="R64" i="14"/>
  <c r="S45" i="12"/>
  <c r="R45" i="12"/>
  <c r="S44" i="12"/>
  <c r="R44" i="12"/>
  <c r="S61" i="12"/>
  <c r="R61" i="12"/>
  <c r="S60" i="12"/>
  <c r="R60" i="12"/>
  <c r="S65" i="11"/>
  <c r="R65" i="11"/>
  <c r="S65" i="12"/>
  <c r="R65" i="12"/>
  <c r="S64" i="12"/>
  <c r="R64" i="12"/>
  <c r="S49" i="12"/>
  <c r="R49" i="12"/>
  <c r="S48" i="12"/>
  <c r="R48" i="12"/>
  <c r="S34" i="12"/>
  <c r="R34" i="12"/>
  <c r="S33" i="12"/>
  <c r="R33" i="12"/>
  <c r="S69" i="11"/>
  <c r="R69" i="11"/>
  <c r="S68" i="11"/>
  <c r="R68" i="11"/>
  <c r="S52" i="11"/>
  <c r="R52" i="11"/>
  <c r="S51" i="11"/>
  <c r="R51" i="11"/>
  <c r="S36" i="11"/>
  <c r="R36" i="11"/>
  <c r="S35" i="11"/>
  <c r="R35" i="11"/>
  <c r="Q272" i="9"/>
  <c r="R272" i="9"/>
  <c r="R270" i="9"/>
  <c r="Q270" i="9"/>
  <c r="R278" i="9"/>
  <c r="Q278" i="9"/>
  <c r="R277" i="9"/>
  <c r="Q277" i="9"/>
  <c r="R276" i="9"/>
  <c r="Q276" i="9"/>
  <c r="R275" i="9"/>
  <c r="Q275" i="9"/>
  <c r="R274" i="9"/>
  <c r="Q274" i="9"/>
  <c r="R273" i="9"/>
  <c r="Q273" i="9"/>
  <c r="R271" i="9"/>
  <c r="Q271" i="9"/>
  <c r="R269" i="9"/>
  <c r="Q269" i="9"/>
  <c r="R268" i="9"/>
  <c r="Q268" i="9"/>
  <c r="R267" i="9"/>
  <c r="Q267" i="9"/>
  <c r="R266" i="9"/>
  <c r="Q266" i="9"/>
  <c r="R265" i="9"/>
  <c r="Q265" i="9"/>
  <c r="R264" i="9"/>
  <c r="Q264" i="9"/>
  <c r="R263" i="9"/>
  <c r="Q263" i="9"/>
  <c r="R262" i="9"/>
  <c r="Q262" i="9"/>
  <c r="R261" i="9"/>
  <c r="Q261" i="9"/>
  <c r="R260" i="9"/>
  <c r="Q260" i="9"/>
  <c r="R259" i="9"/>
  <c r="Q259" i="9"/>
  <c r="R258" i="9"/>
  <c r="Q258" i="9"/>
  <c r="R257" i="9"/>
  <c r="Q257" i="9"/>
  <c r="R256" i="9"/>
  <c r="Q256" i="9"/>
  <c r="R255" i="9"/>
  <c r="Q255" i="9"/>
  <c r="S61" i="14"/>
  <c r="R61" i="14"/>
  <c r="S69" i="14"/>
  <c r="R69" i="14"/>
  <c r="S68" i="14"/>
  <c r="R68" i="14"/>
  <c r="S67" i="14"/>
  <c r="R67" i="14"/>
  <c r="S66" i="14"/>
  <c r="R66" i="14"/>
  <c r="S63" i="14"/>
  <c r="R63" i="14"/>
  <c r="S62" i="14"/>
  <c r="R62" i="14"/>
  <c r="S60" i="14"/>
  <c r="R60" i="14"/>
  <c r="S59" i="14"/>
  <c r="R59" i="14"/>
  <c r="S58" i="14"/>
  <c r="R58" i="14"/>
  <c r="S57" i="14"/>
  <c r="R57" i="14"/>
  <c r="S56" i="14"/>
  <c r="R56" i="14"/>
  <c r="S55" i="14"/>
  <c r="R55" i="14"/>
  <c r="S45" i="14"/>
  <c r="R45" i="14"/>
  <c r="S53" i="14"/>
  <c r="R53" i="14"/>
  <c r="S52" i="14"/>
  <c r="R52" i="14"/>
  <c r="S51" i="14"/>
  <c r="R51" i="14"/>
  <c r="S50" i="14"/>
  <c r="R50" i="14"/>
  <c r="S47" i="14"/>
  <c r="R47" i="14"/>
  <c r="S46" i="14"/>
  <c r="R46" i="14"/>
  <c r="S44" i="14"/>
  <c r="R44" i="14"/>
  <c r="S43" i="14"/>
  <c r="R43" i="14"/>
  <c r="S42" i="14"/>
  <c r="R42" i="14"/>
  <c r="S41" i="14"/>
  <c r="R41" i="14"/>
  <c r="S40" i="14"/>
  <c r="R40" i="14"/>
  <c r="S30" i="14"/>
  <c r="R30" i="14"/>
  <c r="S38" i="14"/>
  <c r="R38" i="14"/>
  <c r="S37" i="14"/>
  <c r="R37" i="14"/>
  <c r="S36" i="14"/>
  <c r="R36" i="14"/>
  <c r="S35" i="14"/>
  <c r="R35" i="14"/>
  <c r="S32" i="14"/>
  <c r="R32" i="14"/>
  <c r="S31" i="14"/>
  <c r="R31" i="14"/>
  <c r="S29" i="14"/>
  <c r="R29" i="14"/>
  <c r="S28" i="14"/>
  <c r="R28" i="14"/>
  <c r="S27" i="14"/>
  <c r="R27" i="14"/>
  <c r="S26" i="14"/>
  <c r="R26" i="14"/>
  <c r="S61" i="13"/>
  <c r="R61" i="13"/>
  <c r="S69" i="13"/>
  <c r="R69" i="13"/>
  <c r="S68" i="13"/>
  <c r="R68" i="13"/>
  <c r="S67" i="13"/>
  <c r="R67" i="13"/>
  <c r="S66" i="13"/>
  <c r="R66" i="13"/>
  <c r="S63" i="13"/>
  <c r="R63" i="13"/>
  <c r="S62" i="13"/>
  <c r="R62" i="13"/>
  <c r="S60" i="13"/>
  <c r="R60" i="13"/>
  <c r="S59" i="13"/>
  <c r="R59" i="13"/>
  <c r="S58" i="13"/>
  <c r="R58" i="13"/>
  <c r="S57" i="13"/>
  <c r="R57" i="13"/>
  <c r="S56" i="13"/>
  <c r="R56" i="13"/>
  <c r="S55" i="13"/>
  <c r="R55" i="13"/>
  <c r="S45" i="13"/>
  <c r="R45" i="13"/>
  <c r="S53" i="13"/>
  <c r="R53" i="13"/>
  <c r="S52" i="13"/>
  <c r="R52" i="13"/>
  <c r="S51" i="13"/>
  <c r="R51" i="13"/>
  <c r="S50" i="13"/>
  <c r="R50" i="13"/>
  <c r="S47" i="13"/>
  <c r="R47" i="13"/>
  <c r="S46" i="13"/>
  <c r="R46" i="13"/>
  <c r="S44" i="13"/>
  <c r="R44" i="13"/>
  <c r="S43" i="13"/>
  <c r="R43" i="13"/>
  <c r="S42" i="13"/>
  <c r="R42" i="13"/>
  <c r="S41" i="13"/>
  <c r="R41" i="13"/>
  <c r="S40" i="13"/>
  <c r="R40" i="13"/>
  <c r="S30" i="13"/>
  <c r="R30" i="13"/>
  <c r="S38" i="13"/>
  <c r="R38" i="13"/>
  <c r="S37" i="13"/>
  <c r="R37" i="13"/>
  <c r="S36" i="13"/>
  <c r="R36" i="13"/>
  <c r="S35" i="13"/>
  <c r="R35" i="13"/>
  <c r="S32" i="13"/>
  <c r="R32" i="13"/>
  <c r="S31" i="13"/>
  <c r="R31" i="13"/>
  <c r="S29" i="13"/>
  <c r="R29" i="13"/>
  <c r="S28" i="13"/>
  <c r="R28" i="13"/>
  <c r="S27" i="13"/>
  <c r="R27" i="13"/>
  <c r="S26" i="13"/>
  <c r="R26" i="13"/>
  <c r="S69" i="12"/>
  <c r="R69" i="12"/>
  <c r="S68" i="12"/>
  <c r="R68" i="12"/>
  <c r="S67" i="12"/>
  <c r="R67" i="12"/>
  <c r="S66" i="12"/>
  <c r="R66" i="12"/>
  <c r="S63" i="12"/>
  <c r="R63" i="12"/>
  <c r="S62" i="12"/>
  <c r="R62" i="12"/>
  <c r="S59" i="12"/>
  <c r="R59" i="12"/>
  <c r="S58" i="12"/>
  <c r="R58" i="12"/>
  <c r="S57" i="12"/>
  <c r="R57" i="12"/>
  <c r="S56" i="12"/>
  <c r="R56" i="12"/>
  <c r="S55" i="12"/>
  <c r="R55" i="12"/>
  <c r="S53" i="12"/>
  <c r="R53" i="12"/>
  <c r="S52" i="12"/>
  <c r="R52" i="12"/>
  <c r="S51" i="12"/>
  <c r="R51" i="12"/>
  <c r="S50" i="12"/>
  <c r="R50" i="12"/>
  <c r="S47" i="12"/>
  <c r="R47" i="12"/>
  <c r="S46" i="12"/>
  <c r="R46" i="12"/>
  <c r="S43" i="12"/>
  <c r="R43" i="12"/>
  <c r="S42" i="12"/>
  <c r="R42" i="12"/>
  <c r="S41" i="12"/>
  <c r="R41" i="12"/>
  <c r="S40" i="12"/>
  <c r="R40" i="12"/>
  <c r="S30" i="12"/>
  <c r="R30" i="12"/>
  <c r="S38" i="12"/>
  <c r="R38" i="12"/>
  <c r="S37" i="12"/>
  <c r="R37" i="12"/>
  <c r="S36" i="12"/>
  <c r="R36" i="12"/>
  <c r="S35" i="12"/>
  <c r="R35" i="12"/>
  <c r="S32" i="12"/>
  <c r="R32" i="12"/>
  <c r="S31" i="12"/>
  <c r="R31" i="12"/>
  <c r="S29" i="12"/>
  <c r="R29" i="12"/>
  <c r="S28" i="12"/>
  <c r="R28" i="12"/>
  <c r="S27" i="12"/>
  <c r="R27" i="12"/>
  <c r="S26" i="12"/>
  <c r="R26" i="12"/>
  <c r="S74" i="11"/>
  <c r="R74" i="11"/>
  <c r="S73" i="11"/>
  <c r="R73" i="11"/>
  <c r="S72" i="11"/>
  <c r="R72" i="11"/>
  <c r="S71" i="11"/>
  <c r="R71" i="11"/>
  <c r="S70" i="11"/>
  <c r="R70" i="11"/>
  <c r="S67" i="11"/>
  <c r="R67" i="11"/>
  <c r="S66" i="11"/>
  <c r="R66" i="11"/>
  <c r="S64" i="11"/>
  <c r="R64" i="11"/>
  <c r="S63" i="11"/>
  <c r="R63" i="11"/>
  <c r="S62" i="11"/>
  <c r="R62" i="11"/>
  <c r="S61" i="11"/>
  <c r="R61" i="11"/>
  <c r="S60" i="11"/>
  <c r="R60" i="11"/>
  <c r="S59" i="11"/>
  <c r="R59" i="11"/>
  <c r="S48" i="11"/>
  <c r="R48" i="11"/>
  <c r="S57" i="11"/>
  <c r="R57" i="11"/>
  <c r="S56" i="11"/>
  <c r="R56" i="11"/>
  <c r="S55" i="11"/>
  <c r="R55" i="11"/>
  <c r="S54" i="11"/>
  <c r="R54" i="11"/>
  <c r="S53" i="11"/>
  <c r="R53" i="11"/>
  <c r="S50" i="11"/>
  <c r="R50" i="11"/>
  <c r="S49" i="11"/>
  <c r="R49" i="11"/>
  <c r="S47" i="11"/>
  <c r="R47" i="11"/>
  <c r="S46" i="11"/>
  <c r="R46" i="11"/>
  <c r="S45" i="11"/>
  <c r="R45" i="11"/>
  <c r="S44" i="11"/>
  <c r="R44" i="11"/>
  <c r="S43" i="11"/>
  <c r="R43" i="11"/>
  <c r="S32" i="11"/>
  <c r="R32" i="11"/>
  <c r="S41" i="11"/>
  <c r="R41" i="11"/>
  <c r="S40" i="11"/>
  <c r="R40" i="11"/>
  <c r="S39" i="11"/>
  <c r="R39" i="11"/>
  <c r="S38" i="11"/>
  <c r="R38" i="11"/>
  <c r="S37" i="11"/>
  <c r="R37" i="11"/>
  <c r="S34" i="11"/>
  <c r="R34" i="11"/>
  <c r="S33" i="11"/>
  <c r="R33" i="11"/>
  <c r="S31" i="11"/>
  <c r="R31" i="11"/>
  <c r="S30" i="11"/>
  <c r="R30" i="11"/>
  <c r="S29" i="11"/>
  <c r="R29" i="11"/>
  <c r="S28" i="11"/>
  <c r="R28" i="11"/>
  <c r="V415" i="1"/>
  <c r="U415" i="1"/>
  <c r="V414" i="1"/>
  <c r="U414" i="1"/>
  <c r="V413" i="1"/>
  <c r="U413" i="1"/>
  <c r="V412" i="1"/>
  <c r="U412" i="1"/>
  <c r="V411" i="1"/>
  <c r="U411" i="1"/>
  <c r="V410" i="1"/>
  <c r="U410" i="1"/>
  <c r="V408" i="1"/>
  <c r="U408" i="1"/>
  <c r="V407" i="1"/>
  <c r="U407" i="1"/>
  <c r="V406" i="1"/>
  <c r="U406" i="1"/>
  <c r="V405" i="1"/>
  <c r="U405" i="1"/>
  <c r="V404" i="1"/>
  <c r="U404" i="1"/>
  <c r="V403" i="1"/>
  <c r="U403" i="1"/>
  <c r="V401" i="1"/>
  <c r="U401" i="1"/>
  <c r="V400" i="1"/>
  <c r="U400" i="1"/>
  <c r="V399" i="1"/>
  <c r="U399" i="1"/>
  <c r="V398" i="1"/>
  <c r="U398" i="1"/>
  <c r="V397" i="1"/>
  <c r="U397" i="1"/>
  <c r="V396" i="1"/>
  <c r="U396" i="1"/>
  <c r="V394" i="1"/>
  <c r="U394" i="1"/>
  <c r="AJ393" i="1"/>
  <c r="AI393" i="1"/>
  <c r="V393" i="1"/>
  <c r="U393" i="1"/>
  <c r="V392" i="1"/>
  <c r="U392" i="1"/>
  <c r="V391" i="1"/>
  <c r="U391" i="1"/>
  <c r="V390" i="1"/>
  <c r="U390" i="1"/>
  <c r="V389" i="1"/>
  <c r="U389" i="1"/>
  <c r="V388" i="1"/>
  <c r="U388" i="1"/>
  <c r="V387" i="1"/>
  <c r="U387" i="1"/>
  <c r="V385" i="1"/>
  <c r="U385" i="1"/>
  <c r="V384" i="1"/>
  <c r="U384" i="1"/>
  <c r="V383" i="1"/>
  <c r="U383" i="1"/>
  <c r="V382" i="1"/>
  <c r="U382" i="1"/>
  <c r="V381" i="1"/>
  <c r="U381" i="1"/>
  <c r="V380" i="1"/>
  <c r="U380" i="1"/>
  <c r="V378" i="1"/>
  <c r="U378" i="1"/>
  <c r="V377" i="1"/>
  <c r="U377" i="1"/>
  <c r="V376" i="1"/>
  <c r="U376" i="1"/>
  <c r="V375" i="1"/>
  <c r="U375" i="1"/>
  <c r="V374" i="1"/>
  <c r="U374" i="1"/>
  <c r="V373" i="1"/>
  <c r="U373" i="1"/>
  <c r="V371" i="1"/>
  <c r="U371" i="1"/>
  <c r="V370" i="1"/>
  <c r="U370" i="1"/>
  <c r="V369" i="1"/>
  <c r="U369" i="1"/>
  <c r="V368" i="1"/>
  <c r="U368" i="1"/>
  <c r="V367" i="1"/>
  <c r="U367" i="1"/>
  <c r="V366" i="1"/>
  <c r="U366" i="1"/>
  <c r="V364" i="1"/>
  <c r="U364" i="1"/>
  <c r="AJ363" i="1"/>
  <c r="AI363" i="1"/>
  <c r="V363" i="1"/>
  <c r="U363" i="1"/>
  <c r="V362" i="1"/>
  <c r="U362" i="1"/>
  <c r="V361" i="1"/>
  <c r="U361" i="1"/>
  <c r="V360" i="1"/>
  <c r="U360" i="1"/>
  <c r="V359" i="1"/>
  <c r="U359" i="1"/>
  <c r="V358" i="1"/>
  <c r="U358" i="1"/>
  <c r="V357" i="1"/>
  <c r="U357" i="1"/>
  <c r="V355" i="1"/>
  <c r="U355" i="1"/>
  <c r="V354" i="1"/>
  <c r="U354" i="1"/>
  <c r="V353" i="1"/>
  <c r="U353" i="1"/>
  <c r="V352" i="1"/>
  <c r="U352" i="1"/>
  <c r="V351" i="1"/>
  <c r="U351" i="1"/>
  <c r="V350" i="1"/>
  <c r="U350" i="1"/>
  <c r="V348" i="1"/>
  <c r="U348" i="1"/>
  <c r="V347" i="1"/>
  <c r="U347" i="1"/>
  <c r="V346" i="1"/>
  <c r="U346" i="1"/>
  <c r="V345" i="1"/>
  <c r="U345" i="1"/>
  <c r="V344" i="1"/>
  <c r="U344" i="1"/>
  <c r="V343" i="1"/>
  <c r="U343" i="1"/>
  <c r="V341" i="1"/>
  <c r="U341" i="1"/>
  <c r="V340" i="1"/>
  <c r="U340" i="1"/>
  <c r="V339" i="1"/>
  <c r="U339" i="1"/>
  <c r="V338" i="1"/>
  <c r="U338" i="1"/>
  <c r="V337" i="1"/>
  <c r="U337" i="1"/>
  <c r="V336" i="1"/>
  <c r="U336" i="1"/>
  <c r="V334" i="1"/>
  <c r="U334" i="1"/>
  <c r="AJ333" i="1"/>
  <c r="AI333" i="1"/>
  <c r="V333" i="1"/>
  <c r="U333" i="1"/>
  <c r="V332" i="1"/>
  <c r="U332" i="1"/>
  <c r="V331" i="1"/>
  <c r="U331" i="1"/>
  <c r="V330" i="1"/>
  <c r="U330" i="1"/>
  <c r="V329" i="1"/>
  <c r="U329" i="1"/>
  <c r="V328" i="1"/>
  <c r="U328" i="1"/>
  <c r="V327" i="1"/>
  <c r="U327" i="1"/>
  <c r="R123" i="7"/>
  <c r="Q123" i="7"/>
  <c r="R122" i="7"/>
  <c r="Q122" i="7"/>
  <c r="R121" i="7"/>
  <c r="Q121" i="7"/>
  <c r="R120" i="7"/>
  <c r="Q120" i="7"/>
  <c r="R119" i="7"/>
  <c r="Q119" i="7"/>
  <c r="R118" i="7"/>
  <c r="Q118" i="7"/>
  <c r="R117" i="7"/>
  <c r="Q117" i="7"/>
  <c r="R116" i="7"/>
  <c r="Q116" i="7"/>
  <c r="R115" i="7"/>
  <c r="Q115" i="7"/>
  <c r="R114" i="7"/>
  <c r="Q114" i="7"/>
  <c r="R113" i="7"/>
  <c r="Q113" i="7"/>
  <c r="R112" i="7"/>
  <c r="Q112" i="7"/>
  <c r="R111" i="7"/>
  <c r="Q111" i="7"/>
  <c r="R110" i="7"/>
  <c r="Q110" i="7"/>
  <c r="R109" i="7"/>
  <c r="Q109" i="7"/>
  <c r="R108" i="7"/>
  <c r="Q108" i="7"/>
  <c r="R123" i="6"/>
  <c r="Q123" i="6"/>
  <c r="R122" i="6"/>
  <c r="Q122" i="6"/>
  <c r="R121" i="6"/>
  <c r="Q121" i="6"/>
  <c r="R120" i="6"/>
  <c r="Q120" i="6"/>
  <c r="R119" i="6"/>
  <c r="Q119" i="6"/>
  <c r="R118" i="6"/>
  <c r="Q118" i="6"/>
  <c r="R117" i="6"/>
  <c r="Q117" i="6"/>
  <c r="R116" i="6"/>
  <c r="Q116" i="6"/>
  <c r="R115" i="6"/>
  <c r="Q115" i="6"/>
  <c r="R114" i="6"/>
  <c r="Q114" i="6"/>
  <c r="R113" i="6"/>
  <c r="Q113" i="6"/>
  <c r="R112" i="6"/>
  <c r="Q112" i="6"/>
  <c r="R111" i="6"/>
  <c r="Q111" i="6"/>
  <c r="R110" i="6"/>
  <c r="Q110" i="6"/>
  <c r="R109" i="6"/>
  <c r="Q109" i="6"/>
  <c r="R108" i="6"/>
  <c r="Q108" i="6"/>
  <c r="R123" i="5"/>
  <c r="Q123" i="5"/>
  <c r="R122" i="5"/>
  <c r="Q122" i="5"/>
  <c r="R121" i="5"/>
  <c r="Q121" i="5"/>
  <c r="R120" i="5"/>
  <c r="Q120" i="5"/>
  <c r="R119" i="5"/>
  <c r="Q119" i="5"/>
  <c r="R118" i="5"/>
  <c r="Q118" i="5"/>
  <c r="R117" i="5"/>
  <c r="Q117" i="5"/>
  <c r="R116" i="5"/>
  <c r="Q116" i="5"/>
  <c r="R115" i="5"/>
  <c r="Q115" i="5"/>
  <c r="R114" i="5"/>
  <c r="Q114" i="5"/>
  <c r="R113" i="5"/>
  <c r="Q113" i="5"/>
  <c r="R112" i="5"/>
  <c r="Q112" i="5"/>
  <c r="R111" i="5"/>
  <c r="Q111" i="5"/>
  <c r="R110" i="5"/>
  <c r="Q110" i="5"/>
  <c r="R109" i="5"/>
  <c r="Q109" i="5"/>
  <c r="R108" i="5"/>
  <c r="Q108" i="5"/>
  <c r="R231" i="10"/>
  <c r="Q231" i="10"/>
  <c r="R230" i="10"/>
  <c r="Q230" i="10"/>
  <c r="R229" i="10"/>
  <c r="Q229" i="10"/>
  <c r="R228" i="10"/>
  <c r="Q228" i="10"/>
  <c r="R227" i="10"/>
  <c r="Q227" i="10"/>
  <c r="R226" i="10"/>
  <c r="Q226" i="10"/>
  <c r="R225" i="10"/>
  <c r="Q225" i="10"/>
  <c r="R224" i="10"/>
  <c r="Q224" i="10"/>
  <c r="R223" i="10"/>
  <c r="Q223" i="10"/>
  <c r="R222" i="10"/>
  <c r="Q222" i="10"/>
  <c r="R221" i="10"/>
  <c r="Q221" i="10"/>
  <c r="R220" i="10"/>
  <c r="Q220" i="10"/>
  <c r="R219" i="10"/>
  <c r="Q219" i="10"/>
  <c r="R218" i="10"/>
  <c r="Q218" i="10"/>
  <c r="R217" i="10"/>
  <c r="Q217" i="10"/>
  <c r="R216" i="10"/>
  <c r="Q216" i="10"/>
  <c r="R215" i="10"/>
  <c r="Q215" i="10"/>
  <c r="R214" i="10"/>
  <c r="Q214" i="10"/>
  <c r="R213" i="10"/>
  <c r="Q213" i="10"/>
  <c r="R212" i="10"/>
  <c r="Q212" i="10"/>
  <c r="R211" i="10"/>
  <c r="Q211" i="10"/>
  <c r="R210" i="10"/>
  <c r="Q210" i="10"/>
  <c r="R253" i="9"/>
  <c r="Q253" i="9"/>
  <c r="R252" i="9"/>
  <c r="Q252" i="9"/>
  <c r="R251" i="9"/>
  <c r="Q251" i="9"/>
  <c r="R250" i="9"/>
  <c r="Q250" i="9"/>
  <c r="R249" i="9"/>
  <c r="Q249" i="9"/>
  <c r="R248" i="9"/>
  <c r="Q248" i="9"/>
  <c r="R247" i="9"/>
  <c r="Q247" i="9"/>
  <c r="R246" i="9"/>
  <c r="Q246" i="9"/>
  <c r="R245" i="9"/>
  <c r="Q245" i="9"/>
  <c r="R244" i="9"/>
  <c r="Q244" i="9"/>
  <c r="R243" i="9"/>
  <c r="Q243" i="9"/>
  <c r="R242" i="9"/>
  <c r="Q242" i="9"/>
  <c r="R241" i="9"/>
  <c r="Q241" i="9"/>
  <c r="R240" i="9"/>
  <c r="Q240" i="9"/>
  <c r="R239" i="9"/>
  <c r="Q239" i="9"/>
  <c r="R238" i="9"/>
  <c r="Q238" i="9"/>
  <c r="R237" i="9"/>
  <c r="Q237" i="9"/>
  <c r="R236" i="9"/>
  <c r="Q236" i="9"/>
  <c r="R235" i="9"/>
  <c r="Q235" i="9"/>
  <c r="R234" i="9"/>
  <c r="Q234" i="9"/>
  <c r="R233" i="9"/>
  <c r="Q233" i="9"/>
  <c r="R232" i="9"/>
  <c r="Q232" i="9"/>
  <c r="U321" i="1" l="1"/>
  <c r="S18" i="14"/>
  <c r="R18" i="14"/>
  <c r="S16" i="14"/>
  <c r="R16" i="14"/>
  <c r="S18" i="13"/>
  <c r="R18" i="13"/>
  <c r="S16" i="13"/>
  <c r="R16" i="13"/>
  <c r="S18" i="12"/>
  <c r="R18" i="12"/>
  <c r="S17" i="12"/>
  <c r="R17" i="12"/>
  <c r="S16" i="12"/>
  <c r="R16" i="12"/>
  <c r="S19" i="11"/>
  <c r="R19" i="11"/>
  <c r="S17" i="11"/>
  <c r="R17" i="11"/>
  <c r="S24" i="14"/>
  <c r="R24" i="14"/>
  <c r="S23" i="14"/>
  <c r="R23" i="14"/>
  <c r="S22" i="14"/>
  <c r="R22" i="14"/>
  <c r="S21" i="14"/>
  <c r="R21" i="14"/>
  <c r="S20" i="14"/>
  <c r="R20" i="14"/>
  <c r="S19" i="14"/>
  <c r="R19" i="14"/>
  <c r="S17" i="14"/>
  <c r="R17" i="14"/>
  <c r="S15" i="14"/>
  <c r="R15" i="14"/>
  <c r="S24" i="13"/>
  <c r="R24" i="13"/>
  <c r="S23" i="13"/>
  <c r="R23" i="13"/>
  <c r="S22" i="13"/>
  <c r="R22" i="13"/>
  <c r="S21" i="13"/>
  <c r="R21" i="13"/>
  <c r="S20" i="13"/>
  <c r="R20" i="13"/>
  <c r="S19" i="13"/>
  <c r="R19" i="13"/>
  <c r="S17" i="13"/>
  <c r="R17" i="13"/>
  <c r="S15" i="13"/>
  <c r="R15" i="13"/>
  <c r="S24" i="12"/>
  <c r="R24" i="12"/>
  <c r="S23" i="12"/>
  <c r="R23" i="12"/>
  <c r="S22" i="12"/>
  <c r="R22" i="12"/>
  <c r="S21" i="12"/>
  <c r="R21" i="12"/>
  <c r="S20" i="12"/>
  <c r="R20" i="12"/>
  <c r="S19" i="12"/>
  <c r="R19" i="12"/>
  <c r="S15" i="12"/>
  <c r="R15" i="12"/>
  <c r="S26" i="11"/>
  <c r="R26" i="11"/>
  <c r="S25" i="11"/>
  <c r="R25" i="11"/>
  <c r="S24" i="11"/>
  <c r="R24" i="11"/>
  <c r="S23" i="11"/>
  <c r="R23" i="11"/>
  <c r="S22" i="11"/>
  <c r="R22" i="11"/>
  <c r="S21" i="11"/>
  <c r="R21" i="11"/>
  <c r="S20" i="11"/>
  <c r="R20" i="11"/>
  <c r="S18" i="11"/>
  <c r="R18" i="11"/>
  <c r="S16" i="11"/>
  <c r="R16" i="11"/>
  <c r="V325" i="1"/>
  <c r="U325" i="1"/>
  <c r="V324" i="1"/>
  <c r="U324" i="1"/>
  <c r="V323" i="1"/>
  <c r="U323" i="1"/>
  <c r="V322" i="1"/>
  <c r="U322" i="1"/>
  <c r="V321" i="1"/>
  <c r="V320" i="1"/>
  <c r="U320" i="1"/>
  <c r="V318" i="1"/>
  <c r="U318" i="1"/>
  <c r="V317" i="1"/>
  <c r="U317" i="1"/>
  <c r="V316" i="1"/>
  <c r="U316" i="1"/>
  <c r="V315" i="1"/>
  <c r="U315" i="1"/>
  <c r="V314" i="1"/>
  <c r="U314" i="1"/>
  <c r="V313" i="1"/>
  <c r="U313" i="1"/>
  <c r="V311" i="1"/>
  <c r="U311" i="1"/>
  <c r="V310" i="1"/>
  <c r="U310" i="1"/>
  <c r="V309" i="1"/>
  <c r="U309" i="1"/>
  <c r="V308" i="1"/>
  <c r="U308" i="1"/>
  <c r="V307" i="1"/>
  <c r="U307" i="1"/>
  <c r="V306" i="1"/>
  <c r="U306" i="1"/>
  <c r="V304" i="1"/>
  <c r="U304" i="1"/>
  <c r="V303" i="1"/>
  <c r="U303" i="1"/>
  <c r="V302" i="1"/>
  <c r="U302" i="1"/>
  <c r="V301" i="1"/>
  <c r="U301" i="1"/>
  <c r="V300" i="1"/>
  <c r="U300" i="1"/>
  <c r="AJ299" i="1"/>
  <c r="AI299" i="1"/>
  <c r="V299" i="1"/>
  <c r="U299" i="1"/>
  <c r="V298" i="1"/>
  <c r="U298" i="1"/>
  <c r="V297" i="1"/>
  <c r="U297" i="1"/>
  <c r="V296" i="1"/>
  <c r="U296" i="1"/>
  <c r="V295" i="1"/>
  <c r="U295" i="1"/>
  <c r="V294" i="1"/>
  <c r="U294" i="1"/>
  <c r="V293" i="1"/>
  <c r="U293" i="1"/>
  <c r="T95" i="7"/>
  <c r="U95" i="7"/>
  <c r="V95" i="7"/>
  <c r="R230" i="9"/>
  <c r="Q230" i="9"/>
  <c r="R229" i="9"/>
  <c r="Q229" i="9"/>
  <c r="R228" i="9"/>
  <c r="Q228" i="9"/>
  <c r="R227" i="9"/>
  <c r="Q227" i="9"/>
  <c r="R226" i="9"/>
  <c r="Q226" i="9"/>
  <c r="R225" i="9"/>
  <c r="Q225" i="9"/>
  <c r="R224" i="9"/>
  <c r="Q224" i="9"/>
  <c r="R223" i="9"/>
  <c r="Q223" i="9"/>
  <c r="R222" i="9"/>
  <c r="Q222" i="9"/>
  <c r="R221" i="9"/>
  <c r="Q221" i="9"/>
  <c r="R220" i="9"/>
  <c r="Q220" i="9"/>
  <c r="R219" i="9"/>
  <c r="Q219" i="9"/>
  <c r="R218" i="9"/>
  <c r="Q218" i="9"/>
  <c r="R217" i="9"/>
  <c r="Q217" i="9"/>
  <c r="R216" i="9"/>
  <c r="Q216" i="9"/>
  <c r="R208" i="10"/>
  <c r="Q208" i="10"/>
  <c r="R207" i="10"/>
  <c r="Q207" i="10"/>
  <c r="R206" i="10"/>
  <c r="Q206" i="10"/>
  <c r="R205" i="10"/>
  <c r="Q205" i="10"/>
  <c r="R204" i="10"/>
  <c r="Q204" i="10"/>
  <c r="R203" i="10"/>
  <c r="Q203" i="10"/>
  <c r="R202" i="10"/>
  <c r="Q202" i="10"/>
  <c r="R201" i="10"/>
  <c r="Q201" i="10"/>
  <c r="R200" i="10"/>
  <c r="Q200" i="10"/>
  <c r="R199" i="10"/>
  <c r="Q199" i="10"/>
  <c r="R198" i="10"/>
  <c r="Q198" i="10"/>
  <c r="R197" i="10"/>
  <c r="Q197" i="10"/>
  <c r="R196" i="10"/>
  <c r="Q196" i="10"/>
  <c r="R195" i="10"/>
  <c r="Q195" i="10"/>
  <c r="R194" i="10"/>
  <c r="Q194" i="10"/>
  <c r="R106" i="7"/>
  <c r="Q106" i="7"/>
  <c r="R105" i="7"/>
  <c r="Q105" i="7"/>
  <c r="R104" i="7"/>
  <c r="Q104" i="7"/>
  <c r="R103" i="7"/>
  <c r="Q103" i="7"/>
  <c r="R102" i="7"/>
  <c r="Q102" i="7"/>
  <c r="R101" i="7"/>
  <c r="Q101" i="7"/>
  <c r="R100" i="7"/>
  <c r="Q100" i="7"/>
  <c r="R99" i="7"/>
  <c r="Q99" i="7"/>
  <c r="R98" i="7"/>
  <c r="Q98" i="7"/>
  <c r="R97" i="7"/>
  <c r="Q97" i="7"/>
  <c r="R96" i="7"/>
  <c r="Q96" i="7"/>
  <c r="R95" i="7"/>
  <c r="Q95" i="7"/>
  <c r="R94" i="7"/>
  <c r="Q94" i="7"/>
  <c r="R93" i="7"/>
  <c r="Q93" i="7"/>
  <c r="R106" i="6"/>
  <c r="Q106" i="6"/>
  <c r="R105" i="6"/>
  <c r="Q105" i="6"/>
  <c r="R104" i="6"/>
  <c r="Q104" i="6"/>
  <c r="R103" i="6"/>
  <c r="Q103" i="6"/>
  <c r="R102" i="6"/>
  <c r="Q102" i="6"/>
  <c r="R101" i="6"/>
  <c r="Q101" i="6"/>
  <c r="R100" i="6"/>
  <c r="Q100" i="6"/>
  <c r="R99" i="6"/>
  <c r="Q99" i="6"/>
  <c r="R98" i="6"/>
  <c r="Q98" i="6"/>
  <c r="R97" i="6"/>
  <c r="Q97" i="6"/>
  <c r="R96" i="6"/>
  <c r="Q96" i="6"/>
  <c r="R95" i="6"/>
  <c r="Q95" i="6"/>
  <c r="R94" i="6"/>
  <c r="Q94" i="6"/>
  <c r="R93" i="6"/>
  <c r="Q93" i="6"/>
  <c r="R106" i="5"/>
  <c r="Q106" i="5"/>
  <c r="R105" i="5"/>
  <c r="Q105" i="5"/>
  <c r="R104" i="5"/>
  <c r="Q104" i="5"/>
  <c r="R103" i="5"/>
  <c r="Q103" i="5"/>
  <c r="R102" i="5"/>
  <c r="Q102" i="5"/>
  <c r="R101" i="5"/>
  <c r="Q101" i="5"/>
  <c r="R100" i="5"/>
  <c r="Q100" i="5"/>
  <c r="R99" i="5"/>
  <c r="Q99" i="5"/>
  <c r="R98" i="5"/>
  <c r="Q98" i="5"/>
  <c r="R97" i="5"/>
  <c r="Q97" i="5"/>
  <c r="R96" i="5"/>
  <c r="Q96" i="5"/>
  <c r="R95" i="5"/>
  <c r="Q95" i="5"/>
  <c r="R94" i="5"/>
  <c r="Q94" i="5"/>
  <c r="R93" i="5"/>
  <c r="Q93" i="5"/>
  <c r="U268" i="1" l="1"/>
  <c r="S7" i="14"/>
  <c r="R7" i="14"/>
  <c r="S7" i="13"/>
  <c r="R7" i="13"/>
  <c r="S7" i="12"/>
  <c r="R7" i="12"/>
  <c r="S7" i="11"/>
  <c r="R7" i="11"/>
  <c r="S13" i="14"/>
  <c r="R13" i="14"/>
  <c r="S12" i="14"/>
  <c r="R12" i="14"/>
  <c r="S10" i="14"/>
  <c r="R10" i="14"/>
  <c r="S9" i="14"/>
  <c r="R9" i="14"/>
  <c r="S8" i="14"/>
  <c r="R8" i="14"/>
  <c r="S11" i="14"/>
  <c r="R11" i="14"/>
  <c r="S6" i="14"/>
  <c r="R6" i="14"/>
  <c r="S13" i="13"/>
  <c r="R13" i="13"/>
  <c r="S12" i="13"/>
  <c r="R12" i="13"/>
  <c r="S11" i="13"/>
  <c r="R11" i="13"/>
  <c r="S10" i="13"/>
  <c r="R10" i="13"/>
  <c r="S9" i="13"/>
  <c r="R9" i="13"/>
  <c r="S8" i="13"/>
  <c r="R8" i="13"/>
  <c r="S6" i="13"/>
  <c r="R6" i="13"/>
  <c r="S13" i="12"/>
  <c r="R13" i="12"/>
  <c r="S12" i="12"/>
  <c r="R12" i="12"/>
  <c r="S14" i="11"/>
  <c r="R14" i="11"/>
  <c r="S13" i="11"/>
  <c r="R13" i="11"/>
  <c r="S9" i="12"/>
  <c r="R9" i="12"/>
  <c r="S8" i="12"/>
  <c r="R8" i="12"/>
  <c r="S11" i="12"/>
  <c r="R11" i="12"/>
  <c r="S10" i="12"/>
  <c r="R10" i="12"/>
  <c r="S6" i="12"/>
  <c r="R6" i="12"/>
  <c r="S11" i="11"/>
  <c r="R11" i="11"/>
  <c r="S9" i="11"/>
  <c r="R9" i="11"/>
  <c r="V264" i="1"/>
  <c r="U264" i="1"/>
  <c r="V263" i="1"/>
  <c r="U263" i="1"/>
  <c r="V262" i="1"/>
  <c r="U262" i="1"/>
  <c r="V261" i="1"/>
  <c r="U261" i="1"/>
  <c r="V291" i="1"/>
  <c r="U291" i="1"/>
  <c r="V290" i="1"/>
  <c r="U290" i="1"/>
  <c r="V289" i="1"/>
  <c r="U289" i="1"/>
  <c r="V288" i="1"/>
  <c r="U288" i="1"/>
  <c r="V287" i="1"/>
  <c r="U287" i="1"/>
  <c r="V286" i="1"/>
  <c r="U286" i="1"/>
  <c r="V284" i="1"/>
  <c r="U284" i="1"/>
  <c r="V283" i="1"/>
  <c r="U283" i="1"/>
  <c r="V282" i="1"/>
  <c r="U282" i="1"/>
  <c r="V281" i="1"/>
  <c r="U281" i="1"/>
  <c r="V280" i="1"/>
  <c r="U280" i="1"/>
  <c r="V279" i="1"/>
  <c r="U279" i="1"/>
  <c r="V277" i="1"/>
  <c r="U277" i="1"/>
  <c r="V276" i="1"/>
  <c r="U276" i="1"/>
  <c r="V275" i="1"/>
  <c r="U275" i="1"/>
  <c r="V274" i="1"/>
  <c r="U274" i="1"/>
  <c r="V273" i="1"/>
  <c r="U273" i="1"/>
  <c r="V272" i="1"/>
  <c r="U272" i="1"/>
  <c r="V270" i="1"/>
  <c r="U270" i="1"/>
  <c r="V269" i="1"/>
  <c r="U269" i="1"/>
  <c r="V268" i="1"/>
  <c r="V267" i="1"/>
  <c r="U267" i="1"/>
  <c r="V266" i="1"/>
  <c r="U266" i="1"/>
  <c r="AJ265" i="1"/>
  <c r="AI265" i="1"/>
  <c r="V265" i="1"/>
  <c r="U265" i="1"/>
  <c r="V260" i="1"/>
  <c r="U260" i="1"/>
  <c r="V259" i="1"/>
  <c r="U259" i="1"/>
  <c r="S12" i="11"/>
  <c r="R12" i="11"/>
  <c r="S10" i="11"/>
  <c r="R10" i="11"/>
  <c r="S8" i="11"/>
  <c r="R8" i="11"/>
  <c r="S6" i="11"/>
  <c r="R6" i="11"/>
  <c r="S4" i="14"/>
  <c r="R4" i="14"/>
  <c r="S3" i="14"/>
  <c r="R3" i="14"/>
  <c r="S2" i="14"/>
  <c r="R2" i="14"/>
  <c r="S4" i="13"/>
  <c r="R4" i="13"/>
  <c r="S3" i="13"/>
  <c r="R3" i="13"/>
  <c r="S2" i="13"/>
  <c r="R2" i="13"/>
  <c r="S4" i="12"/>
  <c r="R4" i="12"/>
  <c r="S3" i="12"/>
  <c r="R3" i="12"/>
  <c r="S2" i="12"/>
  <c r="R2" i="12"/>
  <c r="S4" i="11"/>
  <c r="R4" i="11"/>
  <c r="S3" i="11"/>
  <c r="R3" i="11"/>
  <c r="S2" i="11"/>
  <c r="R2" i="11"/>
  <c r="T204" i="9"/>
  <c r="U204" i="9"/>
  <c r="V204" i="9"/>
  <c r="R84" i="6" l="1"/>
  <c r="Q84" i="6"/>
  <c r="R91" i="7"/>
  <c r="Q91" i="7"/>
  <c r="R90" i="7"/>
  <c r="Q90" i="7"/>
  <c r="R89" i="7"/>
  <c r="Q89" i="7"/>
  <c r="R88" i="7"/>
  <c r="Q88" i="7"/>
  <c r="R87" i="7"/>
  <c r="Q87" i="7"/>
  <c r="R86" i="7"/>
  <c r="Q86" i="7"/>
  <c r="R85" i="7"/>
  <c r="Q85" i="7"/>
  <c r="R84" i="7"/>
  <c r="Q84" i="7"/>
  <c r="R83" i="7"/>
  <c r="Q83" i="7"/>
  <c r="R82" i="7"/>
  <c r="Q82" i="7"/>
  <c r="R81" i="7"/>
  <c r="Q81" i="7"/>
  <c r="R80" i="7"/>
  <c r="Q80" i="7"/>
  <c r="R79" i="7"/>
  <c r="Q79" i="7"/>
  <c r="R91" i="6"/>
  <c r="Q91" i="6"/>
  <c r="R90" i="6"/>
  <c r="Q90" i="6"/>
  <c r="R89" i="6"/>
  <c r="Q89" i="6"/>
  <c r="R88" i="6"/>
  <c r="Q88" i="6"/>
  <c r="R87" i="6"/>
  <c r="Q87" i="6"/>
  <c r="R86" i="6"/>
  <c r="Q86" i="6"/>
  <c r="R85" i="6"/>
  <c r="Q85" i="6"/>
  <c r="R83" i="6"/>
  <c r="Q83" i="6"/>
  <c r="R82" i="6"/>
  <c r="Q82" i="6"/>
  <c r="R81" i="6"/>
  <c r="Q81" i="6"/>
  <c r="R80" i="6"/>
  <c r="Q80" i="6"/>
  <c r="R79" i="6"/>
  <c r="Q79" i="6"/>
  <c r="R91" i="5"/>
  <c r="Q91" i="5"/>
  <c r="R90" i="5"/>
  <c r="Q90" i="5"/>
  <c r="R89" i="5"/>
  <c r="Q89" i="5"/>
  <c r="R88" i="5"/>
  <c r="Q88" i="5"/>
  <c r="R87" i="5"/>
  <c r="Q87" i="5"/>
  <c r="R86" i="5"/>
  <c r="Q86" i="5"/>
  <c r="R85" i="5"/>
  <c r="Q85" i="5"/>
  <c r="R84" i="5"/>
  <c r="Q84" i="5"/>
  <c r="R83" i="5"/>
  <c r="Q83" i="5"/>
  <c r="R82" i="5"/>
  <c r="Q82" i="5"/>
  <c r="R81" i="5"/>
  <c r="Q81" i="5"/>
  <c r="R80" i="5"/>
  <c r="Q80" i="5"/>
  <c r="R79" i="5"/>
  <c r="Q79" i="5"/>
  <c r="R192" i="10"/>
  <c r="Q192" i="10"/>
  <c r="R191" i="10"/>
  <c r="Q191" i="10"/>
  <c r="R190" i="10"/>
  <c r="Q190" i="10"/>
  <c r="R189" i="10"/>
  <c r="Q189" i="10"/>
  <c r="R188" i="10"/>
  <c r="Q188" i="10"/>
  <c r="R187" i="10"/>
  <c r="Q187" i="10"/>
  <c r="R186" i="10"/>
  <c r="Q186" i="10"/>
  <c r="R185" i="10"/>
  <c r="Q185" i="10"/>
  <c r="R184" i="10"/>
  <c r="Q184" i="10"/>
  <c r="R183" i="10"/>
  <c r="Q183" i="10"/>
  <c r="R182" i="10"/>
  <c r="Q182" i="10"/>
  <c r="R181" i="10"/>
  <c r="Q181" i="10"/>
  <c r="R180" i="10"/>
  <c r="Q180" i="10"/>
  <c r="R179" i="10"/>
  <c r="Q179" i="10"/>
  <c r="R214" i="9"/>
  <c r="Q214" i="9"/>
  <c r="R213" i="9"/>
  <c r="Q213" i="9"/>
  <c r="R212" i="9"/>
  <c r="Q212" i="9"/>
  <c r="R211" i="9"/>
  <c r="Q211" i="9"/>
  <c r="R210" i="9"/>
  <c r="Q210" i="9"/>
  <c r="R209" i="9"/>
  <c r="Q209" i="9"/>
  <c r="R208" i="9"/>
  <c r="Q208" i="9"/>
  <c r="R207" i="9"/>
  <c r="Q207" i="9"/>
  <c r="R206" i="9"/>
  <c r="Q206" i="9"/>
  <c r="R205" i="9"/>
  <c r="Q205" i="9"/>
  <c r="R204" i="9"/>
  <c r="Q204" i="9"/>
  <c r="R203" i="9"/>
  <c r="Q203" i="9"/>
  <c r="R202" i="9"/>
  <c r="Q202" i="9"/>
  <c r="R201" i="9"/>
  <c r="Q201" i="9"/>
  <c r="V230" i="1" l="1"/>
  <c r="U230" i="1"/>
  <c r="V229" i="1"/>
  <c r="U229" i="1"/>
  <c r="V250" i="1" l="1"/>
  <c r="U250" i="1"/>
  <c r="V249" i="1"/>
  <c r="U249" i="1"/>
  <c r="V248" i="1"/>
  <c r="U248" i="1"/>
  <c r="V247" i="1"/>
  <c r="U247" i="1"/>
  <c r="V241" i="1"/>
  <c r="U241" i="1"/>
  <c r="V240" i="1"/>
  <c r="U240" i="1"/>
  <c r="V239" i="1"/>
  <c r="U239" i="1"/>
  <c r="V238" i="1"/>
  <c r="U238" i="1"/>
  <c r="U257" i="1"/>
  <c r="V257" i="1"/>
  <c r="U256" i="1"/>
  <c r="V256" i="1"/>
  <c r="U254" i="1"/>
  <c r="V254" i="1"/>
  <c r="U255" i="1"/>
  <c r="V255" i="1"/>
  <c r="U245" i="1"/>
  <c r="V245" i="1"/>
  <c r="U246" i="1"/>
  <c r="V246" i="1"/>
  <c r="U236" i="1"/>
  <c r="V236" i="1"/>
  <c r="U237" i="1"/>
  <c r="V237" i="1"/>
  <c r="U223" i="1"/>
  <c r="V223" i="1"/>
  <c r="U224" i="1"/>
  <c r="V224" i="1"/>
  <c r="U225" i="1"/>
  <c r="V225" i="1"/>
  <c r="U226" i="1"/>
  <c r="V226" i="1"/>
  <c r="U227" i="1"/>
  <c r="V227" i="1"/>
  <c r="U228" i="1"/>
  <c r="V228" i="1"/>
  <c r="V253" i="1"/>
  <c r="U253" i="1"/>
  <c r="V252" i="1"/>
  <c r="U252" i="1"/>
  <c r="V244" i="1"/>
  <c r="U244" i="1"/>
  <c r="V243" i="1"/>
  <c r="U243" i="1"/>
  <c r="V235" i="1"/>
  <c r="U235" i="1"/>
  <c r="V234" i="1"/>
  <c r="U234" i="1"/>
  <c r="V233" i="1"/>
  <c r="U233" i="1"/>
  <c r="V232" i="1"/>
  <c r="U232" i="1"/>
  <c r="AJ224" i="1"/>
  <c r="AI224" i="1"/>
  <c r="V222" i="1"/>
  <c r="U222" i="1"/>
  <c r="R77" i="7"/>
  <c r="Q77" i="7"/>
  <c r="R76" i="7"/>
  <c r="Q76" i="7"/>
  <c r="R75" i="7"/>
  <c r="Q75" i="7"/>
  <c r="R74" i="7"/>
  <c r="Q74" i="7"/>
  <c r="R73" i="7"/>
  <c r="Q73" i="7"/>
  <c r="R72" i="7"/>
  <c r="Q72" i="7"/>
  <c r="R71" i="7"/>
  <c r="Q71" i="7"/>
  <c r="R70" i="7"/>
  <c r="Q70" i="7"/>
  <c r="V69" i="7"/>
  <c r="U69" i="7"/>
  <c r="T69" i="7"/>
  <c r="R69" i="7"/>
  <c r="Q69" i="7"/>
  <c r="R68" i="7"/>
  <c r="Q68" i="7"/>
  <c r="R67" i="7"/>
  <c r="Q67" i="7"/>
  <c r="R66" i="7"/>
  <c r="Q66" i="7"/>
  <c r="R65" i="7"/>
  <c r="Q65" i="7"/>
  <c r="R63" i="7"/>
  <c r="Q63" i="7"/>
  <c r="R62" i="7"/>
  <c r="Q62" i="7"/>
  <c r="R61" i="7"/>
  <c r="Q61" i="7"/>
  <c r="R60" i="7"/>
  <c r="Q60" i="7"/>
  <c r="R59" i="7"/>
  <c r="Q59" i="7"/>
  <c r="R58" i="7"/>
  <c r="Q58" i="7"/>
  <c r="R56" i="7"/>
  <c r="Q56" i="7"/>
  <c r="R55" i="7"/>
  <c r="Q55" i="7"/>
  <c r="R53" i="7"/>
  <c r="Q53" i="7"/>
  <c r="R51" i="7"/>
  <c r="Q51" i="7"/>
  <c r="R50" i="7"/>
  <c r="Q50" i="7"/>
  <c r="R49" i="7"/>
  <c r="Q49" i="7"/>
  <c r="R48" i="7"/>
  <c r="Q48" i="7"/>
  <c r="R47" i="7"/>
  <c r="Q47" i="7"/>
  <c r="R46" i="7"/>
  <c r="Q46" i="7"/>
  <c r="R44" i="7"/>
  <c r="Q44" i="7"/>
  <c r="R43" i="7"/>
  <c r="Q43" i="7"/>
  <c r="R41" i="7"/>
  <c r="Q41" i="7"/>
  <c r="R39" i="7"/>
  <c r="Q39" i="7"/>
  <c r="R38" i="7"/>
  <c r="Q38" i="7"/>
  <c r="R37" i="7"/>
  <c r="Q37" i="7"/>
  <c r="R36" i="7"/>
  <c r="Q36" i="7"/>
  <c r="R35" i="7"/>
  <c r="Q35" i="7"/>
  <c r="R34" i="7"/>
  <c r="Q34" i="7"/>
  <c r="R33" i="7"/>
  <c r="Q33" i="7"/>
  <c r="R32" i="7"/>
  <c r="Q32" i="7"/>
  <c r="R31" i="7"/>
  <c r="Q31" i="7"/>
  <c r="R30" i="7"/>
  <c r="Q30" i="7"/>
  <c r="R29" i="7"/>
  <c r="Q29" i="7"/>
  <c r="R27" i="7"/>
  <c r="Q27" i="7"/>
  <c r="R26" i="7"/>
  <c r="Q26" i="7"/>
  <c r="R25" i="7"/>
  <c r="Q25" i="7"/>
  <c r="R24" i="7"/>
  <c r="Q24" i="7"/>
  <c r="R23" i="7"/>
  <c r="Q23" i="7"/>
  <c r="R22" i="7"/>
  <c r="Q22" i="7"/>
  <c r="R21" i="7"/>
  <c r="Q21" i="7"/>
  <c r="R20" i="7"/>
  <c r="Q20" i="7"/>
  <c r="R19" i="7"/>
  <c r="Q19" i="7"/>
  <c r="R77" i="6"/>
  <c r="Q77" i="6"/>
  <c r="R76" i="6"/>
  <c r="Q76" i="6"/>
  <c r="R75" i="6"/>
  <c r="Q75" i="6"/>
  <c r="R74" i="6"/>
  <c r="Q74" i="6"/>
  <c r="R73" i="6"/>
  <c r="Q73" i="6"/>
  <c r="R72" i="6"/>
  <c r="Q72" i="6"/>
  <c r="R71" i="6"/>
  <c r="Q71" i="6"/>
  <c r="R70" i="6"/>
  <c r="Q70" i="6"/>
  <c r="R69" i="6"/>
  <c r="Q69" i="6"/>
  <c r="R68" i="6"/>
  <c r="Q68" i="6"/>
  <c r="R67" i="6"/>
  <c r="Q67" i="6"/>
  <c r="R66" i="6"/>
  <c r="Q66" i="6"/>
  <c r="R65" i="6"/>
  <c r="Q65" i="6"/>
  <c r="R63" i="6"/>
  <c r="Q63" i="6"/>
  <c r="R62" i="6"/>
  <c r="Q62" i="6"/>
  <c r="R61" i="6"/>
  <c r="Q61" i="6"/>
  <c r="R60" i="6"/>
  <c r="Q60" i="6"/>
  <c r="R59" i="6"/>
  <c r="Q59" i="6"/>
  <c r="R58" i="6"/>
  <c r="Q58" i="6"/>
  <c r="R56" i="6"/>
  <c r="Q56" i="6"/>
  <c r="R55" i="6"/>
  <c r="Q55" i="6"/>
  <c r="R53" i="6"/>
  <c r="Q53" i="6"/>
  <c r="R51" i="6"/>
  <c r="Q51" i="6"/>
  <c r="R50" i="6"/>
  <c r="Q50" i="6"/>
  <c r="R49" i="6"/>
  <c r="Q49" i="6"/>
  <c r="R48" i="6"/>
  <c r="Q48" i="6"/>
  <c r="R47" i="6"/>
  <c r="Q47" i="6"/>
  <c r="R46" i="6"/>
  <c r="Q46" i="6"/>
  <c r="R44" i="6"/>
  <c r="Q44" i="6"/>
  <c r="R43" i="6"/>
  <c r="Q43" i="6"/>
  <c r="R41" i="6"/>
  <c r="Q41" i="6"/>
  <c r="R39" i="6"/>
  <c r="Q39" i="6"/>
  <c r="R38" i="6"/>
  <c r="Q38" i="6"/>
  <c r="R37" i="6"/>
  <c r="Q37" i="6"/>
  <c r="R36" i="6"/>
  <c r="Q36" i="6"/>
  <c r="R35" i="6"/>
  <c r="Q35" i="6"/>
  <c r="R34" i="6"/>
  <c r="Q34" i="6"/>
  <c r="R33" i="6"/>
  <c r="Q33" i="6"/>
  <c r="R32" i="6"/>
  <c r="Q32" i="6"/>
  <c r="R31" i="6"/>
  <c r="Q31" i="6"/>
  <c r="R30" i="6"/>
  <c r="Q30" i="6"/>
  <c r="R29" i="6"/>
  <c r="Q29" i="6"/>
  <c r="R27" i="6"/>
  <c r="Q27" i="6"/>
  <c r="R26" i="6"/>
  <c r="Q26" i="6"/>
  <c r="R25" i="6"/>
  <c r="Q25" i="6"/>
  <c r="R24" i="6"/>
  <c r="Q24" i="6"/>
  <c r="R23" i="6"/>
  <c r="Q23" i="6"/>
  <c r="R22" i="6"/>
  <c r="Q22" i="6"/>
  <c r="R21" i="6"/>
  <c r="Q21" i="6"/>
  <c r="R20" i="6"/>
  <c r="Q20" i="6"/>
  <c r="R19" i="6"/>
  <c r="Q19" i="6"/>
  <c r="R77" i="5"/>
  <c r="Q77" i="5"/>
  <c r="R76" i="5"/>
  <c r="Q76" i="5"/>
  <c r="R75" i="5"/>
  <c r="Q75" i="5"/>
  <c r="R74" i="5"/>
  <c r="Q74" i="5"/>
  <c r="R73" i="5"/>
  <c r="Q73" i="5"/>
  <c r="R72" i="5"/>
  <c r="Q72" i="5"/>
  <c r="R71" i="5"/>
  <c r="Q71" i="5"/>
  <c r="R70" i="5"/>
  <c r="Q70" i="5"/>
  <c r="R69" i="5"/>
  <c r="Q69" i="5"/>
  <c r="R68" i="5"/>
  <c r="Q68" i="5"/>
  <c r="R67" i="5"/>
  <c r="Q67" i="5"/>
  <c r="R66" i="5"/>
  <c r="Q66" i="5"/>
  <c r="R65" i="5"/>
  <c r="Q65" i="5"/>
  <c r="R63" i="5"/>
  <c r="Q63" i="5"/>
  <c r="R62" i="5"/>
  <c r="Q62" i="5"/>
  <c r="R61" i="5"/>
  <c r="Q61" i="5"/>
  <c r="R60" i="5"/>
  <c r="Q60" i="5"/>
  <c r="R59" i="5"/>
  <c r="Q59" i="5"/>
  <c r="R58" i="5"/>
  <c r="Q58" i="5"/>
  <c r="R56" i="5"/>
  <c r="Q56" i="5"/>
  <c r="R55" i="5"/>
  <c r="Q55" i="5"/>
  <c r="R53" i="5"/>
  <c r="Q53" i="5"/>
  <c r="R51" i="5"/>
  <c r="Q51" i="5"/>
  <c r="R50" i="5"/>
  <c r="Q50" i="5"/>
  <c r="R49" i="5"/>
  <c r="Q49" i="5"/>
  <c r="R48" i="5"/>
  <c r="Q48" i="5"/>
  <c r="R47" i="5"/>
  <c r="Q47" i="5"/>
  <c r="R46" i="5"/>
  <c r="Q46" i="5"/>
  <c r="R44" i="5"/>
  <c r="Q44" i="5"/>
  <c r="R43" i="5"/>
  <c r="Q43" i="5"/>
  <c r="R41" i="5"/>
  <c r="Q41" i="5"/>
  <c r="R39" i="5"/>
  <c r="Q39" i="5"/>
  <c r="R38" i="5"/>
  <c r="Q38" i="5"/>
  <c r="R37" i="5"/>
  <c r="Q37" i="5"/>
  <c r="R36" i="5"/>
  <c r="Q36" i="5"/>
  <c r="R35" i="5"/>
  <c r="Q35" i="5"/>
  <c r="R34" i="5"/>
  <c r="Q34" i="5"/>
  <c r="R33" i="5"/>
  <c r="Q33" i="5"/>
  <c r="R32" i="5"/>
  <c r="Q32" i="5"/>
  <c r="R31" i="5"/>
  <c r="Q31" i="5"/>
  <c r="R30" i="5"/>
  <c r="Q30" i="5"/>
  <c r="R29" i="5"/>
  <c r="Q29" i="5"/>
  <c r="R27" i="5"/>
  <c r="Q27" i="5"/>
  <c r="R26" i="5"/>
  <c r="Q26" i="5"/>
  <c r="R25" i="5"/>
  <c r="Q25" i="5"/>
  <c r="R24" i="5"/>
  <c r="Q24" i="5"/>
  <c r="R23" i="5"/>
  <c r="Q23" i="5"/>
  <c r="R22" i="5"/>
  <c r="Q22" i="5"/>
  <c r="R21" i="5"/>
  <c r="Q21" i="5"/>
  <c r="R20" i="5"/>
  <c r="Q20" i="5"/>
  <c r="R19" i="5"/>
  <c r="Q19" i="5"/>
  <c r="R177" i="10"/>
  <c r="Q177" i="10"/>
  <c r="R176" i="10"/>
  <c r="Q176" i="10"/>
  <c r="R175" i="10"/>
  <c r="Q175" i="10"/>
  <c r="R174" i="10"/>
  <c r="Q174" i="10"/>
  <c r="R173" i="10"/>
  <c r="Q173" i="10"/>
  <c r="R172" i="10"/>
  <c r="Q172" i="10"/>
  <c r="R171" i="10"/>
  <c r="Q171" i="10"/>
  <c r="R170" i="10"/>
  <c r="Q170" i="10"/>
  <c r="R169" i="10"/>
  <c r="Q169" i="10"/>
  <c r="R168" i="10"/>
  <c r="Q168" i="10"/>
  <c r="R167" i="10"/>
  <c r="Q167" i="10"/>
  <c r="R166" i="10"/>
  <c r="Q166" i="10"/>
  <c r="R165" i="10"/>
  <c r="Q165" i="10"/>
  <c r="R164" i="10"/>
  <c r="Q164" i="10"/>
  <c r="R162" i="10"/>
  <c r="Q162" i="10"/>
  <c r="R161" i="10"/>
  <c r="Q161" i="10"/>
  <c r="R160" i="10"/>
  <c r="Q160" i="10"/>
  <c r="R159" i="10"/>
  <c r="Q159" i="10"/>
  <c r="R158" i="10"/>
  <c r="Q158" i="10"/>
  <c r="R157" i="10"/>
  <c r="Q157" i="10"/>
  <c r="R156" i="10"/>
  <c r="Q156" i="10"/>
  <c r="R155" i="10"/>
  <c r="Q155" i="10"/>
  <c r="R153" i="10"/>
  <c r="Q153" i="10"/>
  <c r="R152" i="10"/>
  <c r="Q152" i="10"/>
  <c r="R151" i="10"/>
  <c r="Q151" i="10"/>
  <c r="R149" i="10"/>
  <c r="Q149" i="10"/>
  <c r="R147" i="10"/>
  <c r="Q147" i="10"/>
  <c r="R146" i="10"/>
  <c r="Q146" i="10"/>
  <c r="R145" i="10"/>
  <c r="Q145" i="10"/>
  <c r="R144" i="10"/>
  <c r="Q144" i="10"/>
  <c r="R143" i="10"/>
  <c r="Q143" i="10"/>
  <c r="R142" i="10"/>
  <c r="Q142" i="10"/>
  <c r="R141" i="10"/>
  <c r="Q141" i="10"/>
  <c r="R140" i="10"/>
  <c r="Q140" i="10"/>
  <c r="R138" i="10"/>
  <c r="Q138" i="10"/>
  <c r="R137" i="10"/>
  <c r="Q137" i="10"/>
  <c r="R136" i="10"/>
  <c r="Q136" i="10"/>
  <c r="R134" i="10"/>
  <c r="Q134" i="10"/>
  <c r="R132" i="10"/>
  <c r="Q132" i="10"/>
  <c r="R131" i="10"/>
  <c r="Q131" i="10"/>
  <c r="R130" i="10"/>
  <c r="Q130" i="10"/>
  <c r="R129" i="10"/>
  <c r="Q129" i="10"/>
  <c r="R128" i="10"/>
  <c r="Q128" i="10"/>
  <c r="R127" i="10"/>
  <c r="Q127" i="10"/>
  <c r="R126" i="10"/>
  <c r="Q126" i="10"/>
  <c r="R125" i="10"/>
  <c r="Q125" i="10"/>
  <c r="R123" i="10"/>
  <c r="Q123" i="10"/>
  <c r="R122" i="10"/>
  <c r="Q122" i="10"/>
  <c r="R121" i="10"/>
  <c r="Q121" i="10"/>
  <c r="R119" i="10"/>
  <c r="Q119" i="10"/>
  <c r="R117" i="10"/>
  <c r="Q117" i="10"/>
  <c r="R116" i="10"/>
  <c r="Q116" i="10"/>
  <c r="R115" i="10"/>
  <c r="Q115" i="10"/>
  <c r="R114" i="10"/>
  <c r="Q114" i="10"/>
  <c r="R113" i="10"/>
  <c r="Q113" i="10"/>
  <c r="R112" i="10"/>
  <c r="Q112" i="10"/>
  <c r="R111" i="10"/>
  <c r="Q111" i="10"/>
  <c r="R110" i="10"/>
  <c r="Q110" i="10"/>
  <c r="R109" i="10"/>
  <c r="Q109" i="10"/>
  <c r="R108" i="10"/>
  <c r="Q108" i="10"/>
  <c r="R107" i="10"/>
  <c r="Q107" i="10"/>
  <c r="R106" i="10"/>
  <c r="Q106" i="10"/>
  <c r="R105" i="10"/>
  <c r="Q105" i="10"/>
  <c r="R103" i="10"/>
  <c r="Q103" i="10"/>
  <c r="R102" i="10"/>
  <c r="Q102" i="10"/>
  <c r="R101" i="10"/>
  <c r="Q101" i="10"/>
  <c r="R100" i="10"/>
  <c r="Q100" i="10"/>
  <c r="R99" i="10"/>
  <c r="Q99" i="10"/>
  <c r="R98" i="10"/>
  <c r="Q98" i="10"/>
  <c r="R97" i="10"/>
  <c r="Q97" i="10"/>
  <c r="R96" i="10"/>
  <c r="Q96" i="10"/>
  <c r="R95" i="10"/>
  <c r="Q95" i="10"/>
  <c r="R94" i="10"/>
  <c r="Q94" i="10"/>
  <c r="R93" i="10"/>
  <c r="Q93" i="10"/>
  <c r="R92" i="10"/>
  <c r="Q92" i="10"/>
  <c r="R90" i="10"/>
  <c r="Q90" i="10"/>
  <c r="R89" i="10"/>
  <c r="Q89" i="10"/>
  <c r="R88" i="10"/>
  <c r="Q88" i="10"/>
  <c r="R87" i="10"/>
  <c r="Q87" i="10"/>
  <c r="R86" i="10"/>
  <c r="Q86" i="10"/>
  <c r="R85" i="10"/>
  <c r="Q85" i="10"/>
  <c r="R84" i="10"/>
  <c r="Q84" i="10"/>
  <c r="R83" i="10"/>
  <c r="Q83" i="10"/>
  <c r="R82" i="10"/>
  <c r="Q82" i="10"/>
  <c r="R81" i="10"/>
  <c r="Q81" i="10"/>
  <c r="R80" i="10"/>
  <c r="Q80" i="10"/>
  <c r="R78" i="10"/>
  <c r="Q78" i="10"/>
  <c r="R77" i="10"/>
  <c r="Q77" i="10"/>
  <c r="R76" i="10"/>
  <c r="Q76" i="10"/>
  <c r="R75" i="10"/>
  <c r="Q75" i="10"/>
  <c r="R74" i="10"/>
  <c r="Q74" i="10"/>
  <c r="R73" i="10"/>
  <c r="Q73" i="10"/>
  <c r="R72" i="10"/>
  <c r="Q72" i="10"/>
  <c r="R71" i="10"/>
  <c r="Q71" i="10"/>
  <c r="R70" i="10"/>
  <c r="Q70" i="10"/>
  <c r="R69" i="10"/>
  <c r="Q69" i="10"/>
  <c r="R68" i="10"/>
  <c r="Q68" i="10"/>
  <c r="R66" i="10"/>
  <c r="Q66" i="10"/>
  <c r="R65" i="10"/>
  <c r="Q65" i="10"/>
  <c r="R64" i="10"/>
  <c r="Q64" i="10"/>
  <c r="R63" i="10"/>
  <c r="Q63" i="10"/>
  <c r="R62" i="10"/>
  <c r="Q62" i="10"/>
  <c r="R61" i="10"/>
  <c r="Q61" i="10"/>
  <c r="R60" i="10"/>
  <c r="Q60" i="10"/>
  <c r="R59" i="10"/>
  <c r="Q59" i="10"/>
  <c r="R58" i="10"/>
  <c r="Q58" i="10"/>
  <c r="R57" i="10"/>
  <c r="Q57" i="10"/>
  <c r="R56" i="10"/>
  <c r="Q56" i="10"/>
  <c r="R55" i="10"/>
  <c r="Q55" i="10"/>
  <c r="R53" i="10"/>
  <c r="Q53" i="10"/>
  <c r="R52" i="10"/>
  <c r="Q52" i="10"/>
  <c r="R51" i="10"/>
  <c r="Q51" i="10"/>
  <c r="R50" i="10"/>
  <c r="Q50" i="10"/>
  <c r="R49" i="10"/>
  <c r="Q49" i="10"/>
  <c r="R48" i="10"/>
  <c r="Q48" i="10"/>
  <c r="R47" i="10"/>
  <c r="Q47" i="10"/>
  <c r="R46" i="10"/>
  <c r="Q46" i="10"/>
  <c r="R45" i="10"/>
  <c r="Q45" i="10"/>
  <c r="R44" i="10"/>
  <c r="Q44" i="10"/>
  <c r="R43" i="10"/>
  <c r="Q43" i="10"/>
  <c r="R42" i="10"/>
  <c r="Q42" i="10"/>
  <c r="R40" i="10"/>
  <c r="Q40" i="10"/>
  <c r="R39" i="10"/>
  <c r="Q39" i="10"/>
  <c r="R38" i="10"/>
  <c r="Q38" i="10"/>
  <c r="R37" i="10"/>
  <c r="Q37" i="10"/>
  <c r="R36" i="10"/>
  <c r="Q36" i="10"/>
  <c r="R35" i="10"/>
  <c r="Q35" i="10"/>
  <c r="R34" i="10"/>
  <c r="Q34" i="10"/>
  <c r="R33" i="10"/>
  <c r="Q33" i="10"/>
  <c r="R32" i="10"/>
  <c r="Q32" i="10"/>
  <c r="R31" i="10"/>
  <c r="Q31" i="10"/>
  <c r="R30" i="10"/>
  <c r="Q30" i="10"/>
  <c r="R29" i="10"/>
  <c r="Q29" i="10"/>
  <c r="R27" i="10"/>
  <c r="Q27" i="10"/>
  <c r="R26" i="10"/>
  <c r="Q26" i="10"/>
  <c r="R25" i="10"/>
  <c r="Q25" i="10"/>
  <c r="R24" i="10"/>
  <c r="Q24" i="10"/>
  <c r="R23" i="10"/>
  <c r="Q23" i="10"/>
  <c r="R22" i="10"/>
  <c r="Q22" i="10"/>
  <c r="R21" i="10"/>
  <c r="Q21" i="10"/>
  <c r="R20" i="10"/>
  <c r="Q20" i="10"/>
  <c r="R19" i="10"/>
  <c r="Q19" i="10"/>
  <c r="R18" i="10"/>
  <c r="Q18" i="10"/>
  <c r="R16" i="10"/>
  <c r="Q16" i="10"/>
  <c r="R15" i="10"/>
  <c r="Q15" i="10"/>
  <c r="R14" i="10"/>
  <c r="Q14" i="10"/>
  <c r="R13" i="10"/>
  <c r="Q13" i="10"/>
  <c r="R12" i="10"/>
  <c r="Q12" i="10"/>
  <c r="R11" i="10"/>
  <c r="Q11" i="10"/>
  <c r="R10" i="10"/>
  <c r="Q10" i="10"/>
  <c r="R9" i="10"/>
  <c r="Q9" i="10"/>
  <c r="R199" i="9"/>
  <c r="Q199" i="9"/>
  <c r="R198" i="9"/>
  <c r="Q198" i="9"/>
  <c r="R197" i="9"/>
  <c r="Q197" i="9"/>
  <c r="R196" i="9"/>
  <c r="Q196" i="9"/>
  <c r="R195" i="9"/>
  <c r="Q195" i="9"/>
  <c r="R194" i="9"/>
  <c r="Q194" i="9"/>
  <c r="R193" i="9"/>
  <c r="Q193" i="9"/>
  <c r="R192" i="9"/>
  <c r="Q192" i="9"/>
  <c r="R191" i="9"/>
  <c r="Q191" i="9"/>
  <c r="R190" i="9"/>
  <c r="Q190" i="9"/>
  <c r="R189" i="9"/>
  <c r="Q189" i="9"/>
  <c r="R188" i="9"/>
  <c r="Q188" i="9"/>
  <c r="R187" i="9"/>
  <c r="Q187" i="9"/>
  <c r="R186" i="9"/>
  <c r="Q186" i="9"/>
  <c r="R184" i="9"/>
  <c r="Q184" i="9"/>
  <c r="R183" i="9"/>
  <c r="Q183" i="9"/>
  <c r="R182" i="9"/>
  <c r="Q182" i="9"/>
  <c r="R181" i="9"/>
  <c r="Q181" i="9"/>
  <c r="R180" i="9"/>
  <c r="Q180" i="9"/>
  <c r="R179" i="9"/>
  <c r="Q179" i="9"/>
  <c r="R178" i="9"/>
  <c r="Q178" i="9"/>
  <c r="R177" i="9"/>
  <c r="Q177" i="9"/>
  <c r="R176" i="9"/>
  <c r="Q176" i="9"/>
  <c r="R175" i="9"/>
  <c r="Q175" i="9"/>
  <c r="R174" i="9"/>
  <c r="Q174" i="9"/>
  <c r="R173" i="9"/>
  <c r="Q173" i="9"/>
  <c r="R172" i="9"/>
  <c r="Q172" i="9"/>
  <c r="R171" i="9"/>
  <c r="Q171" i="9"/>
  <c r="R169" i="9"/>
  <c r="Q169" i="9"/>
  <c r="R168" i="9"/>
  <c r="Q168" i="9"/>
  <c r="R167" i="9"/>
  <c r="Q167" i="9"/>
  <c r="R166" i="9"/>
  <c r="Q166" i="9"/>
  <c r="R165" i="9"/>
  <c r="Q165" i="9"/>
  <c r="R164" i="9"/>
  <c r="Q164" i="9"/>
  <c r="R163" i="9"/>
  <c r="Q163" i="9"/>
  <c r="R162" i="9"/>
  <c r="Q162" i="9"/>
  <c r="R160" i="9"/>
  <c r="Q160" i="9"/>
  <c r="R159" i="9"/>
  <c r="Q159" i="9"/>
  <c r="R158" i="9"/>
  <c r="Q158" i="9"/>
  <c r="R156" i="9"/>
  <c r="Q156" i="9"/>
  <c r="R154" i="9"/>
  <c r="Q154" i="9"/>
  <c r="R153" i="9"/>
  <c r="Q153" i="9"/>
  <c r="R152" i="9"/>
  <c r="Q152" i="9"/>
  <c r="R151" i="9"/>
  <c r="Q151" i="9"/>
  <c r="R150" i="9"/>
  <c r="Q150" i="9"/>
  <c r="R149" i="9"/>
  <c r="Q149" i="9"/>
  <c r="R148" i="9"/>
  <c r="Q148" i="9"/>
  <c r="R147" i="9"/>
  <c r="Q147" i="9"/>
  <c r="R145" i="9"/>
  <c r="Q145" i="9"/>
  <c r="R144" i="9"/>
  <c r="Q144" i="9"/>
  <c r="R143" i="9"/>
  <c r="Q143" i="9"/>
  <c r="R141" i="9"/>
  <c r="Q141" i="9"/>
  <c r="R139" i="9"/>
  <c r="Q139" i="9"/>
  <c r="R138" i="9"/>
  <c r="Q138" i="9"/>
  <c r="R137" i="9"/>
  <c r="Q137" i="9"/>
  <c r="R136" i="9"/>
  <c r="Q136" i="9"/>
  <c r="R135" i="9"/>
  <c r="Q135" i="9"/>
  <c r="AA134" i="9"/>
  <c r="Z134" i="9"/>
  <c r="Y134" i="9"/>
  <c r="R134" i="9"/>
  <c r="Q134" i="9"/>
  <c r="R133" i="9"/>
  <c r="Q133" i="9"/>
  <c r="R132" i="9"/>
  <c r="Q132" i="9"/>
  <c r="R131" i="9"/>
  <c r="Q131" i="9"/>
  <c r="R130" i="9"/>
  <c r="Q130" i="9"/>
  <c r="R129" i="9"/>
  <c r="Q129" i="9"/>
  <c r="R128" i="9"/>
  <c r="Q128" i="9"/>
  <c r="R127" i="9"/>
  <c r="Q127" i="9"/>
  <c r="R125" i="9"/>
  <c r="Q125" i="9"/>
  <c r="R124" i="9"/>
  <c r="Q124" i="9"/>
  <c r="R123" i="9"/>
  <c r="Q123" i="9"/>
  <c r="R122" i="9"/>
  <c r="Q122" i="9"/>
  <c r="R121" i="9"/>
  <c r="Q121" i="9"/>
  <c r="R120" i="9"/>
  <c r="Q120" i="9"/>
  <c r="R119" i="9"/>
  <c r="Q119" i="9"/>
  <c r="R118" i="9"/>
  <c r="Q118" i="9"/>
  <c r="R117" i="9"/>
  <c r="Q117" i="9"/>
  <c r="R116" i="9"/>
  <c r="Q116" i="9"/>
  <c r="R115" i="9"/>
  <c r="Q115" i="9"/>
  <c r="R114" i="9"/>
  <c r="Q114" i="9"/>
  <c r="R112" i="9"/>
  <c r="Q112" i="9"/>
  <c r="R111" i="9"/>
  <c r="Q111" i="9"/>
  <c r="R110" i="9"/>
  <c r="Q110" i="9"/>
  <c r="R109" i="9"/>
  <c r="Q109" i="9"/>
  <c r="AA108" i="9"/>
  <c r="Z108" i="9"/>
  <c r="Y108" i="9"/>
  <c r="R108" i="9"/>
  <c r="Q108" i="9"/>
  <c r="R107" i="9"/>
  <c r="Q107" i="9"/>
  <c r="R106" i="9"/>
  <c r="Q106" i="9"/>
  <c r="R105" i="9"/>
  <c r="Q105" i="9"/>
  <c r="R104" i="9"/>
  <c r="Q104" i="9"/>
  <c r="R103" i="9"/>
  <c r="Q103" i="9"/>
  <c r="R102" i="9"/>
  <c r="Q102" i="9"/>
  <c r="R100" i="9"/>
  <c r="Q100" i="9"/>
  <c r="R99" i="9"/>
  <c r="Q99" i="9"/>
  <c r="R98" i="9"/>
  <c r="Q98" i="9"/>
  <c r="R97" i="9"/>
  <c r="Q97" i="9"/>
  <c r="R96" i="9"/>
  <c r="Q96" i="9"/>
  <c r="R95" i="9"/>
  <c r="Q95" i="9"/>
  <c r="R94" i="9"/>
  <c r="Q94" i="9"/>
  <c r="R93" i="9"/>
  <c r="Q93" i="9"/>
  <c r="R92" i="9"/>
  <c r="Q92" i="9"/>
  <c r="R91" i="9"/>
  <c r="Q91" i="9"/>
  <c r="R90" i="9"/>
  <c r="Q90" i="9"/>
  <c r="R88" i="9"/>
  <c r="Q88" i="9"/>
  <c r="R87" i="9"/>
  <c r="Q87" i="9"/>
  <c r="R86" i="9"/>
  <c r="Q86" i="9"/>
  <c r="R85" i="9"/>
  <c r="Q85" i="9"/>
  <c r="R84" i="9"/>
  <c r="Q84" i="9"/>
  <c r="R83" i="9"/>
  <c r="Q83" i="9"/>
  <c r="R82" i="9"/>
  <c r="Q82" i="9"/>
  <c r="R81" i="9"/>
  <c r="Q81" i="9"/>
  <c r="R80" i="9"/>
  <c r="Q80" i="9"/>
  <c r="R79" i="9"/>
  <c r="Q79" i="9"/>
  <c r="R78" i="9"/>
  <c r="Q78" i="9"/>
  <c r="R77" i="9"/>
  <c r="Q77" i="9"/>
  <c r="R75" i="9"/>
  <c r="Q75" i="9"/>
  <c r="R74" i="9"/>
  <c r="Q74" i="9"/>
  <c r="R73" i="9"/>
  <c r="Q73" i="9"/>
  <c r="R72" i="9"/>
  <c r="Q72" i="9"/>
  <c r="R71" i="9"/>
  <c r="Q71" i="9"/>
  <c r="R70" i="9"/>
  <c r="Q70" i="9"/>
  <c r="R69" i="9"/>
  <c r="Q69" i="9"/>
  <c r="R68" i="9"/>
  <c r="Q68" i="9"/>
  <c r="R67" i="9"/>
  <c r="Q67" i="9"/>
  <c r="R66" i="9"/>
  <c r="Q66" i="9"/>
  <c r="R65" i="9"/>
  <c r="Q65" i="9"/>
  <c r="R64" i="9"/>
  <c r="Q64" i="9"/>
  <c r="R62" i="9"/>
  <c r="Q62" i="9"/>
  <c r="R61" i="9"/>
  <c r="Q61" i="9"/>
  <c r="R60" i="9"/>
  <c r="Q60" i="9"/>
  <c r="R59" i="9"/>
  <c r="Q59" i="9"/>
  <c r="R58" i="9"/>
  <c r="Q58" i="9"/>
  <c r="R57" i="9"/>
  <c r="Q57" i="9"/>
  <c r="R56" i="9"/>
  <c r="Q56" i="9"/>
  <c r="R55" i="9"/>
  <c r="Q55" i="9"/>
  <c r="R54" i="9"/>
  <c r="Q54" i="9"/>
  <c r="R53" i="9"/>
  <c r="Q53" i="9"/>
  <c r="R52" i="9"/>
  <c r="Q52" i="9"/>
  <c r="R51" i="9"/>
  <c r="Q51" i="9"/>
  <c r="R49" i="9"/>
  <c r="Q49" i="9"/>
  <c r="R48" i="9"/>
  <c r="Q48" i="9"/>
  <c r="R47" i="9"/>
  <c r="Q47" i="9"/>
  <c r="R46" i="9"/>
  <c r="Q46" i="9"/>
  <c r="R45" i="9"/>
  <c r="Q45" i="9"/>
  <c r="R44" i="9"/>
  <c r="Q44" i="9"/>
  <c r="R43" i="9"/>
  <c r="Q43" i="9"/>
  <c r="R42" i="9"/>
  <c r="Q42" i="9"/>
  <c r="R41" i="9"/>
  <c r="Q41" i="9"/>
  <c r="R40" i="9"/>
  <c r="Q40" i="9"/>
  <c r="R38" i="9"/>
  <c r="Q38" i="9"/>
  <c r="R37" i="9"/>
  <c r="Q37" i="9"/>
  <c r="R36" i="9"/>
  <c r="Q36" i="9"/>
  <c r="R35" i="9"/>
  <c r="Q35" i="9"/>
  <c r="R34" i="9"/>
  <c r="Q34" i="9"/>
  <c r="R33" i="9"/>
  <c r="Q33" i="9"/>
  <c r="R32" i="9"/>
  <c r="Q32" i="9"/>
  <c r="R31" i="9"/>
  <c r="Q31" i="9"/>
  <c r="R30" i="9"/>
  <c r="Q30" i="9"/>
  <c r="R29" i="9"/>
  <c r="Q29" i="9"/>
  <c r="R28" i="9"/>
  <c r="Q28" i="9"/>
  <c r="R27" i="9"/>
  <c r="Q27" i="9"/>
  <c r="R26" i="9"/>
  <c r="Q26" i="9"/>
  <c r="R25" i="9"/>
  <c r="Q25" i="9"/>
  <c r="R24" i="9"/>
  <c r="Q24" i="9"/>
  <c r="R23" i="9"/>
  <c r="Q23" i="9"/>
  <c r="T538" i="2"/>
  <c r="U538" i="2"/>
  <c r="V538" i="2"/>
  <c r="R545" i="2"/>
  <c r="Q545" i="2"/>
  <c r="R531" i="2"/>
  <c r="Q531" i="2"/>
  <c r="R518" i="2"/>
  <c r="Q518" i="2"/>
  <c r="R517" i="2"/>
  <c r="Q517" i="2"/>
  <c r="Q532" i="2"/>
  <c r="R532" i="2"/>
  <c r="Q546" i="2"/>
  <c r="R546" i="2"/>
  <c r="Q492" i="2"/>
  <c r="R492" i="2"/>
  <c r="Q493" i="2"/>
  <c r="R493" i="2"/>
  <c r="Q494" i="2"/>
  <c r="R494" i="2"/>
  <c r="Q495" i="2"/>
  <c r="R495" i="2"/>
  <c r="Q496" i="2"/>
  <c r="R496" i="2"/>
  <c r="Q497" i="2"/>
  <c r="R497" i="2"/>
  <c r="Q498" i="2"/>
  <c r="R498" i="2"/>
  <c r="Q507" i="2"/>
  <c r="R507" i="2"/>
  <c r="Q508" i="2"/>
  <c r="R508" i="2"/>
  <c r="Q509" i="2"/>
  <c r="R509" i="2"/>
  <c r="Q510" i="2"/>
  <c r="R510" i="2"/>
  <c r="Q511" i="2"/>
  <c r="R511" i="2"/>
  <c r="Q512" i="2"/>
  <c r="R512" i="2"/>
  <c r="Q521" i="2"/>
  <c r="R521" i="2"/>
  <c r="Q522" i="2"/>
  <c r="R522" i="2"/>
  <c r="Q523" i="2"/>
  <c r="R523" i="2"/>
  <c r="Q524" i="2"/>
  <c r="R524" i="2"/>
  <c r="Q525" i="2"/>
  <c r="R525" i="2"/>
  <c r="Q535" i="2"/>
  <c r="R535" i="2"/>
  <c r="Q536" i="2"/>
  <c r="R536" i="2"/>
  <c r="Q537" i="2"/>
  <c r="R537" i="2"/>
  <c r="Q538" i="2"/>
  <c r="R538" i="2"/>
  <c r="Q539" i="2"/>
  <c r="R539" i="2"/>
  <c r="Q540" i="2"/>
  <c r="R540" i="2"/>
  <c r="Q541" i="2"/>
  <c r="R541" i="2"/>
  <c r="Q542" i="2"/>
  <c r="R542" i="2"/>
  <c r="R544" i="2"/>
  <c r="Q544" i="2"/>
  <c r="R543" i="2"/>
  <c r="Q543" i="2"/>
  <c r="R534" i="2"/>
  <c r="Q534" i="2"/>
  <c r="R530" i="2"/>
  <c r="Q530" i="2"/>
  <c r="R529" i="2"/>
  <c r="Q529" i="2"/>
  <c r="R528" i="2"/>
  <c r="Q528" i="2"/>
  <c r="R527" i="2"/>
  <c r="Q527" i="2"/>
  <c r="R526" i="2"/>
  <c r="Q526" i="2"/>
  <c r="R520" i="2"/>
  <c r="Q520" i="2"/>
  <c r="R516" i="2"/>
  <c r="Q516" i="2"/>
  <c r="R515" i="2"/>
  <c r="Q515" i="2"/>
  <c r="R514" i="2"/>
  <c r="Q514" i="2"/>
  <c r="R513" i="2"/>
  <c r="Q513" i="2"/>
  <c r="R506" i="2"/>
  <c r="Q506" i="2"/>
  <c r="R504" i="2"/>
  <c r="Q504" i="2"/>
  <c r="R503" i="2"/>
  <c r="Q503" i="2"/>
  <c r="R502" i="2"/>
  <c r="Q502" i="2"/>
  <c r="R501" i="2"/>
  <c r="Q501" i="2"/>
  <c r="R500" i="2"/>
  <c r="Q500" i="2"/>
  <c r="R499" i="2"/>
  <c r="Q499" i="2"/>
  <c r="R491" i="2"/>
  <c r="Q491" i="2"/>
  <c r="R489" i="2"/>
  <c r="Q489" i="2"/>
  <c r="R488" i="2"/>
  <c r="Q488" i="2"/>
  <c r="R487" i="2"/>
  <c r="Q487" i="2"/>
  <c r="R486" i="2"/>
  <c r="Q486" i="2"/>
  <c r="R485" i="2"/>
  <c r="Q485" i="2"/>
  <c r="R484" i="2"/>
  <c r="Q484" i="2"/>
  <c r="R483" i="2"/>
  <c r="Q483" i="2"/>
  <c r="R482" i="2"/>
  <c r="Q482" i="2"/>
  <c r="R481" i="2"/>
  <c r="Q481" i="2"/>
  <c r="R480" i="2"/>
  <c r="Q480" i="2"/>
  <c r="R479" i="2"/>
  <c r="Q479" i="2"/>
  <c r="R478" i="2"/>
  <c r="Q478" i="2"/>
  <c r="R477" i="2"/>
  <c r="Q477" i="2"/>
  <c r="R476" i="2"/>
  <c r="Q476" i="2"/>
  <c r="Q411" i="2"/>
  <c r="R411" i="2"/>
  <c r="Q412" i="2"/>
  <c r="R412" i="2"/>
  <c r="Q413" i="2"/>
  <c r="R413" i="2"/>
  <c r="Q414" i="2"/>
  <c r="R414" i="2"/>
  <c r="Q415" i="2"/>
  <c r="R415" i="2"/>
  <c r="Q416" i="2"/>
  <c r="R416" i="2"/>
  <c r="V220" i="1"/>
  <c r="U220" i="1"/>
  <c r="V219" i="1"/>
  <c r="U219" i="1"/>
  <c r="V217" i="1"/>
  <c r="U217" i="1"/>
  <c r="V216" i="1"/>
  <c r="U216" i="1"/>
  <c r="V214" i="1"/>
  <c r="U214" i="1"/>
  <c r="V213" i="1"/>
  <c r="U213" i="1"/>
  <c r="V212" i="1"/>
  <c r="U212" i="1"/>
  <c r="V211" i="1"/>
  <c r="U211" i="1"/>
  <c r="V209" i="1"/>
  <c r="U209" i="1"/>
  <c r="V208" i="1"/>
  <c r="U208" i="1"/>
  <c r="V207" i="1"/>
  <c r="U207" i="1"/>
  <c r="V206" i="1"/>
  <c r="U206" i="1"/>
  <c r="AJ205" i="1"/>
  <c r="AI205" i="1"/>
  <c r="V205" i="1"/>
  <c r="U205" i="1"/>
  <c r="V204" i="1"/>
  <c r="U204" i="1"/>
  <c r="V203" i="1"/>
  <c r="U203" i="1"/>
  <c r="Q333" i="2" l="1"/>
  <c r="R333" i="2"/>
  <c r="Q334" i="2"/>
  <c r="R334" i="2"/>
  <c r="Q335" i="2"/>
  <c r="R335" i="2"/>
  <c r="Q336" i="2"/>
  <c r="R336" i="2"/>
  <c r="Q337" i="2"/>
  <c r="R337" i="2"/>
  <c r="Q321" i="2"/>
  <c r="R321" i="2"/>
  <c r="Q322" i="2"/>
  <c r="R322" i="2"/>
  <c r="Q323" i="2"/>
  <c r="R323" i="2"/>
  <c r="Q324" i="2"/>
  <c r="R324" i="2"/>
  <c r="Q325" i="2"/>
  <c r="R325" i="2"/>
  <c r="Q309" i="2"/>
  <c r="R309" i="2"/>
  <c r="Q310" i="2"/>
  <c r="R310" i="2"/>
  <c r="Q311" i="2"/>
  <c r="R311" i="2"/>
  <c r="Q312" i="2"/>
  <c r="R312" i="2"/>
  <c r="Q313" i="2"/>
  <c r="R313" i="2"/>
  <c r="R474" i="2"/>
  <c r="Q474" i="2"/>
  <c r="R473" i="2"/>
  <c r="Q473" i="2"/>
  <c r="R472" i="2"/>
  <c r="Q472" i="2"/>
  <c r="R471" i="2"/>
  <c r="Q471" i="2"/>
  <c r="R470" i="2"/>
  <c r="Q470" i="2"/>
  <c r="R469" i="2"/>
  <c r="Q469" i="2"/>
  <c r="R467" i="2"/>
  <c r="Q467" i="2"/>
  <c r="R466" i="2"/>
  <c r="Q466" i="2"/>
  <c r="R464" i="2"/>
  <c r="Q464" i="2"/>
  <c r="R462" i="2"/>
  <c r="Q462" i="2"/>
  <c r="R461" i="2"/>
  <c r="Q461" i="2"/>
  <c r="R460" i="2"/>
  <c r="Q460" i="2"/>
  <c r="R459" i="2"/>
  <c r="Q459" i="2"/>
  <c r="R458" i="2"/>
  <c r="Q458" i="2"/>
  <c r="R457" i="2"/>
  <c r="Q457" i="2"/>
  <c r="R455" i="2"/>
  <c r="Q455" i="2"/>
  <c r="R454" i="2"/>
  <c r="Q454" i="2"/>
  <c r="R452" i="2"/>
  <c r="Q452" i="2"/>
  <c r="R450" i="2"/>
  <c r="Q450" i="2"/>
  <c r="R449" i="2"/>
  <c r="Q449" i="2"/>
  <c r="R448" i="2"/>
  <c r="Q448" i="2"/>
  <c r="R447" i="2"/>
  <c r="Q447" i="2"/>
  <c r="R446" i="2"/>
  <c r="Q446" i="2"/>
  <c r="R445" i="2"/>
  <c r="Q445" i="2"/>
  <c r="R443" i="2"/>
  <c r="Q443" i="2"/>
  <c r="R442" i="2"/>
  <c r="Q442" i="2"/>
  <c r="R440" i="2"/>
  <c r="Q440" i="2"/>
  <c r="R438" i="2"/>
  <c r="Q438" i="2"/>
  <c r="R437" i="2"/>
  <c r="Q437" i="2"/>
  <c r="R436" i="2"/>
  <c r="Q436" i="2"/>
  <c r="R435" i="2"/>
  <c r="Q435" i="2"/>
  <c r="R434" i="2"/>
  <c r="Q434" i="2"/>
  <c r="R433" i="2"/>
  <c r="Q433" i="2"/>
  <c r="R432" i="2"/>
  <c r="Q432" i="2"/>
  <c r="R431" i="2"/>
  <c r="Q431" i="2"/>
  <c r="R429" i="2"/>
  <c r="Q429" i="2"/>
  <c r="R428" i="2"/>
  <c r="Q428" i="2"/>
  <c r="R427" i="2"/>
  <c r="Q427" i="2"/>
  <c r="R425" i="2"/>
  <c r="Q425" i="2"/>
  <c r="R423" i="2"/>
  <c r="Q423" i="2"/>
  <c r="R422" i="2"/>
  <c r="Q422" i="2"/>
  <c r="R421" i="2"/>
  <c r="Q421" i="2"/>
  <c r="R420" i="2"/>
  <c r="Q420" i="2"/>
  <c r="R419" i="2"/>
  <c r="Q419" i="2"/>
  <c r="R418" i="2"/>
  <c r="Q418" i="2"/>
  <c r="R417" i="2"/>
  <c r="Q417" i="2"/>
  <c r="R410" i="2"/>
  <c r="Q410" i="2"/>
  <c r="R408" i="2"/>
  <c r="Q408" i="2"/>
  <c r="R407" i="2"/>
  <c r="Q407" i="2"/>
  <c r="R406" i="2"/>
  <c r="Q406" i="2"/>
  <c r="R405" i="2"/>
  <c r="Q405" i="2"/>
  <c r="R404" i="2"/>
  <c r="Q404" i="2"/>
  <c r="R403" i="2"/>
  <c r="Q403" i="2"/>
  <c r="R401" i="2"/>
  <c r="Q401" i="2"/>
  <c r="R400" i="2"/>
  <c r="Q400" i="2"/>
  <c r="R398" i="2"/>
  <c r="Q398" i="2"/>
  <c r="R396" i="2"/>
  <c r="Q396" i="2"/>
  <c r="R395" i="2"/>
  <c r="Q395" i="2"/>
  <c r="R394" i="2"/>
  <c r="Q394" i="2"/>
  <c r="R393" i="2"/>
  <c r="Q393" i="2"/>
  <c r="R392" i="2"/>
  <c r="Q392" i="2"/>
  <c r="R391" i="2"/>
  <c r="Q391" i="2"/>
  <c r="R389" i="2"/>
  <c r="Q389" i="2"/>
  <c r="R388" i="2"/>
  <c r="Q388" i="2"/>
  <c r="R386" i="2"/>
  <c r="Q386" i="2"/>
  <c r="R384" i="2"/>
  <c r="Q384" i="2"/>
  <c r="R383" i="2"/>
  <c r="Q383" i="2"/>
  <c r="R382" i="2"/>
  <c r="Q382" i="2"/>
  <c r="R381" i="2"/>
  <c r="Q381" i="2"/>
  <c r="R380" i="2"/>
  <c r="Q380" i="2"/>
  <c r="R379" i="2"/>
  <c r="Q379" i="2"/>
  <c r="R377" i="2"/>
  <c r="Q377" i="2"/>
  <c r="R376" i="2"/>
  <c r="Q376" i="2"/>
  <c r="R374" i="2"/>
  <c r="Q374" i="2"/>
  <c r="R372" i="2"/>
  <c r="Q372" i="2"/>
  <c r="R371" i="2"/>
  <c r="Q371" i="2"/>
  <c r="R370" i="2"/>
  <c r="Q370" i="2"/>
  <c r="R369" i="2"/>
  <c r="Q369" i="2"/>
  <c r="R368" i="2"/>
  <c r="Q368" i="2"/>
  <c r="R367" i="2"/>
  <c r="Q367" i="2"/>
  <c r="R366" i="2"/>
  <c r="Q366" i="2"/>
  <c r="R365" i="2"/>
  <c r="Q365" i="2"/>
  <c r="R363" i="2"/>
  <c r="Q363" i="2"/>
  <c r="R362" i="2"/>
  <c r="Q362" i="2"/>
  <c r="R361" i="2"/>
  <c r="Q361" i="2"/>
  <c r="R359" i="2"/>
  <c r="Q359" i="2"/>
  <c r="R357" i="2"/>
  <c r="Q357" i="2"/>
  <c r="R356" i="2"/>
  <c r="Q356" i="2"/>
  <c r="R355" i="2"/>
  <c r="Q355" i="2"/>
  <c r="R354" i="2"/>
  <c r="Q354" i="2"/>
  <c r="R353" i="2"/>
  <c r="Q353" i="2"/>
  <c r="R352" i="2"/>
  <c r="Q352" i="2"/>
  <c r="R351" i="2"/>
  <c r="Q351" i="2"/>
  <c r="R350" i="2"/>
  <c r="Q350" i="2"/>
  <c r="R348" i="2"/>
  <c r="Q348" i="2"/>
  <c r="R347" i="2"/>
  <c r="Q347" i="2"/>
  <c r="R346" i="2"/>
  <c r="Q346" i="2"/>
  <c r="R344" i="2"/>
  <c r="Q344" i="2"/>
  <c r="R342" i="2"/>
  <c r="Q342" i="2"/>
  <c r="R341" i="2"/>
  <c r="Q341" i="2"/>
  <c r="R340" i="2"/>
  <c r="Q340" i="2"/>
  <c r="R339" i="2"/>
  <c r="Q339" i="2"/>
  <c r="R338" i="2"/>
  <c r="Q338" i="2"/>
  <c r="R332" i="2"/>
  <c r="Q332" i="2"/>
  <c r="R330" i="2"/>
  <c r="Q330" i="2"/>
  <c r="R329" i="2"/>
  <c r="Q329" i="2"/>
  <c r="R328" i="2"/>
  <c r="Q328" i="2"/>
  <c r="R327" i="2"/>
  <c r="Q327" i="2"/>
  <c r="R326" i="2"/>
  <c r="Q326" i="2"/>
  <c r="R320" i="2"/>
  <c r="Q320" i="2"/>
  <c r="R318" i="2"/>
  <c r="Q318" i="2"/>
  <c r="R317" i="2"/>
  <c r="Q317" i="2"/>
  <c r="R316" i="2"/>
  <c r="Q316" i="2"/>
  <c r="R315" i="2"/>
  <c r="Q315" i="2"/>
  <c r="R314" i="2"/>
  <c r="Q314" i="2"/>
  <c r="R308" i="2"/>
  <c r="Q308" i="2"/>
  <c r="R306" i="2"/>
  <c r="Q306" i="2"/>
  <c r="R305" i="2"/>
  <c r="Q305" i="2"/>
  <c r="R304" i="2"/>
  <c r="Q304" i="2"/>
  <c r="R303" i="2"/>
  <c r="Q303" i="2"/>
  <c r="R302" i="2"/>
  <c r="Q302" i="2"/>
  <c r="R301" i="2"/>
  <c r="Q301" i="2"/>
  <c r="R300" i="2"/>
  <c r="Q300" i="2"/>
  <c r="R299" i="2"/>
  <c r="Q299" i="2"/>
  <c r="R297" i="2"/>
  <c r="Q297" i="2"/>
  <c r="R296" i="2"/>
  <c r="Q296" i="2"/>
  <c r="R295" i="2"/>
  <c r="Q295" i="2"/>
  <c r="R293" i="2"/>
  <c r="Q293" i="2"/>
  <c r="R291" i="2"/>
  <c r="Q291" i="2"/>
  <c r="R290" i="2"/>
  <c r="Q290" i="2"/>
  <c r="R289" i="2"/>
  <c r="Q289" i="2"/>
  <c r="R288" i="2"/>
  <c r="Q288" i="2"/>
  <c r="R287" i="2"/>
  <c r="Q287" i="2"/>
  <c r="R286" i="2"/>
  <c r="Q286" i="2"/>
  <c r="R285" i="2"/>
  <c r="Q285" i="2"/>
  <c r="R284" i="2"/>
  <c r="Q284" i="2"/>
  <c r="R282" i="2"/>
  <c r="Q282" i="2"/>
  <c r="R281" i="2"/>
  <c r="Q281" i="2"/>
  <c r="R280" i="2"/>
  <c r="Q280" i="2"/>
  <c r="R278" i="2"/>
  <c r="Q278" i="2"/>
  <c r="V201" i="1"/>
  <c r="U201" i="1"/>
  <c r="V200" i="1"/>
  <c r="U200" i="1"/>
  <c r="V198" i="1"/>
  <c r="U198" i="1"/>
  <c r="V197" i="1"/>
  <c r="U197" i="1"/>
  <c r="V195" i="1"/>
  <c r="U195" i="1"/>
  <c r="V194" i="1"/>
  <c r="U194" i="1"/>
  <c r="V193" i="1"/>
  <c r="U193" i="1"/>
  <c r="V192" i="1"/>
  <c r="U192" i="1"/>
  <c r="V190" i="1"/>
  <c r="U190" i="1"/>
  <c r="V189" i="1"/>
  <c r="U189" i="1"/>
  <c r="V188" i="1"/>
  <c r="U188" i="1"/>
  <c r="V187" i="1"/>
  <c r="U187" i="1"/>
  <c r="AJ186" i="1"/>
  <c r="AI186" i="1"/>
  <c r="V186" i="1"/>
  <c r="U186" i="1"/>
  <c r="V185" i="1"/>
  <c r="U185" i="1"/>
  <c r="V184" i="1"/>
  <c r="U184" i="1"/>
  <c r="V182" i="1"/>
  <c r="U182" i="1"/>
  <c r="V181" i="1"/>
  <c r="U181" i="1"/>
  <c r="V179" i="1"/>
  <c r="U179" i="1"/>
  <c r="V178" i="1"/>
  <c r="U178" i="1"/>
  <c r="V176" i="1"/>
  <c r="U176" i="1"/>
  <c r="V175" i="1"/>
  <c r="U175" i="1"/>
  <c r="V174" i="1"/>
  <c r="U174" i="1"/>
  <c r="V173" i="1"/>
  <c r="U173" i="1"/>
  <c r="V171" i="1"/>
  <c r="U171" i="1"/>
  <c r="V170" i="1"/>
  <c r="U170" i="1"/>
  <c r="V169" i="1"/>
  <c r="U169" i="1"/>
  <c r="V168" i="1"/>
  <c r="U168" i="1"/>
  <c r="AJ167" i="1"/>
  <c r="AI167" i="1"/>
  <c r="V167" i="1"/>
  <c r="U167" i="1"/>
  <c r="V166" i="1"/>
  <c r="U166" i="1"/>
  <c r="V165" i="1"/>
  <c r="U165" i="1"/>
  <c r="V150" i="1"/>
  <c r="U150" i="1"/>
  <c r="V163" i="1"/>
  <c r="U163" i="1"/>
  <c r="V162" i="1"/>
  <c r="U162" i="1"/>
  <c r="V160" i="1"/>
  <c r="U160" i="1"/>
  <c r="V159" i="1"/>
  <c r="U159" i="1"/>
  <c r="V157" i="1"/>
  <c r="U157" i="1"/>
  <c r="V156" i="1"/>
  <c r="U156" i="1"/>
  <c r="V155" i="1"/>
  <c r="U155" i="1"/>
  <c r="V154" i="1"/>
  <c r="U154" i="1"/>
  <c r="V152" i="1"/>
  <c r="U152" i="1"/>
  <c r="V151" i="1"/>
  <c r="U151" i="1"/>
  <c r="V149" i="1"/>
  <c r="U149" i="1"/>
  <c r="AJ148" i="1"/>
  <c r="AI148" i="1"/>
  <c r="V148" i="1"/>
  <c r="U148" i="1"/>
  <c r="V147" i="1"/>
  <c r="U147" i="1"/>
  <c r="V146" i="1"/>
  <c r="U146" i="1"/>
  <c r="Y227" i="2"/>
  <c r="Z227" i="2"/>
  <c r="AA227" i="2"/>
  <c r="V124" i="1"/>
  <c r="U124" i="1"/>
  <c r="R270" i="2"/>
  <c r="Q270" i="2"/>
  <c r="R266" i="2"/>
  <c r="Q266" i="2"/>
  <c r="R276" i="2"/>
  <c r="Q276" i="2"/>
  <c r="R260" i="2"/>
  <c r="Q260" i="2"/>
  <c r="R256" i="2"/>
  <c r="Q256" i="2"/>
  <c r="R250" i="2"/>
  <c r="Q250" i="2"/>
  <c r="R275" i="2"/>
  <c r="Q275" i="2"/>
  <c r="R274" i="2"/>
  <c r="Q274" i="2"/>
  <c r="R273" i="2"/>
  <c r="Q273" i="2"/>
  <c r="R272" i="2"/>
  <c r="Q272" i="2"/>
  <c r="R271" i="2"/>
  <c r="Q271" i="2"/>
  <c r="R269" i="2"/>
  <c r="Q269" i="2"/>
  <c r="R268" i="2"/>
  <c r="Q268" i="2"/>
  <c r="R265" i="2"/>
  <c r="Q265" i="2"/>
  <c r="R264" i="2"/>
  <c r="Q264" i="2"/>
  <c r="R263" i="2"/>
  <c r="Q263" i="2"/>
  <c r="R262" i="2"/>
  <c r="Q262" i="2"/>
  <c r="R261" i="2"/>
  <c r="Q261" i="2"/>
  <c r="R259" i="2"/>
  <c r="Q259" i="2"/>
  <c r="R258" i="2"/>
  <c r="Q258" i="2"/>
  <c r="R255" i="2"/>
  <c r="Q255" i="2"/>
  <c r="R254" i="2"/>
  <c r="Q254" i="2"/>
  <c r="R253" i="2"/>
  <c r="Q253" i="2"/>
  <c r="R252" i="2"/>
  <c r="Q252" i="2"/>
  <c r="R251" i="2"/>
  <c r="Q251" i="2"/>
  <c r="R249" i="2"/>
  <c r="Q249" i="2"/>
  <c r="R248" i="2"/>
  <c r="Q248" i="2"/>
  <c r="R246" i="2"/>
  <c r="Q246" i="2"/>
  <c r="R245" i="2"/>
  <c r="Q245" i="2"/>
  <c r="R244" i="2"/>
  <c r="Q244" i="2"/>
  <c r="R243" i="2"/>
  <c r="Q243" i="2"/>
  <c r="R242" i="2"/>
  <c r="Q242" i="2"/>
  <c r="R241" i="2"/>
  <c r="Q241" i="2"/>
  <c r="R240" i="2"/>
  <c r="Q240" i="2"/>
  <c r="R239" i="2"/>
  <c r="Q239" i="2"/>
  <c r="R238" i="2"/>
  <c r="Q238" i="2"/>
  <c r="R237" i="2"/>
  <c r="Q237" i="2"/>
  <c r="R236" i="2"/>
  <c r="Q236" i="2"/>
  <c r="R235" i="2"/>
  <c r="Q235" i="2"/>
  <c r="R234" i="2"/>
  <c r="Q234" i="2"/>
  <c r="R226" i="2"/>
  <c r="Q226" i="2"/>
  <c r="R232" i="2"/>
  <c r="Q232" i="2"/>
  <c r="R231" i="2"/>
  <c r="Q231" i="2"/>
  <c r="R230" i="2"/>
  <c r="Q230" i="2"/>
  <c r="R229" i="2"/>
  <c r="Q229" i="2"/>
  <c r="R228" i="2"/>
  <c r="Q228" i="2"/>
  <c r="R227" i="2"/>
  <c r="Q227" i="2"/>
  <c r="R225" i="2"/>
  <c r="Q225" i="2"/>
  <c r="R224" i="2"/>
  <c r="Q224" i="2"/>
  <c r="R223" i="2"/>
  <c r="Q223" i="2"/>
  <c r="R222" i="2"/>
  <c r="Q222" i="2"/>
  <c r="R221" i="2"/>
  <c r="Q221" i="2"/>
  <c r="R220" i="2"/>
  <c r="Q220" i="2"/>
  <c r="V144" i="1"/>
  <c r="U144" i="1"/>
  <c r="V143" i="1"/>
  <c r="U143" i="1"/>
  <c r="V141" i="1"/>
  <c r="U141" i="1"/>
  <c r="V140" i="1"/>
  <c r="U140" i="1"/>
  <c r="V138" i="1"/>
  <c r="U138" i="1"/>
  <c r="V137" i="1"/>
  <c r="U137" i="1"/>
  <c r="V135" i="1"/>
  <c r="U135" i="1"/>
  <c r="V134" i="1"/>
  <c r="U134" i="1"/>
  <c r="V132" i="1"/>
  <c r="U132" i="1"/>
  <c r="V131" i="1"/>
  <c r="U131" i="1"/>
  <c r="V129" i="1"/>
  <c r="U129" i="1"/>
  <c r="V128" i="1"/>
  <c r="U128" i="1"/>
  <c r="V127" i="1"/>
  <c r="U127" i="1"/>
  <c r="V126" i="1"/>
  <c r="U126" i="1"/>
  <c r="U6" i="8"/>
  <c r="T6" i="8"/>
  <c r="U5" i="8"/>
  <c r="T5" i="8"/>
  <c r="U31" i="4"/>
  <c r="T31" i="4"/>
  <c r="U30" i="4"/>
  <c r="T30" i="4"/>
  <c r="U29" i="4"/>
  <c r="T29" i="4"/>
  <c r="U28" i="4"/>
  <c r="T28" i="4"/>
  <c r="V123" i="1"/>
  <c r="U123" i="1"/>
  <c r="V122" i="1"/>
  <c r="U122" i="1"/>
  <c r="AJ121" i="1"/>
  <c r="AI121" i="1"/>
  <c r="V121" i="1"/>
  <c r="U121" i="1"/>
  <c r="V120" i="1"/>
  <c r="U120" i="1"/>
  <c r="V119" i="1"/>
  <c r="U119" i="1"/>
  <c r="V117" i="1"/>
  <c r="U117" i="1"/>
  <c r="Q203" i="2"/>
  <c r="R203" i="2"/>
  <c r="Q216" i="2"/>
  <c r="R216" i="2"/>
  <c r="U3" i="8"/>
  <c r="T3" i="8"/>
  <c r="U2" i="8"/>
  <c r="T2" i="8"/>
  <c r="R17" i="7"/>
  <c r="Q17" i="7"/>
  <c r="R16" i="7"/>
  <c r="Q16" i="7"/>
  <c r="R15" i="7"/>
  <c r="Q15" i="7"/>
  <c r="R14" i="7"/>
  <c r="Q14" i="7"/>
  <c r="R13" i="7"/>
  <c r="Q13" i="7"/>
  <c r="R12" i="7"/>
  <c r="Q12" i="7"/>
  <c r="R11" i="7"/>
  <c r="Q11" i="7"/>
  <c r="R17" i="6"/>
  <c r="Q17" i="6"/>
  <c r="R16" i="6"/>
  <c r="Q16" i="6"/>
  <c r="R15" i="6"/>
  <c r="Q15" i="6"/>
  <c r="R14" i="6"/>
  <c r="Q14" i="6"/>
  <c r="R13" i="6"/>
  <c r="Q13" i="6"/>
  <c r="R12" i="6"/>
  <c r="Q12" i="6"/>
  <c r="R11" i="6"/>
  <c r="Q11" i="6"/>
  <c r="R17" i="5"/>
  <c r="Q17" i="5"/>
  <c r="R16" i="5"/>
  <c r="Q16" i="5"/>
  <c r="R15" i="5"/>
  <c r="Q15" i="5"/>
  <c r="R14" i="5"/>
  <c r="Q14" i="5"/>
  <c r="R13" i="5"/>
  <c r="Q13" i="5"/>
  <c r="R12" i="5"/>
  <c r="Q12" i="5"/>
  <c r="R11" i="5"/>
  <c r="Q11" i="5"/>
  <c r="R218" i="2"/>
  <c r="Q218" i="2"/>
  <c r="R217" i="2"/>
  <c r="Q217" i="2"/>
  <c r="R215" i="2"/>
  <c r="Q215" i="2"/>
  <c r="R214" i="2"/>
  <c r="Q214" i="2"/>
  <c r="R213" i="2"/>
  <c r="Q213" i="2"/>
  <c r="R212" i="2"/>
  <c r="Q212" i="2"/>
  <c r="R211" i="2"/>
  <c r="Q211" i="2"/>
  <c r="R210" i="2"/>
  <c r="Q210" i="2"/>
  <c r="R209" i="2"/>
  <c r="Q209" i="2"/>
  <c r="R208" i="2"/>
  <c r="Q208" i="2"/>
  <c r="R207" i="2"/>
  <c r="Q207" i="2"/>
  <c r="R205" i="2"/>
  <c r="Q205" i="2"/>
  <c r="R204" i="2"/>
  <c r="Q204" i="2"/>
  <c r="R202" i="2"/>
  <c r="Q202" i="2"/>
  <c r="R201" i="2"/>
  <c r="Q201" i="2"/>
  <c r="R200" i="2"/>
  <c r="Q200" i="2"/>
  <c r="R199" i="2"/>
  <c r="Q199" i="2"/>
  <c r="R198" i="2"/>
  <c r="Q198" i="2"/>
  <c r="R197" i="2"/>
  <c r="Q197" i="2"/>
  <c r="R196" i="2"/>
  <c r="Q196" i="2"/>
  <c r="R195" i="2"/>
  <c r="Q195" i="2"/>
  <c r="R194" i="2"/>
  <c r="Q194" i="2"/>
  <c r="U26" i="4"/>
  <c r="T26" i="4"/>
  <c r="U25" i="4"/>
  <c r="T25" i="4"/>
  <c r="U24" i="4"/>
  <c r="T24" i="4"/>
  <c r="U23" i="4"/>
  <c r="T23" i="4"/>
  <c r="V116" i="1"/>
  <c r="U116" i="1"/>
  <c r="AJ115" i="1"/>
  <c r="AI115" i="1"/>
  <c r="V115" i="1"/>
  <c r="U115" i="1"/>
  <c r="AJ114" i="1"/>
  <c r="AI114" i="1"/>
  <c r="V114" i="1"/>
  <c r="U114" i="1"/>
  <c r="AJ113" i="1"/>
  <c r="AI113" i="1"/>
  <c r="V113" i="1"/>
  <c r="U113" i="1"/>
  <c r="AJ112" i="1"/>
  <c r="AI112" i="1"/>
  <c r="V112" i="1"/>
  <c r="U112" i="1"/>
  <c r="AJ111" i="1"/>
  <c r="AI111" i="1"/>
  <c r="V111" i="1"/>
  <c r="U111" i="1"/>
  <c r="V110" i="1"/>
  <c r="U110" i="1"/>
  <c r="AJ109" i="1"/>
  <c r="AI109" i="1"/>
  <c r="V109" i="1"/>
  <c r="U109" i="1"/>
  <c r="V108" i="1"/>
  <c r="U108" i="1"/>
  <c r="V107" i="1"/>
  <c r="U107" i="1"/>
  <c r="D7" i="3"/>
  <c r="E7" i="3"/>
  <c r="F7" i="3"/>
  <c r="G7" i="3"/>
  <c r="H7" i="3"/>
  <c r="L5" i="3"/>
  <c r="L6" i="3"/>
  <c r="L4" i="3"/>
  <c r="K5" i="3"/>
  <c r="K6" i="3"/>
  <c r="K4" i="3"/>
  <c r="J5" i="3"/>
  <c r="J6" i="3"/>
  <c r="J4" i="3"/>
  <c r="I5" i="3"/>
  <c r="I6" i="3"/>
  <c r="I4" i="3"/>
  <c r="Y176" i="2"/>
  <c r="Z176" i="2"/>
  <c r="AA176" i="2"/>
  <c r="Q190" i="2"/>
  <c r="R9" i="7"/>
  <c r="Q9" i="7"/>
  <c r="R8" i="7"/>
  <c r="Q8" i="7"/>
  <c r="R9" i="6"/>
  <c r="Q9" i="6"/>
  <c r="R8" i="6"/>
  <c r="Q8" i="6"/>
  <c r="R9" i="5"/>
  <c r="Q9" i="5"/>
  <c r="R8" i="5"/>
  <c r="Q8" i="5"/>
  <c r="U19" i="4"/>
  <c r="T19" i="4"/>
  <c r="K7" i="3" l="1"/>
  <c r="J7" i="3"/>
  <c r="L7" i="3"/>
  <c r="I7" i="3"/>
  <c r="R7" i="7"/>
  <c r="Q7" i="7"/>
  <c r="R6" i="7"/>
  <c r="Q6" i="7"/>
  <c r="R5" i="7"/>
  <c r="Q5" i="7"/>
  <c r="R4" i="7"/>
  <c r="Q4" i="7"/>
  <c r="R7" i="6"/>
  <c r="Q7" i="6"/>
  <c r="R6" i="6"/>
  <c r="Q6" i="6"/>
  <c r="R5" i="6"/>
  <c r="Q5" i="6"/>
  <c r="R4" i="6"/>
  <c r="Q4" i="6"/>
  <c r="R7" i="5"/>
  <c r="Q7" i="5"/>
  <c r="R6" i="5"/>
  <c r="Q6" i="5"/>
  <c r="R5" i="5"/>
  <c r="Q5" i="5"/>
  <c r="R4" i="5"/>
  <c r="Q4" i="5"/>
  <c r="R192" i="2"/>
  <c r="Q192" i="2"/>
  <c r="R191" i="2"/>
  <c r="Q191" i="2"/>
  <c r="R190" i="2"/>
  <c r="R189" i="2"/>
  <c r="Q189" i="2"/>
  <c r="R188" i="2"/>
  <c r="Q188" i="2"/>
  <c r="R187" i="2"/>
  <c r="Q187" i="2"/>
  <c r="R186" i="2"/>
  <c r="Q186" i="2"/>
  <c r="R185" i="2"/>
  <c r="Q185" i="2"/>
  <c r="R184" i="2"/>
  <c r="Q184" i="2"/>
  <c r="R183" i="2"/>
  <c r="Q183" i="2"/>
  <c r="R182" i="2"/>
  <c r="Q182" i="2"/>
  <c r="R180" i="2"/>
  <c r="Q180" i="2"/>
  <c r="R179" i="2"/>
  <c r="Q179" i="2"/>
  <c r="R178" i="2"/>
  <c r="Q178" i="2"/>
  <c r="R177" i="2"/>
  <c r="Q177" i="2"/>
  <c r="R176" i="2"/>
  <c r="Q176" i="2"/>
  <c r="R175" i="2"/>
  <c r="Q175" i="2"/>
  <c r="R174" i="2"/>
  <c r="Q174" i="2"/>
  <c r="R173" i="2"/>
  <c r="Q173" i="2"/>
  <c r="R172" i="2"/>
  <c r="Q172" i="2"/>
  <c r="R171" i="2"/>
  <c r="Q171" i="2"/>
  <c r="R170" i="2"/>
  <c r="Q170" i="2"/>
  <c r="U21" i="4"/>
  <c r="T21" i="4"/>
  <c r="U20" i="4"/>
  <c r="T20" i="4"/>
  <c r="U18" i="4"/>
  <c r="T18" i="4"/>
  <c r="V105" i="1"/>
  <c r="U105" i="1"/>
  <c r="AJ104" i="1"/>
  <c r="AI104" i="1"/>
  <c r="V104" i="1"/>
  <c r="U104" i="1"/>
  <c r="AJ103" i="1"/>
  <c r="AI103" i="1"/>
  <c r="V103" i="1"/>
  <c r="U103" i="1"/>
  <c r="AJ102" i="1"/>
  <c r="AI102" i="1"/>
  <c r="V102" i="1"/>
  <c r="U102" i="1"/>
  <c r="AJ101" i="1"/>
  <c r="AI101" i="1"/>
  <c r="V101" i="1"/>
  <c r="U101" i="1"/>
  <c r="AJ100" i="1"/>
  <c r="AI100" i="1"/>
  <c r="V100" i="1"/>
  <c r="U100" i="1"/>
  <c r="V99" i="1"/>
  <c r="U99" i="1"/>
  <c r="AJ98" i="1"/>
  <c r="AI98" i="1"/>
  <c r="V98" i="1"/>
  <c r="U98" i="1"/>
  <c r="V97" i="1"/>
  <c r="U97" i="1"/>
  <c r="V96" i="1"/>
  <c r="U96" i="1"/>
  <c r="R2" i="7"/>
  <c r="Q2" i="7"/>
  <c r="R2" i="6"/>
  <c r="Q2" i="6"/>
  <c r="R2" i="5"/>
  <c r="Q2" i="5"/>
  <c r="U14" i="4" l="1"/>
  <c r="T14" i="4"/>
  <c r="U16" i="4"/>
  <c r="T16" i="4"/>
  <c r="U15" i="4"/>
  <c r="T15" i="4"/>
  <c r="R164" i="2" l="1"/>
  <c r="Q164" i="2"/>
  <c r="R152" i="2"/>
  <c r="Q152" i="2"/>
  <c r="R168" i="2"/>
  <c r="Q168" i="2"/>
  <c r="R167" i="2"/>
  <c r="Q167" i="2"/>
  <c r="R166" i="2"/>
  <c r="Q166" i="2"/>
  <c r="R165" i="2"/>
  <c r="Q165" i="2"/>
  <c r="R163" i="2"/>
  <c r="Q163" i="2"/>
  <c r="R162" i="2"/>
  <c r="Q162" i="2"/>
  <c r="R161" i="2"/>
  <c r="Q161" i="2"/>
  <c r="R160" i="2"/>
  <c r="Q160" i="2"/>
  <c r="R159" i="2"/>
  <c r="Q159" i="2"/>
  <c r="R158" i="2"/>
  <c r="Q158" i="2"/>
  <c r="R156" i="2"/>
  <c r="Q156" i="2"/>
  <c r="R155" i="2"/>
  <c r="Q155" i="2"/>
  <c r="R154" i="2"/>
  <c r="Q154" i="2"/>
  <c r="R153" i="2"/>
  <c r="Q153" i="2"/>
  <c r="R151" i="2"/>
  <c r="Q151" i="2"/>
  <c r="R150" i="2"/>
  <c r="Q150" i="2"/>
  <c r="R149" i="2"/>
  <c r="Q149" i="2"/>
  <c r="R148" i="2"/>
  <c r="Q148" i="2"/>
  <c r="R147" i="2"/>
  <c r="Q147" i="2"/>
  <c r="R146" i="2"/>
  <c r="Q146" i="2"/>
  <c r="V94" i="1"/>
  <c r="U94" i="1"/>
  <c r="AJ93" i="1"/>
  <c r="AI93" i="1"/>
  <c r="V93" i="1"/>
  <c r="U93" i="1"/>
  <c r="AJ92" i="1"/>
  <c r="AI92" i="1"/>
  <c r="V92" i="1"/>
  <c r="U92" i="1"/>
  <c r="AJ91" i="1"/>
  <c r="AI91" i="1"/>
  <c r="V91" i="1"/>
  <c r="U91" i="1"/>
  <c r="AJ90" i="1"/>
  <c r="AI90" i="1"/>
  <c r="V90" i="1"/>
  <c r="U90" i="1"/>
  <c r="AJ89" i="1"/>
  <c r="AI89" i="1"/>
  <c r="V89" i="1"/>
  <c r="U89" i="1"/>
  <c r="V88" i="1"/>
  <c r="U88" i="1"/>
  <c r="AJ87" i="1"/>
  <c r="AI87" i="1"/>
  <c r="V87" i="1"/>
  <c r="U87" i="1"/>
  <c r="V86" i="1"/>
  <c r="U86" i="1"/>
  <c r="V85" i="1"/>
  <c r="U85" i="1"/>
  <c r="U12" i="4" l="1"/>
  <c r="T12" i="4"/>
  <c r="U11" i="4"/>
  <c r="T11" i="4"/>
  <c r="U9" i="4"/>
  <c r="T9" i="4"/>
  <c r="U8" i="4"/>
  <c r="T8" i="4"/>
  <c r="U6" i="4"/>
  <c r="T6" i="4"/>
  <c r="R144" i="2"/>
  <c r="Q144" i="2"/>
  <c r="R143" i="2"/>
  <c r="Q143" i="2"/>
  <c r="R142" i="2"/>
  <c r="Q142" i="2"/>
  <c r="R141" i="2"/>
  <c r="Q141" i="2"/>
  <c r="R140" i="2"/>
  <c r="Q140" i="2"/>
  <c r="R139" i="2"/>
  <c r="Q139" i="2"/>
  <c r="R138" i="2"/>
  <c r="Q138" i="2"/>
  <c r="R137" i="2"/>
  <c r="Q137" i="2"/>
  <c r="R136" i="2"/>
  <c r="Q136" i="2"/>
  <c r="R135" i="2"/>
  <c r="Q135" i="2"/>
  <c r="R134" i="2"/>
  <c r="Q134" i="2"/>
  <c r="R133" i="2"/>
  <c r="Q133" i="2"/>
  <c r="R131" i="2"/>
  <c r="Q131" i="2"/>
  <c r="R130" i="2"/>
  <c r="Q130" i="2"/>
  <c r="R129" i="2"/>
  <c r="Q129" i="2"/>
  <c r="R128" i="2"/>
  <c r="Q128" i="2"/>
  <c r="R127" i="2"/>
  <c r="Q127" i="2"/>
  <c r="R126" i="2"/>
  <c r="Q126" i="2"/>
  <c r="R125" i="2"/>
  <c r="Q125" i="2"/>
  <c r="R124" i="2"/>
  <c r="Q124" i="2"/>
  <c r="R123" i="2"/>
  <c r="Q123" i="2"/>
  <c r="R122" i="2"/>
  <c r="Q122" i="2"/>
  <c r="R121" i="2"/>
  <c r="Q121" i="2"/>
  <c r="R120" i="2"/>
  <c r="Q120" i="2"/>
  <c r="R118" i="2"/>
  <c r="Q118" i="2"/>
  <c r="R117" i="2"/>
  <c r="Q117" i="2"/>
  <c r="R116" i="2"/>
  <c r="Q116" i="2"/>
  <c r="R115" i="2"/>
  <c r="Q115" i="2"/>
  <c r="R114" i="2"/>
  <c r="Q114" i="2"/>
  <c r="R113" i="2"/>
  <c r="Q113" i="2"/>
  <c r="R112" i="2"/>
  <c r="Q112" i="2"/>
  <c r="R111" i="2"/>
  <c r="Q111" i="2"/>
  <c r="R110" i="2"/>
  <c r="Q110" i="2"/>
  <c r="R109" i="2"/>
  <c r="Q109" i="2"/>
  <c r="R108" i="2"/>
  <c r="Q108" i="2"/>
  <c r="R107" i="2"/>
  <c r="Q107" i="2"/>
  <c r="R105" i="2"/>
  <c r="Q105" i="2"/>
  <c r="R104" i="2"/>
  <c r="Q104" i="2"/>
  <c r="R103" i="2"/>
  <c r="Q103" i="2"/>
  <c r="R102" i="2"/>
  <c r="Q102" i="2"/>
  <c r="R101" i="2"/>
  <c r="Q101" i="2"/>
  <c r="R100" i="2"/>
  <c r="Q100" i="2"/>
  <c r="R99" i="2"/>
  <c r="Q99" i="2"/>
  <c r="R98" i="2"/>
  <c r="Q98" i="2"/>
  <c r="R97" i="2"/>
  <c r="Q97" i="2"/>
  <c r="R96" i="2"/>
  <c r="Q96" i="2"/>
  <c r="R95" i="2"/>
  <c r="Q95" i="2"/>
  <c r="R94" i="2"/>
  <c r="Q94" i="2"/>
  <c r="R90" i="2"/>
  <c r="Q90" i="2"/>
  <c r="V83" i="1"/>
  <c r="U83" i="1"/>
  <c r="AJ82" i="1"/>
  <c r="AI82" i="1"/>
  <c r="V82" i="1"/>
  <c r="U82" i="1"/>
  <c r="AJ81" i="1"/>
  <c r="AI81" i="1"/>
  <c r="V81" i="1"/>
  <c r="U81" i="1"/>
  <c r="AJ80" i="1"/>
  <c r="AI80" i="1"/>
  <c r="V80" i="1"/>
  <c r="U80" i="1"/>
  <c r="AJ79" i="1"/>
  <c r="AI79" i="1"/>
  <c r="V79" i="1"/>
  <c r="U79" i="1"/>
  <c r="AJ78" i="1"/>
  <c r="AI78" i="1"/>
  <c r="V78" i="1"/>
  <c r="U78" i="1"/>
  <c r="V77" i="1"/>
  <c r="U77" i="1"/>
  <c r="AJ76" i="1"/>
  <c r="AI76" i="1"/>
  <c r="V76" i="1"/>
  <c r="U76" i="1"/>
  <c r="V75" i="1"/>
  <c r="U75" i="1"/>
  <c r="V74" i="1"/>
  <c r="U74" i="1"/>
  <c r="V72" i="1"/>
  <c r="U72" i="1"/>
  <c r="AJ71" i="1"/>
  <c r="AI71" i="1"/>
  <c r="V71" i="1"/>
  <c r="U71" i="1"/>
  <c r="AJ70" i="1"/>
  <c r="AI70" i="1"/>
  <c r="V70" i="1"/>
  <c r="U70" i="1"/>
  <c r="AJ69" i="1"/>
  <c r="AI69" i="1"/>
  <c r="V69" i="1"/>
  <c r="U69" i="1"/>
  <c r="AJ68" i="1"/>
  <c r="AI68" i="1"/>
  <c r="V68" i="1"/>
  <c r="U68" i="1"/>
  <c r="AJ67" i="1"/>
  <c r="AI67" i="1"/>
  <c r="V67" i="1"/>
  <c r="U67" i="1"/>
  <c r="V66" i="1"/>
  <c r="U66" i="1"/>
  <c r="AJ65" i="1"/>
  <c r="AI65" i="1"/>
  <c r="V65" i="1"/>
  <c r="U65" i="1"/>
  <c r="V64" i="1"/>
  <c r="U64" i="1"/>
  <c r="V63" i="1"/>
  <c r="U63" i="1"/>
  <c r="V52" i="1"/>
  <c r="U52" i="1"/>
  <c r="V42" i="1"/>
  <c r="U42" i="1"/>
  <c r="V32" i="1"/>
  <c r="U32" i="1"/>
  <c r="AJ29" i="1"/>
  <c r="AI29" i="1"/>
  <c r="V29" i="1"/>
  <c r="U29" i="1"/>
  <c r="AJ28" i="1"/>
  <c r="AI28" i="1"/>
  <c r="V28" i="1"/>
  <c r="U28" i="1"/>
  <c r="AJ27" i="1"/>
  <c r="AI27" i="1"/>
  <c r="V27" i="1"/>
  <c r="U27" i="1"/>
  <c r="AJ26" i="1"/>
  <c r="AI26" i="1"/>
  <c r="V26" i="1"/>
  <c r="U26" i="1"/>
  <c r="AJ25" i="1"/>
  <c r="AI25" i="1"/>
  <c r="V25" i="1"/>
  <c r="U25" i="1"/>
  <c r="AJ24" i="1"/>
  <c r="AI24" i="1"/>
  <c r="V24" i="1"/>
  <c r="U24" i="1"/>
  <c r="V23" i="1"/>
  <c r="U23" i="1"/>
  <c r="V21" i="1"/>
  <c r="U21" i="1"/>
  <c r="V20" i="1"/>
  <c r="U20" i="1"/>
  <c r="R92" i="2"/>
  <c r="Q92" i="2"/>
  <c r="R79" i="2"/>
  <c r="Q79" i="2"/>
  <c r="R78" i="2"/>
  <c r="Q78" i="2"/>
  <c r="R77" i="2"/>
  <c r="Q77" i="2"/>
  <c r="R91" i="2"/>
  <c r="Q91" i="2"/>
  <c r="R89" i="2"/>
  <c r="Q89" i="2"/>
  <c r="R88" i="2"/>
  <c r="Q88" i="2"/>
  <c r="R87" i="2"/>
  <c r="Q87" i="2"/>
  <c r="R86" i="2"/>
  <c r="Q86" i="2"/>
  <c r="R85" i="2"/>
  <c r="Q85" i="2"/>
  <c r="R84" i="2"/>
  <c r="Q84" i="2"/>
  <c r="R83" i="2"/>
  <c r="Q83" i="2"/>
  <c r="R82" i="2"/>
  <c r="Q82" i="2"/>
  <c r="R81" i="2"/>
  <c r="Q81" i="2"/>
  <c r="R76" i="2"/>
  <c r="Q76" i="2"/>
  <c r="R75" i="2"/>
  <c r="Q75" i="2"/>
  <c r="R74" i="2"/>
  <c r="Q74" i="2"/>
  <c r="R73" i="2"/>
  <c r="Q73" i="2"/>
  <c r="R72" i="2"/>
  <c r="Q72" i="2"/>
  <c r="R71" i="2"/>
  <c r="Q71" i="2"/>
  <c r="R70" i="2"/>
  <c r="Q70" i="2"/>
  <c r="R69" i="2"/>
  <c r="Q69" i="2"/>
  <c r="R68" i="2"/>
  <c r="Q68" i="2"/>
  <c r="V53" i="1"/>
  <c r="U53" i="1"/>
  <c r="V61" i="1"/>
  <c r="U61" i="1"/>
  <c r="AJ60" i="1"/>
  <c r="AI60" i="1"/>
  <c r="V60" i="1"/>
  <c r="U60" i="1"/>
  <c r="AJ59" i="1"/>
  <c r="AI59" i="1"/>
  <c r="V59" i="1"/>
  <c r="U59" i="1"/>
  <c r="AJ58" i="1"/>
  <c r="AI58" i="1"/>
  <c r="V58" i="1"/>
  <c r="U58" i="1"/>
  <c r="AJ57" i="1"/>
  <c r="AI57" i="1"/>
  <c r="V57" i="1"/>
  <c r="U57" i="1"/>
  <c r="AJ56" i="1"/>
  <c r="AI56" i="1"/>
  <c r="V56" i="1"/>
  <c r="U56" i="1"/>
  <c r="V55" i="1"/>
  <c r="U55" i="1"/>
  <c r="AJ54" i="1"/>
  <c r="AI54" i="1"/>
  <c r="V54" i="1"/>
  <c r="U54" i="1"/>
  <c r="U5" i="4"/>
  <c r="T5" i="4"/>
  <c r="T3" i="4"/>
  <c r="U3" i="4"/>
  <c r="U2" i="4"/>
  <c r="T2" i="4"/>
  <c r="V50" i="1"/>
  <c r="U50" i="1"/>
  <c r="AJ49" i="1"/>
  <c r="AI49" i="1"/>
  <c r="V49" i="1"/>
  <c r="U49" i="1"/>
  <c r="AJ48" i="1"/>
  <c r="AI48" i="1"/>
  <c r="V48" i="1"/>
  <c r="U48" i="1"/>
  <c r="AJ47" i="1"/>
  <c r="AI47" i="1"/>
  <c r="V47" i="1"/>
  <c r="U47" i="1"/>
  <c r="AJ46" i="1"/>
  <c r="AI46" i="1"/>
  <c r="V46" i="1"/>
  <c r="U46" i="1"/>
  <c r="AJ45" i="1"/>
  <c r="AI45" i="1"/>
  <c r="V45" i="1"/>
  <c r="U45" i="1"/>
  <c r="V44" i="1"/>
  <c r="U44" i="1"/>
  <c r="AJ43" i="1"/>
  <c r="AI43" i="1"/>
  <c r="V43" i="1"/>
  <c r="U43" i="1"/>
  <c r="R62" i="2"/>
  <c r="Q62" i="2"/>
  <c r="R61" i="2"/>
  <c r="Q61" i="2"/>
  <c r="R60" i="2"/>
  <c r="Q60" i="2"/>
  <c r="R51" i="2"/>
  <c r="Q51" i="2"/>
  <c r="R50" i="2"/>
  <c r="Q50" i="2"/>
  <c r="R49" i="2"/>
  <c r="Q49" i="2"/>
  <c r="R66" i="2"/>
  <c r="Q66" i="2"/>
  <c r="R65" i="2"/>
  <c r="Q65" i="2"/>
  <c r="R64" i="2"/>
  <c r="Q64" i="2"/>
  <c r="R63" i="2"/>
  <c r="Q63" i="2"/>
  <c r="R59" i="2"/>
  <c r="Q59" i="2"/>
  <c r="R58" i="2"/>
  <c r="Q58" i="2"/>
  <c r="R57" i="2"/>
  <c r="Q57" i="2"/>
  <c r="R55" i="2"/>
  <c r="Q55" i="2"/>
  <c r="R54" i="2"/>
  <c r="Q54" i="2"/>
  <c r="R53" i="2"/>
  <c r="Q53" i="2"/>
  <c r="R52" i="2"/>
  <c r="Q52" i="2"/>
  <c r="R48" i="2"/>
  <c r="Q48" i="2"/>
  <c r="R47" i="2"/>
  <c r="Q47" i="2"/>
  <c r="R46" i="2"/>
  <c r="Q46" i="2"/>
  <c r="Q36" i="2"/>
  <c r="R36" i="2"/>
  <c r="Q37" i="2"/>
  <c r="R37" i="2"/>
  <c r="Q38" i="2"/>
  <c r="R38" i="2"/>
  <c r="Q39" i="2"/>
  <c r="R39" i="2"/>
  <c r="Q40" i="2"/>
  <c r="R40" i="2"/>
  <c r="Q41" i="2"/>
  <c r="R41" i="2"/>
  <c r="Q42" i="2"/>
  <c r="R42" i="2"/>
  <c r="Q43" i="2"/>
  <c r="R43" i="2"/>
  <c r="Q44" i="2"/>
  <c r="R44" i="2"/>
  <c r="Q35" i="2"/>
  <c r="R35" i="2"/>
  <c r="R33" i="2"/>
  <c r="R34" i="2"/>
  <c r="Q34" i="2"/>
  <c r="Q33" i="2"/>
  <c r="R32" i="2"/>
  <c r="Q32" i="2"/>
  <c r="R31" i="2"/>
  <c r="Q31" i="2"/>
  <c r="R30" i="2"/>
  <c r="Q30" i="2"/>
  <c r="R29" i="2"/>
  <c r="Q29" i="2"/>
  <c r="V34" i="1"/>
  <c r="U34" i="1"/>
  <c r="V40" i="1"/>
  <c r="U40" i="1"/>
  <c r="AJ39" i="1"/>
  <c r="AI39" i="1"/>
  <c r="V39" i="1"/>
  <c r="U39" i="1"/>
  <c r="AJ38" i="1"/>
  <c r="AI38" i="1"/>
  <c r="V38" i="1"/>
  <c r="U38" i="1"/>
  <c r="AJ37" i="1"/>
  <c r="AI37" i="1"/>
  <c r="V37" i="1"/>
  <c r="U37" i="1"/>
  <c r="AJ36" i="1"/>
  <c r="AI36" i="1"/>
  <c r="V36" i="1"/>
  <c r="U36" i="1"/>
  <c r="AJ35" i="1"/>
  <c r="AI35" i="1"/>
  <c r="V35" i="1"/>
  <c r="U35" i="1"/>
  <c r="AJ33" i="1"/>
  <c r="AI33" i="1"/>
  <c r="V33" i="1"/>
  <c r="U33" i="1"/>
  <c r="U30" i="1"/>
  <c r="V30" i="1"/>
  <c r="V17" i="1"/>
  <c r="V18" i="1"/>
  <c r="V19" i="1"/>
  <c r="V16" i="1"/>
  <c r="U17" i="1"/>
  <c r="U18" i="1"/>
  <c r="U19" i="1"/>
  <c r="U16" i="1"/>
</calcChain>
</file>

<file path=xl/sharedStrings.xml><?xml version="1.0" encoding="utf-8"?>
<sst xmlns="http://schemas.openxmlformats.org/spreadsheetml/2006/main" count="19647" uniqueCount="1593">
  <si>
    <t>Date</t>
  </si>
  <si>
    <t>Day</t>
  </si>
  <si>
    <t>Time</t>
  </si>
  <si>
    <t>Campaign ID</t>
  </si>
  <si>
    <t>Campaign Name</t>
  </si>
  <si>
    <t xml:space="preserve">From line </t>
  </si>
  <si>
    <t>Subject Line</t>
  </si>
  <si>
    <t>NW</t>
  </si>
  <si>
    <t>List name</t>
  </si>
  <si>
    <t>Comment</t>
  </si>
  <si>
    <t>ESP</t>
  </si>
  <si>
    <t>Domain</t>
  </si>
  <si>
    <t>Segment</t>
  </si>
  <si>
    <t>Divider</t>
  </si>
  <si>
    <t>Count</t>
  </si>
  <si>
    <t>Open</t>
  </si>
  <si>
    <t>Clicks</t>
  </si>
  <si>
    <t>Unsub</t>
  </si>
  <si>
    <t>Bounces</t>
  </si>
  <si>
    <t>OPR</t>
  </si>
  <si>
    <t>CTR</t>
  </si>
  <si>
    <t>Conv</t>
  </si>
  <si>
    <t>Nw Click</t>
  </si>
  <si>
    <t>Revenue</t>
  </si>
  <si>
    <t>EPC</t>
  </si>
  <si>
    <t>ECPM</t>
  </si>
  <si>
    <t>Sat</t>
  </si>
  <si>
    <t>SmartPayBuddy</t>
  </si>
  <si>
    <t>TapCashier</t>
  </si>
  <si>
    <t>AssistWaves</t>
  </si>
  <si>
    <t>Smartlending</t>
  </si>
  <si>
    <t>MyCapitalBuzz</t>
  </si>
  <si>
    <t>CashFlowConnects</t>
  </si>
  <si>
    <t>Sun</t>
  </si>
  <si>
    <t>FirstAssistLend</t>
  </si>
  <si>
    <t>CapitalPros</t>
  </si>
  <si>
    <t>Mon</t>
  </si>
  <si>
    <t>Message ID</t>
  </si>
  <si>
    <t>All_Gmail_70Day_Clicker (split-1)</t>
  </si>
  <si>
    <t>All_Gmail_70Day_Clicker (split-2)</t>
  </si>
  <si>
    <t>All_Gmail_70Day_Clicker (split-3)</t>
  </si>
  <si>
    <t>All_Gmail_70Day_Clicker (split-4)</t>
  </si>
  <si>
    <t>All_Gmail_70Day_Clicker (split-5) </t>
  </si>
  <si>
    <t>All_Gmail_70Day_Clicker (split-6)</t>
  </si>
  <si>
    <t>CR01_FastFinancial.net_13-04-2026</t>
  </si>
  <si>
    <t>Account Team</t>
  </si>
  <si>
    <t>Support Desk</t>
  </si>
  <si>
    <t>Verification Team</t>
  </si>
  <si>
    <t>Review Team</t>
  </si>
  <si>
    <t>Service Team</t>
  </si>
  <si>
    <t>{{first_name}}, Final step pending on your request.</t>
  </si>
  <si>
    <t>180,5Hr Throttle</t>
  </si>
  <si>
    <t>CR02_SimpleAdvances.net _13-04-2026</t>
  </si>
  <si>
    <t>Something seems missing in your request</t>
  </si>
  <si>
    <t>CR01_RescueLoans.net_13_04_2026</t>
  </si>
  <si>
    <t>Your request is still being processed</t>
  </si>
  <si>
    <t>CR02_smartlending_13-04-2026</t>
  </si>
  <si>
    <t>Smart Lendings</t>
  </si>
  <si>
    <t>Quick check needed on your request</t>
  </si>
  <si>
    <t>CR01_MyCapitalBuzz_13-04-2026</t>
  </si>
  <si>
    <t>Your request is moving forward</t>
  </si>
  <si>
    <t>CR02_CashFlowConnects_13-04-2026</t>
  </si>
  <si>
    <t>We couldn’t finish your request</t>
  </si>
  <si>
    <t>150, 5Hr Throttle</t>
  </si>
  <si>
    <t>500Yahoo</t>
  </si>
  <si>
    <t>130 Real</t>
  </si>
  <si>
    <t>40 Real</t>
  </si>
  <si>
    <t>1500 Gmail</t>
  </si>
  <si>
    <t>500 Yahoo</t>
  </si>
  <si>
    <t>All_Gmail_Clicker</t>
  </si>
  <si>
    <t>CR45_FirstLendAssist_AllClicker_13-04-2026</t>
  </si>
  <si>
    <t>CR34_CapitalPros_AllGmailClicker_13-04-2026</t>
  </si>
  <si>
    <t>CR36_FirstAssistLend_Seed_13-04-2026</t>
  </si>
  <si>
    <t>CR36_FirstAssistLend_YahooSeed_13-04-2026</t>
  </si>
  <si>
    <t>CR43_CapitalPros_GmailSeed_13-04-2026</t>
  </si>
  <si>
    <t>CR43_CapitalPros_YahooSeed_13-04-2026</t>
  </si>
  <si>
    <t>4 HB</t>
  </si>
  <si>
    <t>2 HB</t>
  </si>
  <si>
    <t>Tue</t>
  </si>
  <si>
    <t>CR03_Madison-Financial.com_Raw_14-04-2026</t>
  </si>
  <si>
    <t>Application Desk</t>
  </si>
  <si>
    <t>Update needed to continue your request</t>
  </si>
  <si>
    <t>Smartpaybuddy</t>
  </si>
  <si>
    <t>MultiESP</t>
  </si>
  <si>
    <t>AllDupe2</t>
  </si>
  <si>
    <t>JVK</t>
  </si>
  <si>
    <t>-</t>
  </si>
  <si>
    <t>_</t>
  </si>
  <si>
    <t>NewMG_1Hr_Raw_Gmail</t>
  </si>
  <si>
    <t>1 Hour</t>
  </si>
  <si>
    <t>Application Team</t>
  </si>
  <si>
    <t>CR04_LightningLoan.net_Clickers_14-04-2026</t>
  </si>
  <si>
    <t>Final update needed to proceed</t>
  </si>
  <si>
    <t>3HourGmail_Clickers</t>
  </si>
  <si>
    <t>All_Gmail_10DaysOpener (split-1)</t>
  </si>
  <si>
    <t>All_Gmail_10DaysOpener (split-2)</t>
  </si>
  <si>
    <t>All_Gmail_10DaysOpener (split-3)</t>
  </si>
  <si>
    <t>CR01_MyCapitalBuzz_14-04-2026</t>
  </si>
  <si>
    <t>CR01_FastFinancial.net_14-04-2026</t>
  </si>
  <si>
    <t>CR02_SummerLoans_14-04-2026</t>
  </si>
  <si>
    <t>CR05_LoanFinder-USA.comJVK_14-04-2026</t>
  </si>
  <si>
    <t>Quick follow-up on your request</t>
  </si>
  <si>
    <t>CR06_horizonloans.net_JVK_14-04-2026</t>
  </si>
  <si>
    <t>Support Team</t>
  </si>
  <si>
    <t>Just checking your request</t>
  </si>
  <si>
    <t>CR01_RescueLoans.net_14_04_2026</t>
  </si>
  <si>
    <t>LP_Dupe_Gmail</t>
  </si>
  <si>
    <t>CR_Raw_FirstassistLend_14-04-2026</t>
  </si>
  <si>
    <t>CR_Raw_CapitalPros_14-04-2026</t>
  </si>
  <si>
    <t>firstassistlend</t>
  </si>
  <si>
    <t>{{customer.firstname | default:'User'}}, Thought you might want to revisit this.</t>
  </si>
  <si>
    <t>CR36_FirstAssistLend_Seed_14-04-2026</t>
  </si>
  <si>
    <t>CR36_FirstAssistLend_YahooSeed_14-04-2026</t>
  </si>
  <si>
    <t>CR43_CapitalPros_GmailSeed_14-04-2026</t>
  </si>
  <si>
    <t>CR43_CapitalPros_YahooSeed_14-04-2026</t>
  </si>
  <si>
    <t>{{customer.firstname | default:'User'}}, You might find this useful.</t>
  </si>
  <si>
    <t>capitalrpos</t>
  </si>
  <si>
    <t>CR45_ClearSpringFinancial_AllClicker_14-04-2026</t>
  </si>
  <si>
    <t>CR34_Citrus--Loans_AllGmailClicker_13-04-2026</t>
  </si>
  <si>
    <t>CR36II_FirstAssistLend_YahooSeed_14-04-2026</t>
  </si>
  <si>
    <t>CR43II_CapitalPros_YahooSeed_14-04-2026</t>
  </si>
  <si>
    <t>Yahoo Email Clickers</t>
  </si>
  <si>
    <t>CR45_ClearSpringFinancial_YahooAllClicker_14-04-2026</t>
  </si>
  <si>
    <t>CR34_Citrus--Loans_AllYahooClicker_14-04-2026</t>
  </si>
  <si>
    <t>Wed</t>
  </si>
  <si>
    <t xml:space="preserve">Dupe Raw Performance </t>
  </si>
  <si>
    <t>Assistwaves</t>
  </si>
  <si>
    <t>mycapitalbuzz</t>
  </si>
  <si>
    <t>cashflowconnects</t>
  </si>
  <si>
    <t xml:space="preserve">Adding Triggers for opener </t>
  </si>
  <si>
    <t xml:space="preserve">Adding Automation On real openers </t>
  </si>
  <si>
    <t>CR05_BrightAdvances.com _Opener_15-04-2026</t>
  </si>
  <si>
    <t>NewMG_MultiESP_GmailOpeners</t>
  </si>
  <si>
    <t>A quick heads up</t>
  </si>
  <si>
    <t>All_Gmail_10DaysOpener (split-4)</t>
  </si>
  <si>
    <t>All_Gmail_10DaysOpener (split-5)</t>
  </si>
  <si>
    <t>All_Gmail_10DaysOpener (split-6)</t>
  </si>
  <si>
    <t>CR01_FastFinancial.net_15-04-2026</t>
  </si>
  <si>
    <t>CR02_SimpleAdvances.net _15-04-2026</t>
  </si>
  <si>
    <t>CR01_RescueLoans.net_15_04_2026</t>
  </si>
  <si>
    <t>CR02_CashFlowConnects_15-04-2026</t>
  </si>
  <si>
    <t>CR02_cashhelp123.com_15-04-2026</t>
  </si>
  <si>
    <t>CR01_RosewoodFinancial.com_15-04-2026</t>
  </si>
  <si>
    <t>Adding Automation On real Clickers</t>
  </si>
  <si>
    <t>CR_CashYouNeed.com_Opener_15-04-2026</t>
  </si>
  <si>
    <t>A Quick Update For You, {{customer.firstname | default:'User'}}</t>
  </si>
  <si>
    <t>CR_cashhelp123.com_Clickers_15-04-2026</t>
  </si>
  <si>
    <t>Quick Reminder To Continue, {{customer.firstname | default:'User'}}</t>
  </si>
  <si>
    <t>CR_SmartCash-Loans_Clickers_15-04-2026</t>
  </si>
  <si>
    <t>Gmail_RealClickers</t>
  </si>
  <si>
    <t>{{customer.firstname | default: "There"}}, your application is still open</t>
  </si>
  <si>
    <t>CR_SmartCash-Loans_YahooClickers_15-04-2026</t>
  </si>
  <si>
    <t>CR36_FirstAssistLend_Seed_15-04-2026</t>
  </si>
  <si>
    <t>CR36_FirstAssistLend_YahooSeed_15-04-2026</t>
  </si>
  <si>
    <t>CR36II_FirstAssistLend_YahooSeed_15-04-2026</t>
  </si>
  <si>
    <t>CR_RosewoodFinancial.com_Opener_15-04-2026</t>
  </si>
  <si>
    <t>Don’t Lose Your Progress, {{customer.firstname | default: "Friend"}}</t>
  </si>
  <si>
    <t>Gmail_RealOpeners</t>
  </si>
  <si>
    <t>CR_OakmontFunds.com _Clicker_15-04-2026</t>
  </si>
  <si>
    <t>{{customer.firstname | default: "there"}}, your application is still waiting — finish now</t>
  </si>
  <si>
    <t>CR_Today-Loans_GmailClicker_15-04-2026</t>
  </si>
  <si>
    <t>Still interested? Your spot is still open</t>
  </si>
  <si>
    <t>CR_Today-Loans_YahooClicker_15-04-2026</t>
  </si>
  <si>
    <t>CR43_CapitalPros_GmailSeed_15-04-2026</t>
  </si>
  <si>
    <t>CR43_CapitalPros_YahooSeed_15-04-2026</t>
  </si>
  <si>
    <t>CR43II_CapitalPros_YahooSeed_15-04-2026</t>
  </si>
  <si>
    <t>Thu</t>
  </si>
  <si>
    <t xml:space="preserve">Change Creative </t>
  </si>
  <si>
    <t>New Automation On Yahoo Raw</t>
  </si>
  <si>
    <t>Check Automation</t>
  </si>
  <si>
    <t>Seed_Gmail</t>
  </si>
  <si>
    <t>Seed_Yahoo</t>
  </si>
  <si>
    <t>CR36_FirstAssistLend_Seed_16-04-2026</t>
  </si>
  <si>
    <t>CR36_FirstAssistLendII_Seed_16-04-2026</t>
  </si>
  <si>
    <t>CR36_FirstAssistLend_YahooSeed_16-04-2026</t>
  </si>
  <si>
    <t>CR36II_FirstAssistLend_YahooSeed_16-04-2026</t>
  </si>
  <si>
    <t>CR_SmartCash-Loans_Clickers_16-04-2026</t>
  </si>
  <si>
    <t>CR_SmartCash-Loans_YahooClickers_16-04-2026</t>
  </si>
  <si>
    <t>Increase the gmail count with 20 Msg Limit</t>
  </si>
  <si>
    <t>CR43_CapitalPros_GmailSeed_16-04-2026</t>
  </si>
  <si>
    <t>CR43II_CapitalPros_GmailSeed_16-04-2026</t>
  </si>
  <si>
    <t>CR43_CapitalPros_YahooSeed_16-04-2026</t>
  </si>
  <si>
    <t>CR43II_CapitalPros_YahooSeed_16-04-2026</t>
  </si>
  <si>
    <t>CR_Today-Loans_GmailClicker_16-04-2026</t>
  </si>
  <si>
    <t>CR_Today-Loans_YahooClicker_16-04-2026</t>
  </si>
  <si>
    <t>CR_Raw_FirstassistLend_16-04-2026</t>
  </si>
  <si>
    <t>LP_Dup_Yahoo</t>
  </si>
  <si>
    <t>CR_FirstAssistLends_YahooRaw_16-04-2026</t>
  </si>
  <si>
    <t>{{customer.firstname | default: "User"}} — Up to $35,000, Apply in Minutes</t>
  </si>
  <si>
    <t>CR_CapitalPros_YahooRaw_16-04-2026</t>
  </si>
  <si>
    <t>CR01_FastFinancial.net_16-04-2026</t>
  </si>
  <si>
    <t>CR02_SimpleAdvances.net _16-04-2026</t>
  </si>
  <si>
    <t>CR01_RescueLoans.net_16_04_2026</t>
  </si>
  <si>
    <t>CR02_cashhelp123.com_16-04-2026</t>
  </si>
  <si>
    <t>CR01_RosewoodFinancial.com_16-04-2026</t>
  </si>
  <si>
    <t>CR02_CashFlowConnects_16-04-2026</t>
  </si>
  <si>
    <t>Thur</t>
  </si>
  <si>
    <t>NewMG_Lincoln--Financial_16-04-2026</t>
  </si>
  <si>
    <t>CashFlow Connects</t>
  </si>
  <si>
    <t>{{first_name}}, You left something unfinished</t>
  </si>
  <si>
    <t>Yahoo_3HourClicker</t>
  </si>
  <si>
    <t>CashflowConnect</t>
  </si>
  <si>
    <t>NewmG</t>
  </si>
  <si>
    <t>Added In WF</t>
  </si>
  <si>
    <t>Event</t>
  </si>
  <si>
    <t>Allesp3Hours_Opener_Yahoo</t>
  </si>
  <si>
    <t>Fri</t>
  </si>
  <si>
    <t>New WF for Opnrs</t>
  </si>
  <si>
    <t>Adding One More Creative in the above drip</t>
  </si>
  <si>
    <t xml:space="preserve">New Creative </t>
  </si>
  <si>
    <t>All_Yahoo_Open</t>
  </si>
  <si>
    <t>Ends in 19 APR</t>
  </si>
  <si>
    <t>Notification Team</t>
  </si>
  <si>
    <t>Quick Check On Your Request, {{first_name}}</t>
  </si>
  <si>
    <t>CR07_PrismLoans_Raw_17-04-2026</t>
  </si>
  <si>
    <t>CR08_LoanAssist-USA_Openers_17-04-2026</t>
  </si>
  <si>
    <t>CR09_CashSpark_Openers_17-04-2026</t>
  </si>
  <si>
    <t>CR10_ClearSpringFinancial_Openers_17-04-2026</t>
  </si>
  <si>
    <t>CR11_Citrus--Loans_Openers_17-04-2026</t>
  </si>
  <si>
    <t>CR12_RexburgLoans_Openers_17-04-2026</t>
  </si>
  <si>
    <t>CR13_USAPremierLoans_Openers_17-04-2026</t>
  </si>
  <si>
    <t>Account Desk</t>
  </si>
  <si>
    <t>Finance Team</t>
  </si>
  <si>
    <t>Account Update</t>
  </si>
  <si>
    <t>Financial Support</t>
  </si>
  <si>
    <t>Account Services</t>
  </si>
  <si>
    <t>Quick Follow-Up On Your Request, {{first_name}}</t>
  </si>
  <si>
    <t>You Saw This Earlier, {{first_name}}</t>
  </si>
  <si>
    <t>New Creative</t>
  </si>
  <si>
    <t>{{first_name}}, Complete You Request Before It’s Removed.</t>
  </si>
  <si>
    <t>Need Help With This?</t>
  </si>
  <si>
    <t>Last Reminder To Complete Your Application, {{first_name}}</t>
  </si>
  <si>
    <t>{{first_name}}, Quick Update On Your Request.</t>
  </si>
  <si>
    <t>CR01_FastFinancial.net_18-04-2026</t>
  </si>
  <si>
    <t>CR02_SimpleAdvances.net _18-04-2026</t>
  </si>
  <si>
    <t>CR01_RescueLoans.net_18_04_2026</t>
  </si>
  <si>
    <t>CR02_cashhelp123.com_18-04-2026</t>
  </si>
  <si>
    <t>CR01_RosewoodFinancial.com_18-04-2026</t>
  </si>
  <si>
    <t>CR02_CashFlowConnects_18-04-2026</t>
  </si>
  <si>
    <t>CR08_LoanAssist-USA_Openers_19-04-2026</t>
  </si>
  <si>
    <t>CR09_CashSpark_Openers_19-04-2026</t>
  </si>
  <si>
    <t>CR10_ClearSpringFinancial_Openers_19-04-2026</t>
  </si>
  <si>
    <t>CR11_Citrus--Loans_Openers_19-04-2026</t>
  </si>
  <si>
    <t>CR12_RexburgLoans_Openers_19-04-2026</t>
  </si>
  <si>
    <t>CR13_USAPremierLoans_Openers_19-04-2026</t>
  </si>
  <si>
    <t>CR_SpringLoans_GmailClicker_17-04-2026</t>
  </si>
  <si>
    <t>CR_Citrus-Loans_GmailOpener_17-04-2026</t>
  </si>
  <si>
    <t>{{customer.firstname | default: 'Hey'}}, your loan option is still open 🔓</t>
  </si>
  <si>
    <t>{{customer.firstname | default: 'Hey'}}, did you get a chance to look? 👀</t>
  </si>
  <si>
    <t>CR_SpringLoans_YahooClicker_17-04-2026</t>
  </si>
  <si>
    <t>CR_Citrus-Loans_YahooOpener_17-04-2026</t>
  </si>
  <si>
    <t>New Creative , 3 days message limit</t>
  </si>
  <si>
    <t>First Assist Lend</t>
  </si>
  <si>
    <t>Capital Pros</t>
  </si>
  <si>
    <t>CR_PrismLoans_GmailClicker_17-04-2026</t>
  </si>
  <si>
    <t>CR_PrismLoans_GmailOpener_17-04-2026</t>
  </si>
  <si>
    <t>New Creative , 2 days message limit</t>
  </si>
  <si>
    <t>CR_PrismLoans_YahooClicker_17-04-2026</t>
  </si>
  <si>
    <t>CR_PrismLoans_YahooOpener_17-04-2026</t>
  </si>
  <si>
    <t>CR_SmartCash-Loans_Clickers_18-04-2026</t>
  </si>
  <si>
    <t>CR_SmartCash-Loans_YahooClickers_18-04-2026</t>
  </si>
  <si>
    <t>CR_Today-Loans_GmailClicker_18-04-2026</t>
  </si>
  <si>
    <t>CR_Today-Loans_YahooClicker_18-04-2026</t>
  </si>
  <si>
    <t>CR_SpringLoans_YahooClicker_19-04-2026</t>
  </si>
  <si>
    <t>CR_PrismLoans_GmailClicker_19-04-2026</t>
  </si>
  <si>
    <t>CR_PrismLoans_YahooClicker_19-04-2026</t>
  </si>
  <si>
    <t>CR_SpringLoans_GmailClicker_19-04-2026</t>
  </si>
  <si>
    <t>CR36_FirstAssistLend_Seed_17-04-2026</t>
  </si>
  <si>
    <t>NewMG_ThankfulLoans_17-04-2026</t>
  </si>
  <si>
    <t>Quick follow-up on your request, {{first_name}}</t>
  </si>
  <si>
    <t>CR36_FirstAssistLendII_Seed_17-04-2026</t>
  </si>
  <si>
    <t>CR43_CapitalPros_GmailSeed_17-04-2026</t>
  </si>
  <si>
    <t>CR43II_CapitalPros_GmailSeed_17-04-2026</t>
  </si>
  <si>
    <t>CR36_FirstAssistLend_Seed_18-04-2026</t>
  </si>
  <si>
    <t>CR43_CapitalPros_GmailSeed_18-04-2026</t>
  </si>
  <si>
    <t>CR36_FirstAssistLend_Seed_19-04-2026</t>
  </si>
  <si>
    <t>CR43_CapitalPros_GmailSeed_19-04-2026</t>
  </si>
  <si>
    <t>Ends Today, 11 PM</t>
  </si>
  <si>
    <t>New With Msg Limit</t>
  </si>
  <si>
    <t>LinkPD1_1Hour_Added_Yahoo_dupe</t>
  </si>
  <si>
    <t>NewMG_FastFinancial.net_20-04-2026</t>
  </si>
  <si>
    <t>Quick update on your funding access</t>
  </si>
  <si>
    <t>CR01_FastFinancial.net_20-04-2026</t>
  </si>
  <si>
    <t>CR02_SimpleAdvances.net _20-04-2026</t>
  </si>
  <si>
    <t>CR01_RescueLoans.net_20_04_2026</t>
  </si>
  <si>
    <t>CR02_cashhelp123.com_20-04-2026</t>
  </si>
  <si>
    <t>CR01_RosewoodFinancial.com_20-04-2026</t>
  </si>
  <si>
    <t>CR02_CashFlowConnects_20-04-2026</t>
  </si>
  <si>
    <t>CR36_FirstAssistLend_Seed_20-04-2026</t>
  </si>
  <si>
    <t>CR36_FirstAssistLendII_Seed_20-04-2026</t>
  </si>
  <si>
    <t>CR43_CapitalPros_GmailSeed_20-04-2026</t>
  </si>
  <si>
    <t>CR43II_CapitalPros_GmailSeed_20-04-2026</t>
  </si>
  <si>
    <t>Change Offer</t>
  </si>
  <si>
    <t>CR_CashSpark_Clickers_20-04-2026</t>
  </si>
  <si>
    <t>CR_ClearSpringFinancial_GmailOpener_20-04-2026</t>
  </si>
  <si>
    <t>CR_CashSpark_YahooClickers_20-04-2026</t>
  </si>
  <si>
    <t>CR_ClearSpringFinancial_YahooOpener_20-04-2026</t>
  </si>
  <si>
    <t>CR_Citrus--Loans_GmailClicker_20-04-2026</t>
  </si>
  <si>
    <t>CR_RexburgLoans_GmailOpener_20-04-2026</t>
  </si>
  <si>
    <t>CR_Citrus--Loans_YahooClicker_20-04-2026</t>
  </si>
  <si>
    <t>CR_RexburgLoans_YahooOpener_20-04-2026</t>
  </si>
  <si>
    <t>Monday</t>
  </si>
  <si>
    <t>SPB_USAPremierLoans_20-04-026</t>
  </si>
  <si>
    <t>A quick note for you, {{customer.firstname | default :'User'}}</t>
  </si>
  <si>
    <t>1 Minutes</t>
  </si>
  <si>
    <t>3 Minutes</t>
  </si>
  <si>
    <t>TC_QuickLoans.cash_20-04-2026</t>
  </si>
  <si>
    <t>Just a quick check-in,  {{ customer.firstname | default:'User'}}</t>
  </si>
  <si>
    <t>5 Minutes</t>
  </si>
  <si>
    <t>SmartLendings</t>
  </si>
  <si>
    <t>SL_Sydney-Financial_20-04-2026</t>
  </si>
  <si>
    <t>You might want to see this, {{customer.firstname | default:'User'}}</t>
  </si>
  <si>
    <t>+</t>
  </si>
  <si>
    <t>Opener</t>
  </si>
  <si>
    <t>Broadcast Opener</t>
  </si>
  <si>
    <t>Broadcast Clicker</t>
  </si>
  <si>
    <t>Tuesday</t>
  </si>
  <si>
    <t>CR08_LoanAssist-USA_Openers_21-04-2026</t>
  </si>
  <si>
    <t>CR09_CashSpark_Openers_21-04-2026</t>
  </si>
  <si>
    <t>CR10_ClearSpringFinancial_Openers_21-04-2026</t>
  </si>
  <si>
    <t>CR11_Citrus--Loans_Openers_21-04-2026</t>
  </si>
  <si>
    <t>CR12_RexburgLoans_Openers_21-04-2026</t>
  </si>
  <si>
    <t>CR13_USAPremierLoans_Openers_21-04-2026</t>
  </si>
  <si>
    <t>NewMG_LightningLoan.net_21-04-2026</t>
  </si>
  <si>
    <t>Quick follow-up - something worth a second look, {{first_name}}</t>
  </si>
  <si>
    <t>Follow-Up Opener</t>
  </si>
  <si>
    <t>Broadcast this with msg limit</t>
  </si>
  <si>
    <t>CR36_FirstAssistLend_Seed_21-04-2026</t>
  </si>
  <si>
    <t>CR36_FirstAssistLendII_Seed_21-04-2026</t>
  </si>
  <si>
    <t>All Opener</t>
  </si>
  <si>
    <t>All Clicker</t>
  </si>
  <si>
    <t>CR43_CapitalPros_GmailSeed_21-04-2026</t>
  </si>
  <si>
    <t>CR43II_CapitalPros_GmailSeed_21-04-2026</t>
  </si>
  <si>
    <t>FAL_Holiday-Funds_GmailClickers_21-04-2026</t>
  </si>
  <si>
    <t>{{customer.firstname | default:'Hey'}}, You Might’ve Missed This.</t>
  </si>
  <si>
    <t>FAL_Sydney-Financial_GmailOpeners_21-04-2026</t>
  </si>
  <si>
    <t>{{customer.firstname | default:'Hi'}}, Your Next Step is Ready.</t>
  </si>
  <si>
    <t>FAL_Holiday-Funds_YahooClickers_21-04-2026</t>
  </si>
  <si>
    <t>FAL_Sydney-Financial_YahooOpeners_21-04-2026</t>
  </si>
  <si>
    <t>CP_QuickLoans.cash_GmailClicker_21-04-2026</t>
  </si>
  <si>
    <t>This might not stay available for long, {{customer.firstname | default: "User"}}</t>
  </si>
  <si>
    <t>CP_USAPremierLoans_GmailOpeners_21-04-2026</t>
  </si>
  <si>
    <t>Thought you might want another look, {{customer.firstname | default: "User"}}</t>
  </si>
  <si>
    <t>CP_QuickLoans.cash_YahooClicker_21-04-2026</t>
  </si>
  <si>
    <t>CP_USAPremierLoans_YahooOpeners_21-04-2026</t>
  </si>
  <si>
    <t>SPB_Holiday-Funds_21-04-026</t>
  </si>
  <si>
    <t>Fast decisions. Up to $35,000. No fees. Take the next step today.</t>
  </si>
  <si>
    <t>2 Minutes</t>
  </si>
  <si>
    <t>SmarPayBuddy_YahooOpeners</t>
  </si>
  <si>
    <t>SmartPatBuddy_YahooClickers</t>
  </si>
  <si>
    <t>Mailwizz_All_YahooOpeners</t>
  </si>
  <si>
    <t>Mailwizz_All_YahooClickers</t>
  </si>
  <si>
    <t>TC_Lincoln--Financial_YahooOpeners_21-04-2026</t>
  </si>
  <si>
    <t>You opened it — here’s what’s next, {{customer.firstname | default:"user"}}</t>
  </si>
  <si>
    <t>SL_JumpStartLoan_21-04-2026</t>
  </si>
  <si>
    <t>{{customer.firstname | default: "User"}} — your loan options are still waiting</t>
  </si>
  <si>
    <t>Your email verification is pending, {{customer.firstname | default:'User'}}</t>
  </si>
  <si>
    <t>TC_ThankfulLoans_YahooClickers_21-04-2026</t>
  </si>
  <si>
    <t>TapCashier_YahooOpeners</t>
  </si>
  <si>
    <t>TapCashier_YahooClickers</t>
  </si>
  <si>
    <t>TC_LeapLoans_YahooOpeners_21-04-2026</t>
  </si>
  <si>
    <t>Something worth a quick look, {{customer.firstname | default:'User'}}</t>
  </si>
  <si>
    <t>TC_JumpStartLoan_AllYahooOpeners_21-04-2026</t>
  </si>
  <si>
    <t>{{customer.firstname | default:'User'}}, Update regarding your application</t>
  </si>
  <si>
    <t>{{customer.firstname | default:'User'}}, Just one step left - add your e-signature.</t>
  </si>
  <si>
    <t>TC_Lincoln--Financial_AllYahooClickers_21-04-2026</t>
  </si>
  <si>
    <t>SL_CashYouNeed.com _AllYahooOpeners_21-04-2026</t>
  </si>
  <si>
    <t>{{customer.firstname | default:'Applicant'}}, Your review is almost complete.</t>
  </si>
  <si>
    <t>SL_cashhelp123.com_AllYahooClickers_21-04-2026</t>
  </si>
  <si>
    <t>{{customer.firstname | default:'You'}}, Continue your application progress.</t>
  </si>
  <si>
    <t>SPB_Integrity-Loan_21-04-026</t>
  </si>
  <si>
    <t>A Simple Update to Guide You Better</t>
  </si>
  <si>
    <t>SPB_Holiday-money_21-04-026</t>
  </si>
  <si>
    <t>{{customer.firstname | default :'User'}} Your Income Details Are Still Pending</t>
  </si>
  <si>
    <t>SPB_brooklinefinancial_21-04-026</t>
  </si>
  <si>
    <t>A Small Update Needs Your Attention</t>
  </si>
  <si>
    <t>SPB_loantoday123_21-04-026</t>
  </si>
  <si>
    <t>{{customer.firstname | default :'User'}}   , Complete your final step to move forward smoothly</t>
  </si>
  <si>
    <t>SL_clearspringfinancial_21-04-2026</t>
  </si>
  <si>
    <t>Check What You May Be Eligible For</t>
  </si>
  <si>
    <t>SmarLendings_YahooOpeners</t>
  </si>
  <si>
    <t>SL_citrus-loans_21-04-2026</t>
  </si>
  <si>
    <t>{{customer.firstname | default:'User'}} , Final Step Waiting for You</t>
  </si>
  <si>
    <t>SmarLendings_YahooClickers</t>
  </si>
  <si>
    <t xml:space="preserve">Clicks </t>
  </si>
  <si>
    <t xml:space="preserve">Unsub </t>
  </si>
  <si>
    <t>Bounce</t>
  </si>
  <si>
    <t xml:space="preserve">Bounce % </t>
  </si>
  <si>
    <t>Unsub %</t>
  </si>
  <si>
    <t>Customer.io Domain Wise</t>
  </si>
  <si>
    <t>Total</t>
  </si>
  <si>
    <t>New Broadcast</t>
  </si>
  <si>
    <t>Wednesday</t>
  </si>
  <si>
    <t>CR01_FastFinancial.net_22-04-2026</t>
  </si>
  <si>
    <t>CR02_SimpleAdvances.net _22-04-2026</t>
  </si>
  <si>
    <t>CR01_RescueLoans.net_22_04_2026</t>
  </si>
  <si>
    <t>CR02_cashhelp123.com_22-04-2026</t>
  </si>
  <si>
    <t>CR01_RosewoodFinancial.com_22-04-2026</t>
  </si>
  <si>
    <t>CR02_CashFlowConnects_22-04-2026</t>
  </si>
  <si>
    <t>CR36_FirstAssistLend_Seed_22-04-2026</t>
  </si>
  <si>
    <t>CR43_CapitalPros_GmailSeed_22-04-2026</t>
  </si>
  <si>
    <t>CR_CashSpark_Clickers_22-04-2026</t>
  </si>
  <si>
    <t>CR_ClearSpringFinancial_GmailOpener_22-04-2026</t>
  </si>
  <si>
    <t>CR_CashSpark_YahooClickers_22-04-2026</t>
  </si>
  <si>
    <t>CR_ClearSpringFinancial_YahooOpener_22-04-2026</t>
  </si>
  <si>
    <t>CR_Citrus--Loans_GmailClicker_22-04-2026</t>
  </si>
  <si>
    <t>CR_RexburgLoans_GmailOpener_22-04-2026</t>
  </si>
  <si>
    <t>CR_Citrus--Loans_YahooClicker_22-04-2026</t>
  </si>
  <si>
    <t>CR_RexburgLoans_YahooOpener_22-04-2026</t>
  </si>
  <si>
    <t>SPB_SunriseValleyLoans_YahooOpener_22-04-2026</t>
  </si>
  <si>
    <t>{{customer.firstname | default:"Hey"}}, You’re Already In - Just One Step Left.</t>
  </si>
  <si>
    <t>TC_Cash-ForYou_YahooOpener_22-04-2026</t>
  </si>
  <si>
    <t>Quick Reminder - You’re Almost Done, {{customer.firstname | default:"User"}}</t>
  </si>
  <si>
    <t>SL_Newyearsloan.com_YahooOpener_22-04-2026</t>
  </si>
  <si>
    <t>Still thinking? It’s waiting for you {{customer.firstname | default:""}}</t>
  </si>
  <si>
    <t>Contact Updated</t>
  </si>
  <si>
    <t>SPB_UnitedLoan_ContactUpdated_22-04-2026</t>
  </si>
  <si>
    <t>SPB_Mainstreet-Loans.com_Opener_22-04-2026</t>
  </si>
  <si>
    <t>{{first_name}}, Complete your final step to move forward smoothly</t>
  </si>
  <si>
    <t>Starting Converted Data</t>
  </si>
  <si>
    <t>Recent_Gmail_Converted</t>
  </si>
  <si>
    <t>FAL_Holiday-Funds_GmailClickers_22-04-2026</t>
  </si>
  <si>
    <t>CP_USAPremierLoans_GmailOpeners_22-04-2026</t>
  </si>
  <si>
    <t>Pr_NewMG_30DClicker_Gmail</t>
  </si>
  <si>
    <t>NewMG_MultiESP_Lincoln--Financial_Clickers_22-04-2026</t>
  </si>
  <si>
    <t>Financial Advisor</t>
  </si>
  <si>
    <t>{{first_name}}, You’re Already In - Just Finish This 👇</t>
  </si>
  <si>
    <t>SPB_SmartCash-Loans_22-04-026</t>
  </si>
  <si>
    <t>{{customer.firstname | default :'User'}} , Pick Up Where You Left Off</t>
  </si>
  <si>
    <t>SPB_Rosewoodfinancial_22-04-026</t>
  </si>
  <si>
    <t>{{customer.firstname | default :'User'}} , A Quick Step to Complete Your Application</t>
  </si>
  <si>
    <t>SPB_OakmontFunds.com_22-04-026</t>
  </si>
  <si>
    <t>A Quick Step to Complete Your Request</t>
  </si>
  <si>
    <t>SPB_Today-Loan_22-04-026</t>
  </si>
  <si>
    <t>{{customer.firstname | default :'User'}} , A Quick Follow-Up for You</t>
  </si>
  <si>
    <t>TC_SpringLoans_YahooClickers_22-04-026</t>
  </si>
  <si>
    <t>{{customer.firstname | default:'User'}} , Confirm Your Details to Proceed</t>
  </si>
  <si>
    <t>TC_BlueSky-Financial_YahooOpeners_22-04-2026</t>
  </si>
  <si>
    <t>{{ customer.firstname | default:'User'}} , A Quick Reminder About Your Application</t>
  </si>
  <si>
    <t>TC_PrismLoans_YahooOpeners_22-04-2026</t>
  </si>
  <si>
    <t>{{ customer.firstname | default:'User'}} , Your Funding Request Needs Attention</t>
  </si>
  <si>
    <t>TC_LoanAssist-USA_YahooClickers_22-04-026</t>
  </si>
  <si>
    <t>{{ customer.firstname | default:'User'}} , Complete Your Final Step to Continue</t>
  </si>
  <si>
    <t>SL_CashSpark_22-04-2026</t>
  </si>
  <si>
    <t>{{customer.firstname | default:'User'}} , Action Needed to Keep Things on Track</t>
  </si>
  <si>
    <t>SL_RexburgLoans_YahooClickers_22-04-026</t>
  </si>
  <si>
    <t>{{customer.firstname | default:'User'}} , Please Review Your Application Status</t>
  </si>
  <si>
    <t>SL_USAPremierLoans_22-04-2026</t>
  </si>
  <si>
    <t>{{customer.firstname | default:'User'}} , Secure Document Available for Your Review</t>
  </si>
  <si>
    <t>SL_QuickLoans.cash_YahooClickers_22-04-026</t>
  </si>
  <si>
    <t>{{customer.firstname | default:'User'}} , Confirm Your Details to Continue</t>
  </si>
  <si>
    <t>Pr_NewMG_30DOpeners_Gmail</t>
  </si>
  <si>
    <t>Ends Today 6:00 PM</t>
  </si>
  <si>
    <t>Schedule after 6, with msg lmt</t>
  </si>
  <si>
    <t>Ends Today at 7:00 PM</t>
  </si>
  <si>
    <t>Schedule after 7, with msg lmt</t>
  </si>
  <si>
    <t>WF</t>
  </si>
  <si>
    <t>10 Minutes</t>
  </si>
  <si>
    <t>15 Minutes</t>
  </si>
  <si>
    <t>20 Minutes</t>
  </si>
  <si>
    <t>25 Minutes</t>
  </si>
  <si>
    <t>TC_Cash-ForYou_ContactUpdated_23-04-2026</t>
  </si>
  <si>
    <t>AW_JumpStartLoan_ContactUpdated_23-04-2026</t>
  </si>
  <si>
    <t>MCB_LeapLoans_ContactUpdated_23-04-2026</t>
  </si>
  <si>
    <t>SL_LoanToday123_ContactUpdated_23-04-2026</t>
  </si>
  <si>
    <t>TC_SunriseValleyLoans_Opener_23-04-2026</t>
  </si>
  <si>
    <t>AW_BrooklineFinancial_Opener_23-04-2026</t>
  </si>
  <si>
    <t>MCB_Integrity--Loans_Opener_23-04-2026</t>
  </si>
  <si>
    <t>Sl_Holiday-Money_Opener_23-04-2026</t>
  </si>
  <si>
    <t>Quick update received, {{first_name}}</t>
  </si>
  <si>
    <t>You were just here {{first_name}} — continue?</t>
  </si>
  <si>
    <t>Funding Waves</t>
  </si>
  <si>
    <t>You’re almost there, {{first_name}}</t>
  </si>
  <si>
    <t>You already showed interest from {{email}}</t>
  </si>
  <si>
    <t xml:space="preserve">WF New Creative </t>
  </si>
  <si>
    <t>Your update is saved — here’s what’s next</t>
  </si>
  <si>
    <t>Still thinking it over, {{firstname}}?</t>
  </si>
  <si>
    <t>{{first_name}}, Action required: Complete your e-signature</t>
  </si>
  <si>
    <t>NewMG_MultiESP_Lincoln--Financial_Openers_23-04-2026</t>
  </si>
  <si>
    <t>You checked this {{first_name}} — here’s what you missed</t>
  </si>
  <si>
    <t>NewMG_MultiESP_Holiday-Funds_Clickers_23-04-2026</t>
  </si>
  <si>
    <t>FAL_SmartCash-Loans_23-04-026</t>
  </si>
  <si>
    <t>Assist waves</t>
  </si>
  <si>
    <t>Mycapitalbuzz</t>
  </si>
  <si>
    <t>SmartLending</t>
  </si>
  <si>
    <t>CashflowConnects</t>
  </si>
  <si>
    <t>Gmail</t>
  </si>
  <si>
    <t>Yahoo</t>
  </si>
  <si>
    <t>Mailwizz</t>
  </si>
  <si>
    <t>cashflowconnect</t>
  </si>
  <si>
    <t>Customer.io</t>
  </si>
  <si>
    <t>FAL_Rosewoodfinancial_23-04-026</t>
  </si>
  <si>
    <t>FAL_OakmontFunds.com_23-04-026</t>
  </si>
  <si>
    <t>FAL_Today-Loan_23-04-026</t>
  </si>
  <si>
    <t>FAL_SunriseValleyLoans_YahooOpener_23-04-2026</t>
  </si>
  <si>
    <t>CP_SpringLoans_GmailClickers_23-04-026</t>
  </si>
  <si>
    <t>CP_BlueSky-Financial_GmailOpeners_23-04-2026</t>
  </si>
  <si>
    <t>CP_PrismLoans_GmailConverted_23-04-2026</t>
  </si>
  <si>
    <t>CP_LoanAssist-USA_YahooClickers_23-04-026</t>
  </si>
  <si>
    <t>CP_Cash-ForYou_YahooOpener_23-04-2026</t>
  </si>
  <si>
    <t xml:space="preserve">New on Gmail </t>
  </si>
  <si>
    <t xml:space="preserve">LPDupe Gmail New </t>
  </si>
  <si>
    <t>{{customer.firstname | default:"Hey" }} ,Complete Your Pending Update Now</t>
  </si>
  <si>
    <t>SPB_UnitedLoan_GmailRaw_23-04-026</t>
  </si>
  <si>
    <t>SPB_MainstreetLoans.com_GmailOpeners_23-04-026</t>
  </si>
  <si>
    <t>{{customer.firstname | default :'User'}} , A Better Way to Continue Is Here</t>
  </si>
  <si>
    <t>{{customer.firstname | default:"Hey" }}, Your Application Is Still Waiting for You</t>
  </si>
  <si>
    <t>TC_SummerLoans_GmailRaw_23-04-2026</t>
  </si>
  <si>
    <t>TC_Newyearsloan.com_GmailOpener_23_04_2026</t>
  </si>
  <si>
    <t>{{customer.firstname | default: "Hey"}}, Quick &amp; Easy Access to Funds - Start Anytime.</t>
  </si>
  <si>
    <t>SL_SpringLoans_GmailRaw_23-04-2026</t>
  </si>
  <si>
    <t>{{ customer.firstname | default:'User'}},  Your Application Is Ready to Continue</t>
  </si>
  <si>
    <t>{{ customer.firstname | default:'User'}}, You saw this - but here’s the important part</t>
  </si>
  <si>
    <t>SL_OakmontFunds.com_GmailOpener_23-04-2026</t>
  </si>
  <si>
    <t>SPB_UnitedLoan_23-04-026</t>
  </si>
  <si>
    <t>{{customer.firstname | default :'User'}} , Quick Review Needed on Your Update</t>
  </si>
  <si>
    <t>SPB_SmartCash-Loans_23-04-026</t>
  </si>
  <si>
    <t>SPB_MainstreetLoans.com_23-04-026</t>
  </si>
  <si>
    <t>SPB_Money-Anytime_23-04-026</t>
  </si>
  <si>
    <t>{{customer.firstname | default :'User'}} , Complete Your Final Step Now</t>
  </si>
  <si>
    <t>TC_BlueSky-Financial_YahooClickers_23-04-2026</t>
  </si>
  <si>
    <t>TC_SummerLoans_YahooOpener_23-04-2026</t>
  </si>
  <si>
    <t>Left It Earlier? You Can Return Anytime</t>
  </si>
  <si>
    <t>TC_Newyearsloan.com_YahooOpener_23_04_2026</t>
  </si>
  <si>
    <t>{{ customer.firstname | default:'User'}} ,  Your Application Is Ready to Continue</t>
  </si>
  <si>
    <t>TC_PrismLoans_YahooClickers_23-04-2026</t>
  </si>
  <si>
    <t>SL_LoanFinder-USA.com_YahooOpners_23-04-026</t>
  </si>
  <si>
    <t>{{customer.firstname | default:'User'}} , Complete Your Application by Confirming Amount</t>
  </si>
  <si>
    <t>SL_Lincoln--Financial_YahooClickers_23-04-026</t>
  </si>
  <si>
    <t>Missing Information: Update Location Details</t>
  </si>
  <si>
    <t>SL_New-Day-Loans_YahooOpeners_23-04-026</t>
  </si>
  <si>
    <t>{{customer.firstname | default:'User'}} ,   Review Your Details to Continue</t>
  </si>
  <si>
    <t>SL_SunriseValleyLoans_YahooClickers_23-04-026</t>
  </si>
  <si>
    <t>Account Confirmation Required to Proceed</t>
  </si>
  <si>
    <t>SPB_SuperFastFunds_23-04-026</t>
  </si>
  <si>
    <t>Continue Your Process Without Restarting</t>
  </si>
  <si>
    <t>TC_horizonloans.net_23-04-2026</t>
  </si>
  <si>
    <t>{{ customer.firstname | default:'User'}} ,  Still Thinking About It? You Can Continue</t>
  </si>
  <si>
    <t>SL_Cash-ForYou_23-04-026</t>
  </si>
  <si>
    <t>{{customer.firstname | default:'User'}} , Record Confirmation Required to Proceed</t>
  </si>
  <si>
    <t xml:space="preserve">New List,New Creative </t>
  </si>
  <si>
    <t>Zp Feed</t>
  </si>
  <si>
    <t>Gmail.com</t>
  </si>
  <si>
    <t>{{first_name}}, Complete your final step to move forward smoothly.</t>
  </si>
  <si>
    <t>NewMG_Multi_Mainstreet-Loans.com_Clickers_24-04-2026</t>
  </si>
  <si>
    <t>NewMG_Multi_SunriseValleyLoans_Openers_24-04-2026</t>
  </si>
  <si>
    <t>NewMG_Multi_Next Day Personal Loan_GmailRaw_24-04-2026</t>
  </si>
  <si>
    <t>BVK</t>
  </si>
  <si>
    <t>NewMG_MultiESP_Holiday-Funds_Clickers_25-04-2026</t>
  </si>
  <si>
    <t>NewMG_MultiESP_Lincoln--Financial_Openers_25-04-2026</t>
  </si>
  <si>
    <t>NewMG_Multi_Mainstreet-Loans.com_Clickers_26-04-2026</t>
  </si>
  <si>
    <t>NewMG_Multi_SunriseValleyLoans_Openers_26-04-2026</t>
  </si>
  <si>
    <t>Thursday</t>
  </si>
  <si>
    <t>Friday</t>
  </si>
  <si>
    <t>Adding One more creative in above camp</t>
  </si>
  <si>
    <t>FAL_CashSpark_GmailClickers_24-04-2026</t>
  </si>
  <si>
    <t>FAL_ClearSpringFinancial_GmailOpener_24-04-2026</t>
  </si>
  <si>
    <t>FAL_Holiday-Funds_GmailCOnverted_24-04-2026</t>
  </si>
  <si>
    <t>FAL_CashSpark_YahooClickers_24-04-2026</t>
  </si>
  <si>
    <t>FAL_ClearSpringFinancial_YahooOpener_24-04-2026</t>
  </si>
  <si>
    <t>CP_Citrus--Loans_GmailClicker_24-04-2026</t>
  </si>
  <si>
    <t>CP_RexburgLoans_GmailOpener_24-04-2026</t>
  </si>
  <si>
    <t>CP_USAPremierLoans_GmailConverted_22-04-2026</t>
  </si>
  <si>
    <t>CP_Citrus--Loans_YahooClicker_24-04-2026</t>
  </si>
  <si>
    <t>CP_RexburgLoans_YahooOpener_24-04-2026</t>
  </si>
  <si>
    <t>SPB_Integrity-Loan_24-04-026</t>
  </si>
  <si>
    <t>SPB_Holiday-money_24-04-026</t>
  </si>
  <si>
    <t>SPB_brooklinefinancial_24-04-026</t>
  </si>
  <si>
    <t>SPB_loantoday123_24-04-026</t>
  </si>
  <si>
    <t>TC_ThankfulLoans_YahooClickers_24-04-2026</t>
  </si>
  <si>
    <t>TC_LeapLoans_YahooOpeners_24-04-2026</t>
  </si>
  <si>
    <t>TC_JumpStartLoan_AllYahooOpeners_24-04-2026</t>
  </si>
  <si>
    <t>TC_Lincoln--Financial_AllYahooClickers_24-04-2026</t>
  </si>
  <si>
    <t>SL_clearspringfinancial_YahooClickers_24-04-2026</t>
  </si>
  <si>
    <t>SL_citrus-loans_YahooOpeners_24-04-2026</t>
  </si>
  <si>
    <t>SL_CashYouNeed.com _AllYahooOpeners_24-04-2026</t>
  </si>
  <si>
    <t>SL_cashhelp123.com_AllYahooClickers_24-04-2026</t>
  </si>
  <si>
    <t>Saturday</t>
  </si>
  <si>
    <t>Sunday</t>
  </si>
  <si>
    <t>A quick financial update for you, {{customer.firstname | defauult:"User"}}</t>
  </si>
  <si>
    <t>FAL_Raw_Integrity--Loans_24-04-2026</t>
  </si>
  <si>
    <t>SPB_Sydney-Financial_24-04-026</t>
  </si>
  <si>
    <t>{{customer.firstname | default :'User'}}   , Your saved progress is waiting continue now in seconds.</t>
  </si>
  <si>
    <t>TC_Holiday-Money_AllYahooOpeners_24-04-2026</t>
  </si>
  <si>
    <t>{{customer.firstname | default:'User'}}, A quick review can unlock more relevant loan amounts for you.</t>
  </si>
  <si>
    <t>SL_BrooklineFinancial_AllYahooOpners_24-04-2026</t>
  </si>
  <si>
    <t>{{customer.firstname | default:'You'}},  See your refined loan options and complete your request now.</t>
  </si>
  <si>
    <t>CP_BrooklineFinancial_Raw_24-04-2026</t>
  </si>
  <si>
    <t>Take a moment to review this, {{customer.firstname | default:'User'}}</t>
  </si>
  <si>
    <t>1 Min</t>
  </si>
  <si>
    <t>5 Min</t>
  </si>
  <si>
    <t>3 min</t>
  </si>
  <si>
    <t>8 Min</t>
  </si>
  <si>
    <t>Your update is ready to review, {{customer.firstname | default :'User'}}</t>
  </si>
  <si>
    <t>SPB_New-Day-Loans_24-04-2026</t>
  </si>
  <si>
    <t>SPB_Raw_USAPremierLoans_20-04-2026</t>
  </si>
  <si>
    <t>5 Minute</t>
  </si>
  <si>
    <t>15 Minue</t>
  </si>
  <si>
    <t>15 Minute</t>
  </si>
  <si>
    <t>10 Minute</t>
  </si>
  <si>
    <t>20 Minute</t>
  </si>
  <si>
    <t>{{ customer.firstname | default:'Hey'}}, Still available if you want to check.</t>
  </si>
  <si>
    <t>TC_Raw_SunriseValleyLoans_24-04-2026</t>
  </si>
  <si>
    <t>A quick option you can review, {{customer.firstname | default:'User'}}</t>
  </si>
  <si>
    <t>SL_Raw_Cash-ForYou_24-04-2026</t>
  </si>
  <si>
    <t>30 Minutes</t>
  </si>
  <si>
    <t>TC_JumpStartLoan_GmailOpeners_24-04-2026</t>
  </si>
  <si>
    <t>SPB_brooklinefinancial_GmailOpeners_24-04-026</t>
  </si>
  <si>
    <t>SL_CashYouNeed.com _GmailOpeners_24-04-2026</t>
  </si>
  <si>
    <t>CP_SpringLoans_GmailClickers_25-04-026</t>
  </si>
  <si>
    <t>CP_BlueSky-Financial_GmailOpeners_25-04-2026</t>
  </si>
  <si>
    <t>CP_PrismLoans_GmailConverted_25-04-2026</t>
  </si>
  <si>
    <t>CP_LoanAssist-USA_YahooClickers_25-04-026</t>
  </si>
  <si>
    <t>CP_Cash-ForYou_YahooOpener_25-04-2026</t>
  </si>
  <si>
    <t>FAL_SmartCash-Loans_GmailClickers_25-04-026</t>
  </si>
  <si>
    <t>FAL_Rosewoodfinancial_GmailOpeners_25-04-026</t>
  </si>
  <si>
    <t>FAL_OakmontFunds.com_GmailConverted_25-04-026</t>
  </si>
  <si>
    <t>FAL_Today-Loan_YahooClickers_25-04-026</t>
  </si>
  <si>
    <t>FAL_SunriseValleyLoans_YahooOpener_25-04-2026</t>
  </si>
  <si>
    <t>FAL_CashSpark_GmailClickers_26-04-2026</t>
  </si>
  <si>
    <t>FAL_ClearSpringFinancial_GmailOpener_26-04-2026</t>
  </si>
  <si>
    <t>FAL_Holiday-Funds_GmailCOnverted_26-04-2026</t>
  </si>
  <si>
    <t>FAL_CashSpark_YahooClickers_26-04-2026</t>
  </si>
  <si>
    <t>FAL_ClearSpringFinancial_YahooOpener_26-04-2026</t>
  </si>
  <si>
    <t>CP_Citrus--Loans_GmailClicker_26-04-2026</t>
  </si>
  <si>
    <t>CP_RexburgLoans_GmailOpener_26-04-2026</t>
  </si>
  <si>
    <t>CP_USAPremierLoans_GmailConverted_26-04-2026</t>
  </si>
  <si>
    <t>CP_Citrus--Loans_YahooClicker_26-04-2026</t>
  </si>
  <si>
    <t>CP_RexburgLoans_YahooOpener_26-04-2026</t>
  </si>
  <si>
    <t>SPB_SmartCash-Loans_YahooOpeners_25-04-026</t>
  </si>
  <si>
    <t>SPB_Rosewoodfinancial_YahooClickers_25-04-026</t>
  </si>
  <si>
    <t>SPB_OakmontFunds.com_YahooOpeners_25-04-026</t>
  </si>
  <si>
    <t>SPB_Today-Loan_YahooClickers_25-04-026</t>
  </si>
  <si>
    <t>SPB_SunriseValleyLoans_YahooOpener_25-04-026</t>
  </si>
  <si>
    <t>TC_SpringLoans_YahooClickers_25-04-026</t>
  </si>
  <si>
    <t>TC_BlueSky-Financial_YahooOpeners_25-04-026</t>
  </si>
  <si>
    <t>TC_PrismLoans_YahooOpeners_25-04-026</t>
  </si>
  <si>
    <t>TC_LoanAssist-USA_YahooClickers_25-04-026</t>
  </si>
  <si>
    <t>TC_Cash-ForYou_YahooOpener_25-04-026</t>
  </si>
  <si>
    <t>SL_CashSpark_YahooOpeners_25-04-2026</t>
  </si>
  <si>
    <t>SL_RexburgLoans_YahooClickers_25-04-2026</t>
  </si>
  <si>
    <t>SL_USAPremierLoans_YahooOpeners_25-04-2026</t>
  </si>
  <si>
    <t>SL_QuickLoans.cash_YahooClickers_25-04-2026</t>
  </si>
  <si>
    <t>SL_Newyearsloan.com_YahooOpener_25-04-2026</t>
  </si>
  <si>
    <t>SPB_UnitedLoan_YahooOpeners_26-04-026</t>
  </si>
  <si>
    <t>SPB_SmartCash-Loans_YahooClickers_26-04-026</t>
  </si>
  <si>
    <t>SPB_MainstreetLoans.com_26-04-026</t>
  </si>
  <si>
    <t>SPB_Money-Anytime_YahooOpeners_26-04-026</t>
  </si>
  <si>
    <t>SPB_SuperFastFunds_Yahoo_Open_26-04-026</t>
  </si>
  <si>
    <t>SPB_MainstreetLoans.com_GmailOpeners_26-04-026</t>
  </si>
  <si>
    <t>TC_BlueSky-Financial_YahooClickers_26-04-2026</t>
  </si>
  <si>
    <t>TC_SummerLoans_YahooOpener_26-04-2026</t>
  </si>
  <si>
    <t>TC_Newyearsloan.com_YahooOpener_26-04-2026</t>
  </si>
  <si>
    <t>TC_PrismLoans_YahooClickers_26-04-2026</t>
  </si>
  <si>
    <t>TC_horizonloans.net_Yahoo_Open_26-04-2026</t>
  </si>
  <si>
    <t>TC_Newyearsloan.com_GmailOpener_26-04-2026</t>
  </si>
  <si>
    <t>SL_LoanFinder-USA.com_YahooOpners_26-04-026</t>
  </si>
  <si>
    <t>SL_Lincoln--Financial_YahooClickers_26-04-026</t>
  </si>
  <si>
    <t>SL_New-Day-Loans_YahooOpeners_26-04-026</t>
  </si>
  <si>
    <t>SL_SunriseValleyLoans_YahooClickers_26-04-026</t>
  </si>
  <si>
    <t>SL_Cash-ForYou_Yahoo_Open_26-04-026</t>
  </si>
  <si>
    <t>SL_OakmontFunds.com_GmailOpener_26-04-026</t>
  </si>
  <si>
    <t>SPB_OakmontFunds.com_GmailOpeners_25-04-2026</t>
  </si>
  <si>
    <t>TC_PrismLoans_GmailOpeners_25-04-2026</t>
  </si>
  <si>
    <t>SL_USAPremierLoans_GmailOpeners_25-04-2026</t>
  </si>
  <si>
    <t>CR36_FirstAssistLend_Seed_24-04-2026</t>
  </si>
  <si>
    <t>CR36_FirstAssistLendII_Seed_24-04-2026</t>
  </si>
  <si>
    <t>CR43_CapitalPros_GmailSeed_24-04-2026</t>
  </si>
  <si>
    <t>CR43II_CapitalPros_GmailSeed_24-04-2026</t>
  </si>
  <si>
    <t>CR36_FirstAssistLend_Seed_25-04-2026</t>
  </si>
  <si>
    <t>CR36_FirstAssistLendII_Seed_25-04-2026</t>
  </si>
  <si>
    <t>CR43_CapitalPros_GmailSeed_25-04-2026</t>
  </si>
  <si>
    <t>CR43II_CapitalPros_GmailSeed_25-04-2026</t>
  </si>
  <si>
    <t>CR36_FirstAssistLend_Seed_26-04-2026</t>
  </si>
  <si>
    <t>CR36_FirstAssistLendII_Seed_26-04-2026</t>
  </si>
  <si>
    <t>CR43_CapitalPros_GmailSeed_26-04-2026</t>
  </si>
  <si>
    <t>CR43II_CapitalPros_GmailSeed_26-04-2026</t>
  </si>
  <si>
    <t>Change Subject Line</t>
  </si>
  <si>
    <t>NewMG_PR_FastFinancial.net_Clickers_27-04-2026</t>
  </si>
  <si>
    <t>NewMG_PR_SimpleAdvances.net_Openers_27-04-2026</t>
  </si>
  <si>
    <t>Finance Desk</t>
  </si>
  <si>
    <t>You were almost done {{first_name}}… just 1 step left</t>
  </si>
  <si>
    <t>You saw this earlier {{first_name}} - here’s what you missed</t>
  </si>
  <si>
    <t>GmailSeed_SmartPayBuddy.com</t>
  </si>
  <si>
    <t>GmailSeed_TapCashier.com</t>
  </si>
  <si>
    <t>GmailSeed_SmartLendings.com</t>
  </si>
  <si>
    <t>Gmail Seed</t>
  </si>
  <si>
    <t>FAL_CashYouNeed.com_Clickers_27-04-2026</t>
  </si>
  <si>
    <t>You’re already in {{customer.firstname | default:"User"}} - just finish this</t>
  </si>
  <si>
    <t>FAL_cashhelp123.com_Openers_27-04-2026</t>
  </si>
  <si>
    <t>{{customer.firstname | default:"Hey"}}, Quick reminder - still available for you.</t>
  </si>
  <si>
    <t>FAL_Citrus-Loans_Converted_27-04-2026</t>
  </si>
  <si>
    <t>You’re all set {{customer.firstname | default:"User"}} - here’s what comes next</t>
  </si>
  <si>
    <t>FAL_CashYouNeed.com_YahooClickers_27-04-2026</t>
  </si>
  <si>
    <t>FAL_cashhelp123.com_YahooOpeners_27-04-2026</t>
  </si>
  <si>
    <t>CR36_FirstAssistLend_Seed_27-04-2026</t>
  </si>
  <si>
    <t>CR36_FirstAssistLendII_Seed_27-04-2026</t>
  </si>
  <si>
    <t>CR43_CapitalPros_GmailSeed_27-04-2026</t>
  </si>
  <si>
    <t>CR43II_CapitalPros_GmailSeed_27-04-2026</t>
  </si>
  <si>
    <t>CP_QuickLoans.cash_Clickers_27-04-2026</t>
  </si>
  <si>
    <t>Still thinking it over? This might help {{customer.firstname | default:''}}</t>
  </si>
  <si>
    <t>CP_Sydney-Financial_Openers_27-04-2026</t>
  </si>
  <si>
    <t>This might be worth a second look, {{customer.firstname | default:"User"}}</t>
  </si>
  <si>
    <t>CP_SummerLoans_Converted_27-04-2026</t>
  </si>
  <si>
    <t>Update on your request {{customer.firstname | default:"User"}} - quick next step</t>
  </si>
  <si>
    <t>CP_QuickLoans.cash_YahooClickers_27-04-2026</t>
  </si>
  <si>
    <t>CP_Sydney-Financial_YahooOpeners_27-04-2026</t>
  </si>
  <si>
    <t>TC_UnitedLoan_Openers_27-04-2026</t>
  </si>
  <si>
    <t>TC_Mainstreet-Loans.com_Clickers_27-04-2026</t>
  </si>
  <si>
    <t>TC_SuperFastFunds_Openers_27-04-2026</t>
  </si>
  <si>
    <t>TC_SummerLoans_Clickers_27-04-2026</t>
  </si>
  <si>
    <t>TC_horizonloans.net_Openers_27-04-2026</t>
  </si>
  <si>
    <t>Your Updated Options Are Ready - Take a Look {{ customer.firstname | default:''}}</t>
  </si>
  <si>
    <t>Something’s Missing, {{ customer.firstname | default:'User'}} - Quick Fix Inside</t>
  </si>
  <si>
    <t>We Refined Your Options - See What’s New, {{ customer.firstname | default:'User'}}</t>
  </si>
  <si>
    <t>{{ customer.firstname | default:'User'}}, Quick Fix Needed - Please Review Your Details</t>
  </si>
  <si>
    <t>Almost Done - Complete Your Application Now, {{ customer.firstname | default:'User'}}</t>
  </si>
  <si>
    <t>TC_SuperFastFunds_GmailOpeners_27-04-2026</t>
  </si>
  <si>
    <t>TC_TapCashier_GmailSeed_27-04-2026</t>
  </si>
  <si>
    <t>N-1:30 AM</t>
  </si>
  <si>
    <t>N-3:15 AM</t>
  </si>
  <si>
    <t>SPB_SpringLoans_YahooOpeners_27-04-2026</t>
  </si>
  <si>
    <t>{{customer.firstname | default:"Hey" }} , Your application has new updates waiting for your review</t>
  </si>
  <si>
    <t>SPB_Citrus-Loans_YahooClickers_27-04-2026</t>
  </si>
  <si>
    <t>{{customer.firstname | default:"Hey" }} ,  We need a quick verification to proceed safely</t>
  </si>
  <si>
    <t>SPB_BlueSky-Financial_YahooOpeners_27-04-2026</t>
  </si>
  <si>
    <t>{{customer.firstname | default:"Hey" }} ,  You’re all set to continue whenever you’re ready</t>
  </si>
  <si>
    <t>SPB_loantoday123_YahooClickers_27-04-026</t>
  </si>
  <si>
    <t>{{customer.firstname | default :'User'}}  , Please confirm to continue your application proces</t>
  </si>
  <si>
    <t>SPB_PrismLoans_Yahoo_Open_27-04-2026</t>
  </si>
  <si>
    <t>{{customer.firstname | default :'User'}}  , Your personalized options are ready to unlock</t>
  </si>
  <si>
    <t>SPB_SpringLoans_GmailOpeners_27-04-2026</t>
  </si>
  <si>
    <t>SPB_Smartpaybuddy_GmailSeed_27-04-2026</t>
  </si>
  <si>
    <t>SL_SunriseValleyLoans_YahooOpeners_27-04-2026</t>
  </si>
  <si>
    <t>{{customer.firstname | default: "User"}} , Secure your application by completing identity verification</t>
  </si>
  <si>
    <t>SL_ThankfulLoans_YahooClickers_27-04-2026</t>
  </si>
  <si>
    <t>{{customer.firstname | default: "User"}} , Your progress is saved. Resume anytime in minutes</t>
  </si>
  <si>
    <t>SL_BrooklineFinancial_YahooOpeners_27-04-2026</t>
  </si>
  <si>
    <t>{{customer.firstname | default: "User"}} , Your session expired, but your progress is safely saved</t>
  </si>
  <si>
    <t>SL_LeapLoans _YahooClickers_27-04-2026</t>
  </si>
  <si>
    <t>{{customer.firstname | default: "User"}} , Final confirmation needed to continue your application</t>
  </si>
  <si>
    <t>SL_Integrity--Loans_Yahoo_Open_27-04-2026</t>
  </si>
  <si>
    <t>{{customer.firstname | default: "User"}} ,  We’ve improved your options for better relevance</t>
  </si>
  <si>
    <t>SL_SunriseValleyLoans_GmailOpeners_27-04-2026</t>
  </si>
  <si>
    <t>SL_SmartLanding_GmailSeed_27-04-2026</t>
  </si>
  <si>
    <t>SPB_horizonloans.net_GmailOpeners_27-04-2026</t>
  </si>
  <si>
    <t>TC_PrismLoans_Gmail_Open_27-04-2026</t>
  </si>
  <si>
    <t>SL_SummerLoans_Clickers_GmailOpener_27-04-2026</t>
  </si>
  <si>
    <t>Stop</t>
  </si>
  <si>
    <t>Follow-Up opener</t>
  </si>
  <si>
    <t>2 Minute</t>
  </si>
  <si>
    <t>Converted Users</t>
  </si>
  <si>
    <t>MCB_LeapLoans_ContactUpdated_28-04-2026</t>
  </si>
  <si>
    <t>MCB_Integrity--Loans_Opener_28-04-2026</t>
  </si>
  <si>
    <t>ZP Feed</t>
  </si>
  <si>
    <t xml:space="preserve">20942786	</t>
  </si>
  <si>
    <t xml:space="preserve">20942788	</t>
  </si>
  <si>
    <t>{{first_name}}, Quick Update Required to Keep Things Running.</t>
  </si>
  <si>
    <t>CC_RescueLoans.net_ContactUpdate_28-04-2026</t>
  </si>
  <si>
    <t>Don’t Miss This - Complete Your Update, {{first_name}}</t>
  </si>
  <si>
    <t>CC_PineValleyFinancial.com_Opener_28-04-2026</t>
  </si>
  <si>
    <t>New Creative, WF</t>
  </si>
  <si>
    <t>AW_City-Loans.com_ContactUpdate_28-04-2026</t>
  </si>
  <si>
    <t>Important: Please Review Your Information, {{first_name}}</t>
  </si>
  <si>
    <t>You’re Almost Done {{first_name}} - Complete Your Update</t>
  </si>
  <si>
    <t>AW_Harrison-Financial.com_Opener_28-04-2026</t>
  </si>
  <si>
    <t>NewMG_PR_CashYouNeed.com_Clickers_28-04-2026</t>
  </si>
  <si>
    <t>NewMG_PR_cashhelp123.com_Openers_28-04-2026</t>
  </si>
  <si>
    <t>Don’t Miss What You Started, {{first_name}}</t>
  </si>
  <si>
    <t>Something You Might Want to Finish, {{first_name}}</t>
  </si>
  <si>
    <t>Pr_NewMG_30DClicker_Yahoo</t>
  </si>
  <si>
    <t>Pr_NewMG_30DOpeners_Yahoo</t>
  </si>
  <si>
    <t>NewMG_PR_CashYouNeed.com_YahooClickers_28-04-2026</t>
  </si>
  <si>
    <t>NewMG_PR_cashhelp123.com_YahooOpeners_28-04-2026</t>
  </si>
  <si>
    <t>CR36_FirstAssistLend_Seed_28-04-2026</t>
  </si>
  <si>
    <t>CR36_FirstAssistLendII_Seed_28-04-2026</t>
  </si>
  <si>
    <t>20 limit</t>
  </si>
  <si>
    <t>FAL_Holiday-Funds_GmailClickers_28-04-2026</t>
  </si>
  <si>
    <t>{{customer.firstname | default:'Hey'}}, This is something you shouldn’t miss.</t>
  </si>
  <si>
    <t>sub line</t>
  </si>
  <si>
    <t>FAL_Sydney-Financial_GmailOpeners_28-04-2026</t>
  </si>
  <si>
    <t>FAL_Holiday-Funds_GmailCOnverted_28-04-2026</t>
  </si>
  <si>
    <t>{{customer.firstname | default:'Hey'}},This is something you shouldn’t miss.</t>
  </si>
  <si>
    <t>FAL_New-Day-Loans_Yahoo_Email_Clickers_28-04-2026</t>
  </si>
  <si>
    <t>{{customer.firstname | default:'Hey'}}, Verify your account details to continue</t>
  </si>
  <si>
    <t>new</t>
  </si>
  <si>
    <t>FAL_Sydney-Financial_YahooOpeners_28-04-2026</t>
  </si>
  <si>
    <t>CR43_CapitalPros_GmailSeed_28-04-2026</t>
  </si>
  <si>
    <t>CR43II_CapitalPros_GmailSeed_28-04-2026</t>
  </si>
  <si>
    <t>CP_QuickLoans.cash_GmailClicker_28-04-2026</t>
  </si>
  <si>
    <t>Opportunities like this can change quickly., {{customer.firstname | default: "User"}}</t>
  </si>
  <si>
    <t>CP_USAPremierLoans_GmailOpeners_28-04-2026</t>
  </si>
  <si>
    <t>Leaving this here for you to review again anytime, {{customer.firstname | default: "User"}}</t>
  </si>
  <si>
    <t>CP_BrightAdvances_Gmail_Converted_28-04-2026</t>
  </si>
  <si>
    <t>Just one final confirmation needed to proceed</t>
  </si>
  <si>
    <t>CP_QuickLoans.cash_YahooClicker_28-04-2026</t>
  </si>
  <si>
    <t>CP_USAPremierLoans_YahooOpeners_28-04-2026</t>
  </si>
  <si>
    <t>SPB_SpringLoans_YahooOpeners_28-04-2026</t>
  </si>
  <si>
    <t>SPB_Citrus-Loans_YahooClickers_28-04-2026</t>
  </si>
  <si>
    <t>SPB_Sydney-Financial_yahooOpeners_28-04-2026</t>
  </si>
  <si>
    <t>{{customer.firstname | default:"Hey" }} ,  One small step left to move things forward</t>
  </si>
  <si>
    <t>SPB_loantoday123_YahooClickers_28-04-026</t>
  </si>
  <si>
    <t>SPB_SunriseValleyLoans_YahooOpener_28-04-2026</t>
  </si>
  <si>
    <t>SPB_Sydney-Financial_GmailRealOpeners_28-04-2026</t>
  </si>
  <si>
    <t>SPB_horizonloans.net_GmailOpeners_28-04-2026</t>
  </si>
  <si>
    <t>SPB_Smartpaybuddy_GmailSeed_28-04-2026</t>
  </si>
  <si>
    <t>TC_CashSpark_Yahoo_openers_28-04-2026</t>
  </si>
  <si>
    <t>{{ customer.firstname | default:'Hey'}}, Your previously viewed options may have been updated</t>
  </si>
  <si>
    <t>TC_ThankfulLoans_YahooClickers_28-04-2026</t>
  </si>
  <si>
    <t>TC_JumpStartLoan_AllYahooOpeners_28-04-2026</t>
  </si>
  <si>
    <t>TC_SummerLoans_Clickers_28-04-2026</t>
  </si>
  <si>
    <t>TC_Holiday-Money_AllYahooOpeners_28-04-2026</t>
  </si>
  <si>
    <t>TC_CashSpark_Gmail_RealOpeners_28-04-2026</t>
  </si>
  <si>
    <t>copy</t>
  </si>
  <si>
    <t xml:space="preserve">new </t>
  </si>
  <si>
    <t>TC_PrismLoans_Gmail_Open_28-04-2026</t>
  </si>
  <si>
    <t>TC_TapCashier_GmailSeed_28-04-2026</t>
  </si>
  <si>
    <t>SL_SunriseValleyLoans_YahooOpeners_28-04-2026</t>
  </si>
  <si>
    <t>SL_ThankfulLoans_YahooClickers_28-04-2026</t>
  </si>
  <si>
    <t>SL_QuickLoans.cash_YahooOpeners_28_04_2026</t>
  </si>
  <si>
    <t>{{customer.firstname | default: "User"}} ,  Your borrowing limit is changed</t>
  </si>
  <si>
    <t>SL_LeapLoans _YahooClickers_28-04-2026</t>
  </si>
  <si>
    <t>SL_Cash-ForYou_28-04-026</t>
  </si>
  <si>
    <t>SL_SunriseValleyLoans_GmailOpeners_28-04-2026</t>
  </si>
  <si>
    <t>SL_QuickLoans.cash_Gmail_RealOpeners_28_04_2026</t>
  </si>
  <si>
    <t>SL_SmartLanding_GmailSeed_28-04-2026</t>
  </si>
  <si>
    <t>CR05_All_Gmail_Seed_28-04-2026</t>
  </si>
  <si>
    <t>Advance Bucket</t>
  </si>
  <si>
    <t>Explore Financial Options - On Your Time.</t>
  </si>
  <si>
    <t>advancebucket</t>
  </si>
  <si>
    <t>Schedule</t>
  </si>
  <si>
    <t>Name</t>
  </si>
  <si>
    <t>From Name</t>
  </si>
  <si>
    <t>Sending Domain</t>
  </si>
  <si>
    <t>Per hour mail</t>
  </si>
  <si>
    <t>Platform</t>
  </si>
  <si>
    <t>s</t>
  </si>
  <si>
    <t>Sent</t>
  </si>
  <si>
    <t>Click</t>
  </si>
  <si>
    <t>bounced</t>
  </si>
  <si>
    <t>failed</t>
  </si>
  <si>
    <t>CR05_All_FundsMestroGmail_Clicker_28-04-2026</t>
  </si>
  <si>
    <t>AB_FastFinancial.net_GmailClickers_28-04-2026</t>
  </si>
  <si>
    <t>Quick follow-up on your last step, {{customer.firstname | default:"User"}}</t>
  </si>
  <si>
    <t>CR34_All_Gmail_Seed_28-04-2026</t>
  </si>
  <si>
    <t>Capital Lendify</t>
  </si>
  <si>
    <t>Your Monetary Assistance Is Ready, {{ customer.firstname | default: "User" }}</t>
  </si>
  <si>
    <t>CL_SimpleAdvances.net_Opener+Clickers_28-04-2026</t>
  </si>
  <si>
    <t>All_Gmail_Open</t>
  </si>
  <si>
    <t>CL_RescueLoans.net_Clickers_28-04-2026</t>
  </si>
  <si>
    <t>{{customer.firstname | default:"Hi"}}, Complete Your Details to Continue Smoothly.</t>
  </si>
  <si>
    <t>CR36_GmailSeed_28-04-2026</t>
  </si>
  <si>
    <t>FundMestro</t>
  </si>
  <si>
    <t>Fund Mestro</t>
  </si>
  <si>
    <t>CR44_Gmail_NextDollar_28-04-2026</t>
  </si>
  <si>
    <t>FM_MultiSegment_Madison-Financial.com_28-04-2026</t>
  </si>
  <si>
    <t>{{customer.firstname | default:"Hey"}}, A Small Step to Keep Everything Running.</t>
  </si>
  <si>
    <t>CR44_Gmail_Seed_28-04-2026</t>
  </si>
  <si>
    <t>NextDollarPro</t>
  </si>
  <si>
    <t xml:space="preserve">	
nextdollarpro </t>
  </si>
  <si>
    <t>CR44_Gmail_Nrxtdollarpro_conv_28-04-2026</t>
  </si>
  <si>
    <t>Action required to process your request, {{customer.firstname | default:"User"}}</t>
  </si>
  <si>
    <t>Gmail_Converted</t>
  </si>
  <si>
    <t>NDP_MultiSegment_LightningLoan.net_28-04-2026</t>
  </si>
  <si>
    <t>{{customer.firstname | default:"Hey"}}, You’ve Made Progress - Don’t Stop Now</t>
  </si>
  <si>
    <t>AB_horizonloans.net_Clickers_29-04-2026</t>
  </si>
  <si>
    <t>Complete Your Loan Request {{customer.firstname | default:"User"}} - Funds May Be Waiting</t>
  </si>
  <si>
    <t>Automation</t>
  </si>
  <si>
    <t>NewMG_Multi_Mainstreet-Loans.com_GmailClickers_29-04-2026</t>
  </si>
  <si>
    <t>NewMG_Multi_SunriseValleyLoans_GmailOpeners_29-04-2026</t>
  </si>
  <si>
    <t>NewMG_Multi_Mainstreet-Loans.com_YahooClickers_29-04-2026</t>
  </si>
  <si>
    <t>NewMG_Multi_SunriseValleyLoans_YahooOpeners_29-04-2026</t>
  </si>
  <si>
    <t>Add Trigger on Gmail Raw</t>
  </si>
  <si>
    <t>CR_New-Day-Loans_Raw_29-04-2026</t>
  </si>
  <si>
    <t>Funding Advisory</t>
  </si>
  <si>
    <t>Check Your Loan Eligibility in 60 Seconds, {{first_name}}</t>
  </si>
  <si>
    <t>2 Hour</t>
  </si>
  <si>
    <t>NewMG_PR_1Hr_Raw_Yahoo</t>
  </si>
  <si>
    <t>CR03_Madison-Financial.com_YahooRaw_29-04-2026</t>
  </si>
  <si>
    <t>CR07_PrismLoans_YahooRaw_29-04-2026</t>
  </si>
  <si>
    <t>CR_New-Day-Loans_YahooRaw_29-04-2026</t>
  </si>
  <si>
    <t>AB_Safefastfunds.com_GmailRaw_29-04-2026</t>
  </si>
  <si>
    <t>AB_Safefastfunds.com_YahooRaw_29-04-2026</t>
  </si>
  <si>
    <t>Quick Update: You May Have a Pending Loan Option - {{ customer.firstname | default: "User" }}</t>
  </si>
  <si>
    <t>AB_CashYouNeed.com_GmailConverted_29-04-2026</t>
  </si>
  <si>
    <t>Finish What You Started {{customer.firstname | default:"User" }} – Your Application Is Already in Progress</t>
  </si>
  <si>
    <t>AB_cashhelp123.com_GmailOpeners_29-04-2026</t>
  </si>
  <si>
    <t>{{customer.firstname | default:"User" }}, You Checked This - Here’s What Comes Next</t>
  </si>
  <si>
    <t>AB_CashYouNeed.com_YahooClickers_29-04-2026</t>
  </si>
  <si>
    <t>AB_cashhelp123.com_YahooOpeners_29-04-2026</t>
  </si>
  <si>
    <t>AB_All_GmailSeed_29-04-2026</t>
  </si>
  <si>
    <t>YahooSeed_Advancebucket.com</t>
  </si>
  <si>
    <t>AB_YahooSeed_29-04-2026</t>
  </si>
  <si>
    <t>5 Mins</t>
  </si>
  <si>
    <t>CL_SmartCash-Loans_RawGmail_29-04-2026</t>
  </si>
  <si>
    <t>CL_SmartCash-Loans_RawYahoo_29-04-2026</t>
  </si>
  <si>
    <t>10 Min</t>
  </si>
  <si>
    <t>A quick check for you - {{customer.firstname | default: "User" }}</t>
  </si>
  <si>
    <t>CL_RosewoodFinancial.com_GmailOpeners_29-04-2026</t>
  </si>
  <si>
    <t>{{customer.firstname | default: "User" }}, Still thinking it over?</t>
  </si>
  <si>
    <t>CL_OakmontFunds.com_GmailClickers_29-04-2026</t>
  </si>
  <si>
    <t>Last step left {{customer.firstname | default: "User" }} - you’re almost done</t>
  </si>
  <si>
    <t>CL_RosewoodFinancial.com_YahooOpeners_29-04-2026</t>
  </si>
  <si>
    <t>CL_OakmontFunds.com_YahooClickers_29-04-2026</t>
  </si>
  <si>
    <t>CL_All_Gmail_Seed_28-04-2026</t>
  </si>
  <si>
    <t>YahooSeed_CapitalLendify.com</t>
  </si>
  <si>
    <t>CL_All_Yahoo_Seed_29-04-2026</t>
  </si>
  <si>
    <t>FM_Today-Loans_GmailRaw_29-04-2026</t>
  </si>
  <si>
    <t>Quick heads-up regarding your profile, {{customer.firstname | default: "User" }}</t>
  </si>
  <si>
    <t>15 Min</t>
  </si>
  <si>
    <t>FM_Today-Loans_YahooRaw_29-04-2026</t>
  </si>
  <si>
    <t>FM_SpringLoans_GmailOpeners_29-04-2026</t>
  </si>
  <si>
    <t>You already had a look {{customer.firstname | default: "User" }} - here’s a quick follow-up</t>
  </si>
  <si>
    <t>FM_Citrus-Loans_GmailClickers_29-04-2026</t>
  </si>
  <si>
    <t>You’re closer than you think - {{customer.firstname | default: "User" }}</t>
  </si>
  <si>
    <t>FM_SpringLoans_YahooOpeners_29-04-2026</t>
  </si>
  <si>
    <t>FM_Citrus-Loans_YahooClickers_29-04-2026</t>
  </si>
  <si>
    <t>FM_GmailSeed_29-04-2026</t>
  </si>
  <si>
    <t>YahooSeed_Fundmestro.com</t>
  </si>
  <si>
    <t>FM_YahooSeed_29-04-2026</t>
  </si>
  <si>
    <t>YahooSeed_Nextdollarpro.com</t>
  </si>
  <si>
    <t>NDP_BlueSky-Financial_GmailRaw_29-04-2026</t>
  </si>
  <si>
    <t>NDP_BlueSky-Financial_YahooRaw_29-04-2026</t>
  </si>
  <si>
    <t>20 Min</t>
  </si>
  <si>
    <t>A quick note {{customer.firstname | default:"User"}} - nothing urgent</t>
  </si>
  <si>
    <t>NDP_LoanAssist-USA_GmailOpeners_29-04-2026</t>
  </si>
  <si>
    <t>Quick follow-up on what you viewed, {{customer.firstname | default:"User"}}</t>
  </si>
  <si>
    <t>NDP_CashSpark_GmailClickers_29-04-2026</t>
  </si>
  <si>
    <t>You’re 90% there {{customer.firstname | default:"User"}} - just one tap left</t>
  </si>
  <si>
    <t>NDP_LoanAssist-USA_YahooOpeners_29-04-2026</t>
  </si>
  <si>
    <t>NDP_CashSpark_YahooClickers_29-04-2026</t>
  </si>
  <si>
    <t>NDP_Gmail_Seed_28-04-2026</t>
  </si>
  <si>
    <t>NDP_Yahoo_Seed_28-04-2026</t>
  </si>
  <si>
    <t>SPB_Integrity-Loan_YahooOpeners_29-04-026</t>
  </si>
  <si>
    <t>sub line change</t>
  </si>
  <si>
    <t>SPB_Harrison-Financial_YahooClickers_29-04-2026</t>
  </si>
  <si>
    <t>{{customer.firstname | default :'User'}} , This reminder is for your pending verification</t>
  </si>
  <si>
    <t>SPB_RosewoodFinancial_YahooOpeners_29-04-2026</t>
  </si>
  <si>
    <t>{{customer.firstname | default :'User'}} , Don’t lose your progress  but you can opt out anytime.</t>
  </si>
  <si>
    <t>SPB_loantoday123_YahooClickers_29-04-026</t>
  </si>
  <si>
    <t>SPB_SunriseValleyLoans_YahooOpener_29-04-2026</t>
  </si>
  <si>
    <t>same</t>
  </si>
  <si>
    <t>SPB_RosewoodFinancial_Gmail_RealOpeners_29-04-2026</t>
  </si>
  <si>
    <t>SPB_Harrison-Financial_Gmail_RealClickers_29-04-2026</t>
  </si>
  <si>
    <t>SPB_Smartpaybuddy_GmailSeed_29-04-2026</t>
  </si>
  <si>
    <t>SPB_Smartpaybuddy_YahooSeed_SmartPayBuddy_29-04-2026</t>
  </si>
  <si>
    <t>YahooSeed_SmartPayBuddy.com</t>
  </si>
  <si>
    <t>TC_RexburgLoans_YahooOpeners_29-04-2026</t>
  </si>
  <si>
    <t>{{customer.firstname | default:'User'}} , Action Required: Move to the next stage</t>
  </si>
  <si>
    <t>TC_SpringLoans_YahooClickers_29-04-026</t>
  </si>
  <si>
    <t>TC_JumpStartLoan_YahooOpener_29-04-2026</t>
  </si>
  <si>
    <t>{{customer.firstname | default:'User'}} , Final touch needed for your application</t>
  </si>
  <si>
    <t>TC_QuickLoans.cash_YahooClickers_29-04-2026</t>
  </si>
  <si>
    <t>Final Step: Please confirm your details</t>
  </si>
  <si>
    <t>TC_Cash-ForYou_YahooOpener_29-04-2026</t>
  </si>
  <si>
    <t>TC_JumpStartLoan_Gmail_RealOpeners_29-04-2026</t>
  </si>
  <si>
    <t>TC_QuickLoans.cash_Gmail_RealClickers_29-04-2026</t>
  </si>
  <si>
    <t>TC_TapCashier_GmailSeed_29-04-2026</t>
  </si>
  <si>
    <t>TC_TapCashier_yahooseed_29-04-2026</t>
  </si>
  <si>
    <t>SL_OakmontFunds.com_YahooOpeners_29-04-2026</t>
  </si>
  <si>
    <t>SL_New-Day-Loans_YahooClickers_29-04-2026</t>
  </si>
  <si>
    <t>{{ customer.firstname | default:'User'}},  Your personalized options are ready to view 🔓</t>
  </si>
  <si>
    <t>SL_LoanToday123_YahooClickers_29-04-2026</t>
  </si>
  <si>
    <t>Just a quick moment to finish where you left off ⏱️</t>
  </si>
  <si>
    <t>SL_QuickLoans.cash_YahooClickers_29-04-026</t>
  </si>
  <si>
    <t>SL_Newyearsloan.com_YahooOpener_29-04-2026</t>
  </si>
  <si>
    <t>SL_LoanToday123_Gmail_RealOpeners_29-04-2026</t>
  </si>
  <si>
    <t>Mailwizz_All_YahooOpeners copy</t>
  </si>
  <si>
    <t>SmarLendings_YahooClickers copy</t>
  </si>
  <si>
    <t>SL_SmartLanding_GmailSeed_29-04-2026</t>
  </si>
  <si>
    <t>SL_SmartLanding_yahooSeed_29-04-2026</t>
  </si>
  <si>
    <t>CR43_CapitalPros_GmailSeed_29-04-2026</t>
  </si>
  <si>
    <t>CR43II_CapitalPros_GmailSeed_29-04-2026</t>
  </si>
  <si>
    <t>CR_Citrus--Loans_GmailClicker_29-04-2026</t>
  </si>
  <si>
    <t>CR_RexburgLoans_GmailOpener_29-04-2026</t>
  </si>
  <si>
    <t>{{customer.firstname | default: 'Hey'}}, Your request hasn’t expired yet 🔓</t>
  </si>
  <si>
    <t>subline chnge</t>
  </si>
  <si>
    <t>CR_BrightAdvances_Gmail_Converted_29-04-2026</t>
  </si>
  <si>
    <t>{{customer.firstname | default: 'Hey'}}, These updates are based on your in-progress application</t>
  </si>
  <si>
    <t>CR_BrightAdvances_Yahoo_Clickers_29-04-2026</t>
  </si>
  <si>
    <t>CR_RexburgLoans_YahooOpener_29-04-2026</t>
  </si>
  <si>
    <t>CR43_CapitalPros_YahooSeed_Capital_Pros_29-04-2026</t>
  </si>
  <si>
    <t>YahooSeed Capital Pros</t>
  </si>
  <si>
    <t>CR36_FirstAssistLend_Seed_29-04-2026</t>
  </si>
  <si>
    <t>CR36_FirstAssistLendII_Seed_29-04-2026</t>
  </si>
  <si>
    <t>CR36_LightningLoan_Gmail_Clicker_29-04-2026</t>
  </si>
  <si>
    <t>{{customer.firstname | default: 'Hey'}},  Complete your details now and move one step closer</t>
  </si>
  <si>
    <t>CR_ClearSpringFinancial_GmailOpener_29-04-2026</t>
  </si>
  <si>
    <t xml:space="preserve">subline change </t>
  </si>
  <si>
    <t>FAL_Holiday-Funds_GmailClickers_29-04-2026</t>
  </si>
  <si>
    <t>subline change</t>
  </si>
  <si>
    <t>CR36_LightningLoan_Yahoo_Clicker_29-04-2026</t>
  </si>
  <si>
    <t>CR_ClearSpringFinancial_YahooOpener_29-04-2026</t>
  </si>
  <si>
    <t>CR36_FirstAssistLend_Yahoo_Seed_29-04-2026</t>
  </si>
  <si>
    <t>YahooSeed_Firstassistlends.com</t>
  </si>
  <si>
    <t>Seed Yahoo</t>
  </si>
  <si>
    <t>SL_QuickLoans.cash_GmailClickers_29-04-026</t>
  </si>
  <si>
    <t>New Automation On New Data</t>
  </si>
  <si>
    <t>New Automation On Internal Website</t>
  </si>
  <si>
    <t>N- 12:30 AM</t>
  </si>
  <si>
    <t>YahooSeed_TapCashier.com</t>
  </si>
  <si>
    <t>YahooSeed_SmartLendings.com</t>
  </si>
  <si>
    <t>NewMG_PR_FastFinancial.net_Clickers_30-04-2026</t>
  </si>
  <si>
    <t>NewMG_PR_SimpleAdvances.net_Openers_30-04-2026</t>
  </si>
  <si>
    <t>AB_GmailSeed_30-04-2026</t>
  </si>
  <si>
    <t>AB_GmailSeedII_30-04-2026</t>
  </si>
  <si>
    <t>AB_YahooSeed_30-04-2026</t>
  </si>
  <si>
    <t>AB_YahooSeedII_30-04-2026</t>
  </si>
  <si>
    <t>CL_All_Gmail_Seed_30-04-2026</t>
  </si>
  <si>
    <t>CL_All_Gmail_SeedII_30-04-2026</t>
  </si>
  <si>
    <t>CL_All_Yahoo_Seed_30-04-2026</t>
  </si>
  <si>
    <t>CL_All_Yahoo_SeedII_30-04-2026</t>
  </si>
  <si>
    <t>FM_GmailSeed_30-04-2026</t>
  </si>
  <si>
    <t>FM_GmailSeedII_30-04-2026</t>
  </si>
  <si>
    <t>FM_YahooSeed_30-04-2026</t>
  </si>
  <si>
    <t>FM_YahooSeedII_30-04-2026</t>
  </si>
  <si>
    <t>NDP_Gmail_Seed_30-04-2026</t>
  </si>
  <si>
    <t>NDP_Gmail_SeedII_30-04-2026</t>
  </si>
  <si>
    <t>NDP_Yahoo_Seed_30-04-2026</t>
  </si>
  <si>
    <t>NDP_Yahoo_SeedII_30-04-2026</t>
  </si>
  <si>
    <t>AB_ClearSpringFinancial_GmailClickers_30-04-2026</t>
  </si>
  <si>
    <t>AB_ClearSpringFinancial_YahooClickers_30-04-2026</t>
  </si>
  <si>
    <t>AB_Citrus--Loans_GmailConverted_30-04-2026</t>
  </si>
  <si>
    <t>You’re already halfway there {{ customer.firstname | default: "User" }}… finish in seconds</t>
  </si>
  <si>
    <t>Your request is complete  {{ customer.firstname | default: "User" }} - here’s what’s next</t>
  </si>
  <si>
    <t>AB_RexburgLoans_GmailOpener_30-04-2026</t>
  </si>
  <si>
    <t>You checked this {{ customer.firstname | default: "User" }}… but didn’t finish</t>
  </si>
  <si>
    <t>Quick update regarding your request - {{customer.firstname | default: "User" }}</t>
  </si>
  <si>
    <t>CL_USAPremierLoans_GmailOpeners_30-04-2026</t>
  </si>
  <si>
    <t>CL_QuickLoans.cash_GmailClickers_30-04-2026</t>
  </si>
  <si>
    <t>Still available for you {{customer.firstname | default: "User" }} - take the final step</t>
  </si>
  <si>
    <t>CL_USAPremierLoans_YahooOpeners_30-04-2026</t>
  </si>
  <si>
    <t>CL_QuickLoans.cash_YahooClickers_30-04-2026</t>
  </si>
  <si>
    <t>FM_Sydney-Financial_GmailOpeners_30-04-2026</t>
  </si>
  <si>
    <t>A quick check you might want to complete, {{customer.firstname | default: "User" }}</t>
  </si>
  <si>
    <t>FM_Holiday-Funds_GmailOpeners_30-04-2026</t>
  </si>
  <si>
    <t>Your request is ready to be completed, {{customer.firstname | default: "User" }}</t>
  </si>
  <si>
    <t>FM_Sydney-Financial_YahooOpeners_30-04-2026</t>
  </si>
  <si>
    <t>FM_Holiday-Funds_YahooOpeners_30-04-2026</t>
  </si>
  <si>
    <t>NDP_Holiday-Money_Gmailopeners_30-04-2026</t>
  </si>
  <si>
    <t>Something pending for you, {{customer.firstname | default:"User"}}</t>
  </si>
  <si>
    <t>NDP_ThankfulLoans_GmailClickers_30-04-2026</t>
  </si>
  <si>
    <t>{{customer.firstname | default:"Hey"}}, You were almost done…</t>
  </si>
  <si>
    <t>NDP_Holiday-Money_Yahooopeners_30-04-2026</t>
  </si>
  <si>
    <t>NDP_ThankfulLoans_YahooClickers_30-04-2026</t>
  </si>
  <si>
    <t>FAL_Raw_Sydney-Financial_30-04-2026</t>
  </si>
  <si>
    <t>{{customer.firstname | default: "There"}}, Your options are ready take a look and move forward</t>
  </si>
  <si>
    <t>ZPU Source Gmail Users</t>
  </si>
  <si>
    <t>FAL_Raw_Sydney-Financial_Yahoo_30-04-2026</t>
  </si>
  <si>
    <t>ZPU Source Yahoo Users</t>
  </si>
  <si>
    <t>FAL_Nextdollarpro_Gmail_Clicker_30-04-2026</t>
  </si>
  <si>
    <t>{{customer.firstname | default: "There"}},  Finish what you started your progress is waiting.</t>
  </si>
  <si>
    <t>CR36_FirstAssistLend_GmailSeed_30-04-2026</t>
  </si>
  <si>
    <t>GmailSeed_firstassistlend.com</t>
  </si>
  <si>
    <t>CR36_FirstAssistLendII_GmailSeed_30-04-2026</t>
  </si>
  <si>
    <t>CR36_FirstAssistLendIII_GmailSeed_30-04-2026</t>
  </si>
  <si>
    <t>CR36_FirstAssistLendIV_GmailSeed_30-04-2026</t>
  </si>
  <si>
    <t>CR36_FirstAssistLend_Yahoo_Seed_30-04-2026</t>
  </si>
  <si>
    <t>CR36_FirstAssistLendII_Yahoo_Seed_30-04-2026</t>
  </si>
  <si>
    <t>FAL_CashSpark_Gmail_Clickers_30-04-2026</t>
  </si>
  <si>
    <t>FAL_ClearSpringFinancial_GmailOpener_30-04-2026</t>
  </si>
  <si>
    <t>FAL_SuperFastFunds_Gmail_Openers_30_04_2026</t>
  </si>
  <si>
    <t>{{customer.firstname | default: 'Hey'}}, Reply now to keep your request moving forward</t>
  </si>
  <si>
    <t>FAL_Holiday-Funds_GmailCOnverted_30-04-2026</t>
  </si>
  <si>
    <t>{{customer.firstname | default:'Hey'}}, Your Progress Is On Hold</t>
  </si>
  <si>
    <t>sub</t>
  </si>
  <si>
    <t>FAL_CashSpark_YahooClickers_30-04-2026</t>
  </si>
  <si>
    <t>FAL_ClearSpringFinancial_YahooOpener_30-04-2026</t>
  </si>
  <si>
    <t>FAL_SuperFastFunds_Yahoo_Open_30_04_2026</t>
  </si>
  <si>
    <t>CP_Raw_Citrus--Loans_ZPU_Gmail_30-04-2026</t>
  </si>
  <si>
    <t>Everything is ready let’s get you set up</t>
  </si>
  <si>
    <t>CP_Raw_Citrus--Loans_ZPU_Yahoo_30-04-2026</t>
  </si>
  <si>
    <t>CP_capitallendify_Gmail_Clickers_30-04-2026</t>
  </si>
  <si>
    <t>{{ customer.firstname | default:'User'}} ,  One quick step needed to continue your process</t>
  </si>
  <si>
    <t>CR43_CapitalPros_GmailSeed_30-04-2026</t>
  </si>
  <si>
    <t>CR43_CapitalProsII_GmailSeed_30-04-2026</t>
  </si>
  <si>
    <t>CR43_CapitalProsIII_GmailSeed_30-04-2026</t>
  </si>
  <si>
    <t>CR43_CapitalProsIV_GmailSeed_30-04-2026</t>
  </si>
  <si>
    <t>CR43_CapitalPros_YahooSeed_Capital_Pros_30-04-2026</t>
  </si>
  <si>
    <t>CR43_CapitalProsII_YahooSeed_Capital_Pros_30-04-2026</t>
  </si>
  <si>
    <t>CP_Today-Loans_Gmail_Clickers_30_04_2026</t>
  </si>
  <si>
    <t>{{ customer.firstname | default:'User'}} ,  Finish now to keep your progress on track.</t>
  </si>
  <si>
    <t>CP_BlueSky-Financial_GmailOpeners_30-04-2026</t>
  </si>
  <si>
    <t>{{ customer.firstname | default:'User'}}, Your Application Is Still In Progress</t>
  </si>
  <si>
    <t>CP_SpringLoans_Gmail_openers_30-04-2026</t>
  </si>
  <si>
    <t>Pick up where you left off and finish your submission</t>
  </si>
  <si>
    <t>CP_Safefastfunds_Recent_converted_30_04_2026</t>
  </si>
  <si>
    <t>Submit now to complete your request and receive confirmation</t>
  </si>
  <si>
    <t>CP_LoanAssist-USA_YahooClickers_30-04-026</t>
  </si>
  <si>
    <t>CP_Cash-ForYou_YahooOpener_30-04-2026</t>
  </si>
  <si>
    <t>CP_SpringLoans_Yahoo_Open_30-04-2026</t>
  </si>
  <si>
    <t>SPB_Smartpaybuddy_GmailSeed_30-04-2026</t>
  </si>
  <si>
    <t>SPB_SmartpaybuddyII_GmailSeed_30-04-2026</t>
  </si>
  <si>
    <t>SPB_Smartpaybuddy_YahooSeed_SmartPayBuddy_30-04-2026</t>
  </si>
  <si>
    <t>SPB_SmartpaybuddyII_YahooSeed_SmartPayBuddy_30-04-2026</t>
  </si>
  <si>
    <t>SPB_UnitedLoan_30-04-026</t>
  </si>
  <si>
    <t>SPB_SmartCash-Loans_30-04-026</t>
  </si>
  <si>
    <t>SPB_MainstreetLoans.com_30-04-026</t>
  </si>
  <si>
    <t>{{customer.firstname | default:'User'}}, Continue Smoothly from Where You Left Off</t>
  </si>
  <si>
    <t>SPB_Money-Anytime_30-04-026</t>
  </si>
  <si>
    <t>{{customer.firstname | default:'User'}}, You’re One Step Away from Completion</t>
  </si>
  <si>
    <t>SPB_SuperFastFunds_30-04-026</t>
  </si>
  <si>
    <t>SPB_MainstreetLoans.com_Gmail_Openers_30-04-026</t>
  </si>
  <si>
    <t>SPB_Money-Anytime_Gmail_Clickers_30-04-026</t>
  </si>
  <si>
    <t>TC_TapCashier_GmailSeed_30-04-2026</t>
  </si>
  <si>
    <t>TC_TapCashierII_GmailSeed_30-04-2026</t>
  </si>
  <si>
    <t>TC_TapCashier_yahooseed_30-04-2026</t>
  </si>
  <si>
    <t>TC_TapCashierII_yahooseed_30-04-2026</t>
  </si>
  <si>
    <t>TC_SummerLoans_YahooOpener_30-04-2026</t>
  </si>
  <si>
    <t>TC_BlueSky-Financial_YahooClickers_30-04-2026</t>
  </si>
  <si>
    <t>TC_Newyearsloan.com_YahooOpener_30_04_2026</t>
  </si>
  <si>
    <t>{{ customer.firstname | default:'User'}}, Resume Your Application Now</t>
  </si>
  <si>
    <t>TC_PrismLoans_YahooClickers_30-04-2026</t>
  </si>
  <si>
    <t>{{ customer.firstname | default:'User'}}, Your Progress Needs a Quick Check</t>
  </si>
  <si>
    <t>TC_horizonloans.net_30-04-2026</t>
  </si>
  <si>
    <t>TC_Newyearsloan.com_Gmail_RealOpeners_30_04_2026</t>
  </si>
  <si>
    <t>TC_PrismLoans_Gmail_RealClickers_30-04-2026</t>
  </si>
  <si>
    <t>SL_SmartLanding_GmailSeed_30-04-2026</t>
  </si>
  <si>
    <t>SL_SmartLandingII_GmailSeed_30-04-2026</t>
  </si>
  <si>
    <t>SL_SmartLanding_yahooSeed_30-04-2026</t>
  </si>
  <si>
    <t>SL_SmartLandingII_yahooSeed_30-04-2026</t>
  </si>
  <si>
    <t>SL_LoanFinder-USA.com_YahooOpners_30-04-026</t>
  </si>
  <si>
    <t>SL_Lincoln--Financial_YahooClickers_30-04-026</t>
  </si>
  <si>
    <t>SL_New-Day-Loans_YahooOpeners_30-04-026</t>
  </si>
  <si>
    <t>{{customer.firstname | default:'User'}}, A Quick Review Is Needed to Continue</t>
  </si>
  <si>
    <t>SL_SunriseValleyLoans_YahooClickers_30-04-026</t>
  </si>
  <si>
    <t>SL_Cash-ForYou_30-04-026</t>
  </si>
  <si>
    <t>SL_OakmontFunds.com_GmailOpener_30-04-2026</t>
  </si>
  <si>
    <t>SL_Lincoln--Financial_Gmail_RealClickers_30-04-026</t>
  </si>
  <si>
    <t>11;45 PM</t>
  </si>
  <si>
    <t>7;30 PM</t>
  </si>
  <si>
    <t>10;45 PM</t>
  </si>
  <si>
    <t>New Automation  On ZP Yahoo</t>
  </si>
  <si>
    <t>New Automation  On ZP Gmail</t>
  </si>
  <si>
    <t>ZPD Source Gmail Users</t>
  </si>
  <si>
    <t>ZPD Source Yahoo Users</t>
  </si>
  <si>
    <t>AB_GmailSeed_01-05-2026</t>
  </si>
  <si>
    <t>AB_GmailSeedII_01-05-2026</t>
  </si>
  <si>
    <t>AB_YahooSeed_01-05-2026</t>
  </si>
  <si>
    <t>AB_YahooSeedII_01-05-2026</t>
  </si>
  <si>
    <t>AB_YahooSeedIII_01-05-2026</t>
  </si>
  <si>
    <t>10 Mins</t>
  </si>
  <si>
    <t>AB_CashYouNeed.com_GmailConverted_01-05-2026</t>
  </si>
  <si>
    <t>AB_cashhelp123.com_GmailOpeners_01-05-2026</t>
  </si>
  <si>
    <t>AB_CashYouNeed.com_YahooClickers_01-05-2026</t>
  </si>
  <si>
    <t>AB_cashhelp123.com_YahooOpeners_01-05-2026</t>
  </si>
  <si>
    <t>AB_horizonloans.net_GmailClickers_01-05-2026</t>
  </si>
  <si>
    <t>AB_LoanAssist-USA_GmailRaw_01-05-2026</t>
  </si>
  <si>
    <t>You might have a higher approval than expected {{customer.firstname | default:"User"}} – Check Now</t>
  </si>
  <si>
    <t>AB_LoanAssist-USA_YahooRaw_01-05-2026</t>
  </si>
  <si>
    <t>CL_All_Gmail_Seed_01-05-2026</t>
  </si>
  <si>
    <t>CL_All_Gmail_SeedII_01-05-2026</t>
  </si>
  <si>
    <t>CL_All_Yahoo_Seed_01-05-2026</t>
  </si>
  <si>
    <t>CL_All_Yahoo_SeedII_01-05-2026</t>
  </si>
  <si>
    <t>CL_All_Yahoo_SeedIII_01-05-2026</t>
  </si>
  <si>
    <t>CL_RosewoodFinancial.com_GmailOpeners_01-05-2026</t>
  </si>
  <si>
    <t>CL_OakmontFunds.com_GmailClickers_01-05-2026</t>
  </si>
  <si>
    <t>CL_RosewoodFinancial.com_YahooOpeners_01-05-2026</t>
  </si>
  <si>
    <t>CL_OakmontFunds.com_YahooClickers_01-05-2026</t>
  </si>
  <si>
    <t>FM_GmailSeed_01-05-2026</t>
  </si>
  <si>
    <t>FM_GmailSeedII_01-05-2026</t>
  </si>
  <si>
    <t>FM_YahooSeed_01-05-2026</t>
  </si>
  <si>
    <t>FM_YahooSeedII_01-05-2026</t>
  </si>
  <si>
    <t>FM_YahooSeedIII_01-05-2026</t>
  </si>
  <si>
    <t>FM_SpringLoans_GmailOpeners_01-05-2026</t>
  </si>
  <si>
    <t>FM_Citrus-Loans_GmailClickers_01-05-2026</t>
  </si>
  <si>
    <t>FM_SpringLoans_YahooOpeners_01-05-2026</t>
  </si>
  <si>
    <t>FM_Citrus-Loans_YahooClickers_01-05-2026</t>
  </si>
  <si>
    <t>NDP_Gmail_Seed_01-05-2026</t>
  </si>
  <si>
    <t>NDP_Gmail_SeedII_01-05-2026</t>
  </si>
  <si>
    <t>NDP_Yahoo_Seed_01-05-2026</t>
  </si>
  <si>
    <t>NDP_Yahoo_SeedII_01-05-2026</t>
  </si>
  <si>
    <t>NDP_Yahoo_SeedIII_01-05-2026</t>
  </si>
  <si>
    <t>NDP_LoanAssist-USA_GmailOpeners_01-05-2026</t>
  </si>
  <si>
    <t>NDP_CashSpark_GmailClickers_01-05-2026</t>
  </si>
  <si>
    <t>NDP_LoanAssist-USA_YahooOpeners_01-05-2026</t>
  </si>
  <si>
    <t>NDP_CashSpark_YahooClickers_01-05-2026</t>
  </si>
  <si>
    <t>CL_Citrus--Loans_GmailRaw_01-05-2026</t>
  </si>
  <si>
    <t>Update on Your Recent Application, {{customer.firstname | default: "User" }}</t>
  </si>
  <si>
    <t>CL_Citrus--Loans_YahooRaw_01-05-2026</t>
  </si>
  <si>
    <t>FM_Integrity--Loans_GmailRaw_01-05-2026</t>
  </si>
  <si>
    <t>Did something interrupt you earlier - {{customer.firstname | default: "User" }}?</t>
  </si>
  <si>
    <t>FM_Integrity--Loans_YahooRaw_01-05-2026</t>
  </si>
  <si>
    <t>30 Min</t>
  </si>
  <si>
    <t>NDP_SunriseValleyLoans_GmailRaw_01-05-2026</t>
  </si>
  <si>
    <t>A quick match for your request - {{customer.firstname | default:"User"}}</t>
  </si>
  <si>
    <t>NDP_SunriseValleyLoans_YahooRaw_01-05-2026</t>
  </si>
  <si>
    <t>AB_GmailSeed_02-05-2026</t>
  </si>
  <si>
    <t>AB_GmailSeedII_02-05-2026</t>
  </si>
  <si>
    <t>AB_YahooSeed_02-05-2026</t>
  </si>
  <si>
    <t>AB_YahooSeedII_02-05-2026</t>
  </si>
  <si>
    <t>AB_YahooSeedIII_02-05-2026</t>
  </si>
  <si>
    <t>AB_YahooSeedIV_02-05-2026</t>
  </si>
  <si>
    <t>AB_ClearSpringFinancial_GmailClickers_02-05-2026</t>
  </si>
  <si>
    <t>AB_Citrus--Loans_GmailConverted_02-05-2026</t>
  </si>
  <si>
    <t>AB_RexburgLoans_GmailOpener_02-05-2026</t>
  </si>
  <si>
    <t>AB_ClearSpringFinancial_YahooClickers_02-05-2026</t>
  </si>
  <si>
    <t>AB_RexburgLoans_YahooOpener_02-05-2026</t>
  </si>
  <si>
    <t>CL_All_Gmail_Seed_02-05-2026</t>
  </si>
  <si>
    <t>CL_All_Gmail_SeedII_02-05-2026</t>
  </si>
  <si>
    <t>CL_All_Yahoo_Seed_02-05-2026</t>
  </si>
  <si>
    <t>CL_All_Yahoo_SeedII_02-05-2026</t>
  </si>
  <si>
    <t>CL_All_Yahoo_SeedIII_02-05-2026</t>
  </si>
  <si>
    <t>CL_All_Yahoo_SeedIV_02-05-2026</t>
  </si>
  <si>
    <t>CL_USAPremierLoans_GmailOpeners_02-05-2026</t>
  </si>
  <si>
    <t>CL_QuickLoans.cash_GmailClickers_02-05-2026</t>
  </si>
  <si>
    <t>CL_USAPremierLoans_YahooOpeners_02-05-2026</t>
  </si>
  <si>
    <t>CL_QuickLoans.cash_YahooClickers_02-05-2026</t>
  </si>
  <si>
    <t>FM_GmailSeed_02-05-2026</t>
  </si>
  <si>
    <t>FM_GmailSeedII_02-05-2026</t>
  </si>
  <si>
    <t>FM_YahooSeed_02-05-2026</t>
  </si>
  <si>
    <t>FM_YahooSeedII_02-05-2026</t>
  </si>
  <si>
    <t>FM_YahooSeedIII_02-05-2026</t>
  </si>
  <si>
    <t>FM_YahooSeedIV_02-05-2026</t>
  </si>
  <si>
    <t>FM_Sydney-Financial_GmailOpeners_02-05-2026</t>
  </si>
  <si>
    <t>FM_Holiday-Funds_GmailOpeners_02-05-2026</t>
  </si>
  <si>
    <t>FM_Sydney-Financial_YahooOpeners_02-05-2026</t>
  </si>
  <si>
    <t>FM_Holiday-Funds_YahooOpeners_02-05-2026</t>
  </si>
  <si>
    <t>NDP_Gmail_Seed_02-05-2026</t>
  </si>
  <si>
    <t>NDP_Gmail_SeedII_02-05-2026</t>
  </si>
  <si>
    <t>NDP_Yahoo_Seed_02-05-2026</t>
  </si>
  <si>
    <t>NDP_Yahoo_SeedII_02-05-2026</t>
  </si>
  <si>
    <t>NDP_Yahoo_SeedIII_02-05-2026</t>
  </si>
  <si>
    <t>NDP_Yahoo_SeedIV_02-05-2026</t>
  </si>
  <si>
    <t>NDP_Holiday-Money_Gmailopeners_02-05-2026</t>
  </si>
  <si>
    <t>NDP_ThankfulLoans_GmailClickers_02-05-2026</t>
  </si>
  <si>
    <t>NDP_Holiday-Money_Yahooopeners_02-05-2026</t>
  </si>
  <si>
    <t>NDP_ThankfulLoans_YahooClickers_02-05-2026</t>
  </si>
  <si>
    <t>AB_GmailSeed_03-05-2026</t>
  </si>
  <si>
    <t>AB_GmailSeedII_03-05-2026</t>
  </si>
  <si>
    <t>AB_YahooSeed_03-05-2026</t>
  </si>
  <si>
    <t>AB_YahooSeedII_03-05-2026</t>
  </si>
  <si>
    <t>AB_YahooSeedIII_03-05-2026</t>
  </si>
  <si>
    <t>AB_YahooSeedIV_03-05-2026</t>
  </si>
  <si>
    <t>AB_YahooSeedV_03-05-2026</t>
  </si>
  <si>
    <t>AB_horizonloans.net_GmailClickers_03-05-2026</t>
  </si>
  <si>
    <t>AB_CashYouNeed.com_GmailConverted_03-05-2026</t>
  </si>
  <si>
    <t>AB_cashhelp123.com_GmailOpeners_03-05-2026</t>
  </si>
  <si>
    <t>AB_CashYouNeed.com_YahooClickers_03-05-2026</t>
  </si>
  <si>
    <t>AB_cashhelp123.com_YahooOpeners_03-05-2026</t>
  </si>
  <si>
    <t>CL_All_Gmail_Seed_03-05-2026</t>
  </si>
  <si>
    <t>CL_All_Gmail_SeedII_03-05-2026</t>
  </si>
  <si>
    <t>CL_All_Yahoo_Seed_03-05-2026</t>
  </si>
  <si>
    <t>CL_All_Yahoo_SeedII_03-05-2026</t>
  </si>
  <si>
    <t>CL_All_Yahoo_SeedIII_03-05-2026</t>
  </si>
  <si>
    <t>CL_All_Yahoo_SeedIV_03-05-2026</t>
  </si>
  <si>
    <t>CL_All_Yahoo_SeedV_03-05-2026</t>
  </si>
  <si>
    <t>CL_RosewoodFinancial.com_GmailOpeners_03-05-2026</t>
  </si>
  <si>
    <t>CL_OakmontFunds.com_GmailClickers_03-05-2026</t>
  </si>
  <si>
    <t>CL_RosewoodFinancial.com_YahooOpeners_03-05-2026</t>
  </si>
  <si>
    <t>CL_OakmontFunds.com_YahooClickers_03-05-2026</t>
  </si>
  <si>
    <t>FM_GmailSeed_03-05-2026</t>
  </si>
  <si>
    <t>FM_GmailSeedII_03-05-2026</t>
  </si>
  <si>
    <t>FM_YahooSeed_03-05-2026</t>
  </si>
  <si>
    <t>FM_YahooSeedII_03-05-2026</t>
  </si>
  <si>
    <t>FM_YahooSeedIII_03-05-2026</t>
  </si>
  <si>
    <t>FM_YahooSeedIV_03-05-2026</t>
  </si>
  <si>
    <t>FM_YahooSeedV_03-05-2026</t>
  </si>
  <si>
    <t>FM_SpringLoans_GmailOpeners_03-05-2026</t>
  </si>
  <si>
    <t>FM_Citrus-Loans_GmailClickers_03-05-2026</t>
  </si>
  <si>
    <t>FM_SpringLoans_YahooOpeners_03-05-2026</t>
  </si>
  <si>
    <t>FM_Citrus-Loans_YahooClickers_03-05-2026</t>
  </si>
  <si>
    <t>NDP_Gmail_Seed_03-05-2026</t>
  </si>
  <si>
    <t>NDP_Gmail_SeedII_03-05-2026</t>
  </si>
  <si>
    <t>NDP_Yahoo_Seed_03-05-2026</t>
  </si>
  <si>
    <t>NDP_Yahoo_SeedII_03-05-2026</t>
  </si>
  <si>
    <t>NDP_Yahoo_SeedIII_03-05-2026</t>
  </si>
  <si>
    <t>NDP_Yahoo_SeedIV_03-05-2026</t>
  </si>
  <si>
    <t>NDP_Yahoo_SeedV_03-05-2026</t>
  </si>
  <si>
    <t>NDP_LoanAssist-USA_GmailOpeners_03-05-2026</t>
  </si>
  <si>
    <t>NDP_CashSpark_GmailClickers_03-05-2026</t>
  </si>
  <si>
    <t>NDP_LoanAssist-USA_YahooOpeners_03-05-2026</t>
  </si>
  <si>
    <t>NDP_CashSpark_YahooClickers_03-05-2026</t>
  </si>
  <si>
    <t>GmailSeed_Advancebucket.com</t>
  </si>
  <si>
    <t>GmailSeed_capitallendify.com</t>
  </si>
  <si>
    <t>CR36_FirstAssistLend_GmailSeed_01-05-2026</t>
  </si>
  <si>
    <t>CR36_FirstAssistLendII_GmailSeed_01-05-2026</t>
  </si>
  <si>
    <t>CR36_FirstAssistLendIII_GmailSeed_01-05-2026</t>
  </si>
  <si>
    <t>CR36_FirstAssistLendIV_GmailSeed_01-05-2026</t>
  </si>
  <si>
    <t>CR36_FirstAssistLend_Yahoo_Seed_01-05-2026</t>
  </si>
  <si>
    <t>CR36_FirstAssistLendII_Yahoo_Seed_01-05-2026</t>
  </si>
  <si>
    <t>CR36_FirstAssistLendIII_Yahoo_Seed_01-05-2026</t>
  </si>
  <si>
    <t>FAL_CashSpark_GmailClickers_01-05-2026</t>
  </si>
  <si>
    <t>FAL_SmartCash-Loans_01-05-2026</t>
  </si>
  <si>
    <t>FAL_ClearSpringFinancial_GmailOpener_01-05-2026</t>
  </si>
  <si>
    <t>FAL_Rosewoodfinancial_01-05-2026</t>
  </si>
  <si>
    <t>FAL_Holiday-Funds_GmailCOnverted_01-05-2026</t>
  </si>
  <si>
    <t>FAL_CashSpark_YahooClickers_01-05-2026</t>
  </si>
  <si>
    <t>FAL_ClearSpringFinancial_YahooOpener_01-05-2026</t>
  </si>
  <si>
    <t>FAL_SunriseValleyLoans_YahooOpener_01-05-2026</t>
  </si>
  <si>
    <t>CR36_FirstAssistLend_GmailSeed_02-05-2026</t>
  </si>
  <si>
    <t>CR36_FirstAssistLendII_GmailSeed_02-05-2026</t>
  </si>
  <si>
    <t>CR36_FirstAssistLendIII_GmailSeed_02-05-2026</t>
  </si>
  <si>
    <t>CR36_FirstAssistLendIV_GmailSeed_02-05-2026</t>
  </si>
  <si>
    <t>CR36_FirstAssistLend_Yahoo_Seed_02-05-2026</t>
  </si>
  <si>
    <t>CR36_FirstAssistLendII_Yahoo_Seed_02-05-2026</t>
  </si>
  <si>
    <t>CR36_FirstAssistLendIII_Yahoo_Seed_02-05-2026</t>
  </si>
  <si>
    <t>CR36_FirstAssistLendIV_Yahoo_Seed_02-05-2026</t>
  </si>
  <si>
    <t>FAL_SmartCash-Loans_GmailClickers_03-05-026</t>
  </si>
  <si>
    <t>FAL_Holiday-Funds_GmailClickers_02-05-2026</t>
  </si>
  <si>
    <t>FAL_Rosewoodfinancial_GmailOpeners_02-05-2026</t>
  </si>
  <si>
    <t>CR_ClearSpringFinancial_GmailOpener_02-05-2026</t>
  </si>
  <si>
    <t>FAL_OakmontFunds.com_GmailConverted_02-05-2026</t>
  </si>
  <si>
    <t>CR_SmartCash-Loans_GmailClickers_02-05-2026</t>
  </si>
  <si>
    <t>FAL_Today-Loan_YahooClickers_02-05-2026</t>
  </si>
  <si>
    <t>FAL_SunriseValleyLoans_YahooOpener_02-05-2026</t>
  </si>
  <si>
    <t>FAL_Rosewoodfinancial_YahooOpeners_02-05-2026</t>
  </si>
  <si>
    <t>CR36_FirstAssistLend_GmailSeed_03-05-2026</t>
  </si>
  <si>
    <t>CR36_FirstAssistLendII_GmailSeed_03-05-2026</t>
  </si>
  <si>
    <t>CR36_FirstAssistLendIII_GmailSeed_03-05-2026</t>
  </si>
  <si>
    <t>CR36_FirstAssistLendIV_GmailSeed_03-05-2026</t>
  </si>
  <si>
    <t>CR36_FirstAssistLend_Yahoo_Seed_03-05-2026</t>
  </si>
  <si>
    <t>CR36_FirstAssistLendII_Yahoo_Seed_03-05-2026</t>
  </si>
  <si>
    <t>CR36_FirstAssistLendIII_Yahoo_Seed_03-05-2026</t>
  </si>
  <si>
    <t>CR36_FirstAssistLendIV_Yahoo_Seed_03-05-2026</t>
  </si>
  <si>
    <t>CR36_FirstAssistLendV_Yahoo_Seed_03-05-2026</t>
  </si>
  <si>
    <t>FAL_CashSpark_GmailClickers_03-05-2026</t>
  </si>
  <si>
    <t>FAL_SmartCash-Loans_03-05-2026</t>
  </si>
  <si>
    <t>FAL_ClearSpringFinancial_GmailOpener_03-05-2026</t>
  </si>
  <si>
    <t>FAL_Rosewoodfinancial_03-05-2026</t>
  </si>
  <si>
    <t>FAL_Holiday-Funds_GmailCOnverted_03-05-2026</t>
  </si>
  <si>
    <t>CR_SmartCash-Loans_GmailClickers_03-05-2026</t>
  </si>
  <si>
    <t>FAL_CashSpark_YahooClickers_03-05-2026</t>
  </si>
  <si>
    <t>FAL_ClearSpringFinancial_YahooOpener_03-05-2026</t>
  </si>
  <si>
    <t>FAL_SunriseValleyLoans_YahooOpener_03-05-2026</t>
  </si>
  <si>
    <t>CR43_CapitalPros_GmailSeed_01-05-2026</t>
  </si>
  <si>
    <t>CR43_CapitalProsII_GmailSeed_01-05-2026</t>
  </si>
  <si>
    <t>CR43_CapitalProsIII_GmailSeed_01-05-2026</t>
  </si>
  <si>
    <t>CR43_CapitalProsIV_GmailSeed_01-05-2026</t>
  </si>
  <si>
    <t>CR43_CapitalPros_YahooSeed_Capital_Pros_01-05-2026</t>
  </si>
  <si>
    <t>CR43_CapitalProsII_YahooSeed_Capital_Pros_01-05-2026</t>
  </si>
  <si>
    <t>CR43_CapitalProsIII_YahooSeed_Capital_Pros_01-05-2026</t>
  </si>
  <si>
    <t>CP_Citrus--Loans_GmailClicker_01-05-2026</t>
  </si>
  <si>
    <t>CP_SpringLoans_GmailClickers_01-05-2026</t>
  </si>
  <si>
    <t>CP_RexburgLoans_GmailOpener_01-05-2026</t>
  </si>
  <si>
    <t>CP_BlueSky-Financial_GmailOpeners_01-05-2026</t>
  </si>
  <si>
    <t>CP_USAPremierLoans_GmailConverted_01-05-2026</t>
  </si>
  <si>
    <t>CP_Citrus--Loans_YahooClicker_01-05-2026</t>
  </si>
  <si>
    <t>CP_RexburgLoans_YahooOpener_01-05-2026</t>
  </si>
  <si>
    <t>CP_Sydney-Financial_YahooOpeners_01-05-2026</t>
  </si>
  <si>
    <t>CR43_CapitalPros_GmailSeed_02-05-2026</t>
  </si>
  <si>
    <t>CR43_CapitalProsII_GmailSeed_02-05-2026</t>
  </si>
  <si>
    <t>CR43_CapitalProsIII_GmailSeed_02-05-2026</t>
  </si>
  <si>
    <t>CR43_CapitalProsIV_GmailSeed_02-05-2026</t>
  </si>
  <si>
    <t>CR43_CapitalPros_YahooSeed_Capital_Pros_02-05-2026</t>
  </si>
  <si>
    <t>CR43_CapitalProsII_YahooSeed_Capital_Pros_02-05-2026</t>
  </si>
  <si>
    <t>CR43_CapitalProsIII_YahooSeed_Capital_Pros_02-05-2026</t>
  </si>
  <si>
    <t>CR43_CapitalProsIV_YahooSeed_Capital_Pros_02-05-2026</t>
  </si>
  <si>
    <t>CP_Citrus--Loans_GmailClicker_02-05-2026</t>
  </si>
  <si>
    <t>CP_QuickLoans.cash_GmailClicker_02-05-2026</t>
  </si>
  <si>
    <t>CP_RexburgLoans_GmailOpener_02-05-2026</t>
  </si>
  <si>
    <t>CP_Sydney-Financial_Openers_02-05-2026</t>
  </si>
  <si>
    <t>CP_USAPremierLoans_GmailConverted_02-05-2026</t>
  </si>
  <si>
    <t>CP_PrismLoans_GmailConverted_02-05-2026</t>
  </si>
  <si>
    <t>CP_Citrus--Loans_YahooClicker_02-05-2026</t>
  </si>
  <si>
    <t>CP_RexburgLoans_YahooOpener_02-05-2026</t>
  </si>
  <si>
    <t>CR_PrismLoans_YahooOpener_02-05-2026</t>
  </si>
  <si>
    <t>CR43_CapitalPros_GmailSeed_03-05-2026</t>
  </si>
  <si>
    <t>CR43_CapitalProsII_GmailSeed_03-05-2026</t>
  </si>
  <si>
    <t>CR43_CapitalProsIII_GmailSeed_03-05-2026</t>
  </si>
  <si>
    <t>CR43_CapitalProsIV_GmailSeed_03-05-2026</t>
  </si>
  <si>
    <t>CR43_CapitalPros_YahooSeed_Capital_Pros_03-05-2026</t>
  </si>
  <si>
    <t>CR43_CapitalProsII_YahooSeed_Capital_Pros_03-05-2026</t>
  </si>
  <si>
    <t>CR43_CapitalProsIII_YahooSeed_Capital_Pros_03-05-2026</t>
  </si>
  <si>
    <t>CR43_CapitalProsIV_YahooSeed_Capital_Pros_03-05-2026</t>
  </si>
  <si>
    <t>CP_Citrus--Loans_GmailClicker_03-05-2026</t>
  </si>
  <si>
    <t>CP_SpringLoans_GmailClickers_03-05-2026</t>
  </si>
  <si>
    <t>CP_RexburgLoans_GmailOpener_03-05-2026</t>
  </si>
  <si>
    <t>CP_BlueSky-Financial_GmailOpeners_03-05-2026</t>
  </si>
  <si>
    <t>CP_USAPremierLoans_GmailConverted_03-05-2026</t>
  </si>
  <si>
    <t>CP_PrismLoans_GmailConverted_03-05-2026</t>
  </si>
  <si>
    <t>CP_Citrus--Loans_YahooClicker_03-05-2026</t>
  </si>
  <si>
    <t>CP_RexburgLoans_YahooOpener_03-05-2026</t>
  </si>
  <si>
    <t>CP_Sydney-Financial_YahooOpeners_03-05-2026</t>
  </si>
  <si>
    <t>SPB_Smartpaybuddy_GmailSeed_01-05-2026</t>
  </si>
  <si>
    <t>SPB_SmartpaybuddyII_GmailSeed_01-05-2026</t>
  </si>
  <si>
    <t>SPB_Smartpaybuddy_YahooSeed_SmartPayBuddy_01-05-2026</t>
  </si>
  <si>
    <t>SPB_SmartpaybuddyII_YahooSeed_SmartPayBuddy_01-05-2026</t>
  </si>
  <si>
    <t>SPB_SmartpaybuddyIII_YahooSeed_SmartPayBuddy_01-05-2026</t>
  </si>
  <si>
    <t>SPB_Integrity-Loan_01-05-2026</t>
  </si>
  <si>
    <t>SPB_Holiday-money_01-05-2026</t>
  </si>
  <si>
    <t>SPB_brooklinefinancial_01-05-2026</t>
  </si>
  <si>
    <t>SPB_loantoday123_01-05-2026</t>
  </si>
  <si>
    <t>SPB_Sydney-Financial_01-05-2026</t>
  </si>
  <si>
    <t>SPB_brooklinefinancial_GmailOpeners_01-05-2026</t>
  </si>
  <si>
    <t>SPB_Harrison-Financial_Gmail_RealClickers_01-05-2026</t>
  </si>
  <si>
    <t>SPB_Smartpaybuddy_GmailSeed_02-05-2026</t>
  </si>
  <si>
    <t>SPB_SmartpaybuddyII_GmailSeed_02-05-2026</t>
  </si>
  <si>
    <t>SPB_Smartpaybuddy_YahooSeed_SmartPayBuddy_02-05-2026</t>
  </si>
  <si>
    <t>SPB_SmartpaybuddyII_YahooSeed_SmartPayBuddy_02-05-2026</t>
  </si>
  <si>
    <t>SPB_SmartpaybuddyIII_YahooSeed_SmartPayBuddy_02-05-2026</t>
  </si>
  <si>
    <t>SPB_SmartpaybuddyIV_YahooSeed_SmartPayBuddy_02-05-2026</t>
  </si>
  <si>
    <t>SPB_Integrity-Loan_02-05-2026</t>
  </si>
  <si>
    <t>SPB_Holiday-money_02-05-2026</t>
  </si>
  <si>
    <t>SPB_brooklinefinancial_02-05-2026</t>
  </si>
  <si>
    <t>SPB_loantoday123_02-05-2026</t>
  </si>
  <si>
    <t>SPB_Sydney-Financial_02-05-2026</t>
  </si>
  <si>
    <t>SPB_brooklinefinancial_GmailOpeners_02-05-2026</t>
  </si>
  <si>
    <t>SPB_SmartCash-Loans_03-05-026</t>
  </si>
  <si>
    <t>SPB_Smartpaybuddy_GmailSeed_03-05-2026</t>
  </si>
  <si>
    <t>SPB_SmartpaybuddyII_GmailSeed_03-05-2026</t>
  </si>
  <si>
    <t>SPB_Smartpaybuddy_YahooSeed_SmartPayBuddy_03-05-2026</t>
  </si>
  <si>
    <t>SPB_SmartpaybuddyII_YahooSeed_SmartPayBuddy_03-05-2026</t>
  </si>
  <si>
    <t>SPB_SmartpaybuddyIII_YahooSeed_SmartPayBuddy_03-05-2026</t>
  </si>
  <si>
    <t>SPB_SmartpaybuddyIV_YahooSeed_SmartPayBuddy_03-05-2026</t>
  </si>
  <si>
    <t>SPB_SmartpaybuddyV_YahooSeed_SmartPayBuddy_03-05-2026</t>
  </si>
  <si>
    <t>SPB_Integrity-Loan_03-05-2026</t>
  </si>
  <si>
    <t>SPB_Holiday-money_03-05-2026</t>
  </si>
  <si>
    <t>SPB_brooklinefinancial_03-05-2026</t>
  </si>
  <si>
    <t>SPB_loantoday123_03-05-2026</t>
  </si>
  <si>
    <t>SPB_Sydney-Financial_03-05-2026</t>
  </si>
  <si>
    <t>SPB_brooklinefinancial_GmailOpeners_03-05-2026</t>
  </si>
  <si>
    <t>SPB_Harrison-Financial_Gmail_RealClickers_03-05-2026</t>
  </si>
  <si>
    <t>TC_TapCashier_GmailSeed_01-05-2026</t>
  </si>
  <si>
    <t>TC_TapCashierII_GmailSeed_01-05-2026</t>
  </si>
  <si>
    <t>TC_TapCashier_yahooseed_01-05-2026</t>
  </si>
  <si>
    <t>TC_TapCashierII_yahooseed_01-05-2026</t>
  </si>
  <si>
    <t>TC_TapCashierIII_yahooseed_01-05-2026</t>
  </si>
  <si>
    <t>TC_LeapLoans_YahooOpeners_01-05-2026</t>
  </si>
  <si>
    <t>TC_ThankfulLoans_YahooClickers_01-05-2026</t>
  </si>
  <si>
    <t>TC_JumpStartLoan_AllYahooOpeners_01-05-2026</t>
  </si>
  <si>
    <t>TC_Lincoln--Financial_AllYahooClickers_01-05-2026</t>
  </si>
  <si>
    <t>TC_Holiday-Money_AllYahooOpeners_01-05-2026</t>
  </si>
  <si>
    <t>TC_JumpStartLoan_GmailOpeners_01-05-2026</t>
  </si>
  <si>
    <t>TC_QuickLoans.cash_Gmail_RealClickers_01-05-2026</t>
  </si>
  <si>
    <t>TC_TapCashier_GmailSeed_02-05-2026</t>
  </si>
  <si>
    <t>TC_TapCashierII_GmailSeed_02-05-2026</t>
  </si>
  <si>
    <t>TC_TapCashier_yahooseed_02-05-2026</t>
  </si>
  <si>
    <t>TC_TapCashierII_yahooseed_02-05-2026</t>
  </si>
  <si>
    <t>TC_TapCashierIII_yahooseed_02-05-2026</t>
  </si>
  <si>
    <t>TC_TapCashierIV_yahooseed_02-05-2026</t>
  </si>
  <si>
    <t>TC_BlueSky-Financial_YahooOpeners_02-05-2026</t>
  </si>
  <si>
    <t>TC_SpringLoans_YahooClickers_02-05-2026</t>
  </si>
  <si>
    <t>TC_PrismLoans_YahooOpeners_02-05-2026</t>
  </si>
  <si>
    <t>TC_LoanAssist-USA_YahooClickers_02-05-2026</t>
  </si>
  <si>
    <t>TC_Cash-ForYou_YahooOpener_02-05-2026</t>
  </si>
  <si>
    <t>TC_PrismLoans_GmailOpeners_02-05-2026</t>
  </si>
  <si>
    <t>TC_ThankfulLoans_GmailClickers_03-05-2026</t>
  </si>
  <si>
    <t>TC_TapCashier_GmailSeed_03-05-2026</t>
  </si>
  <si>
    <t>TC_TapCashierII_GmailSeed_03-05-2026</t>
  </si>
  <si>
    <t>TC_TapCashier_yahooseed_03-05-2026</t>
  </si>
  <si>
    <t>TC_TapCashierII_yahooseed_03-05-2026</t>
  </si>
  <si>
    <t>TC_TapCashierIII_yahooseed_03-05-2026</t>
  </si>
  <si>
    <t>TC_TapCashierIV_yahooseed_03-05-2026</t>
  </si>
  <si>
    <t>TC_TapCashierV_yahooseed_03-05-2026</t>
  </si>
  <si>
    <t>TC_LeapLoans_YahooOpeners_03-05-2026</t>
  </si>
  <si>
    <t>TC_ThankfulLoans_YahooClickers_03-05-2026</t>
  </si>
  <si>
    <t>TC_JumpStartLoan_AllYahooOpeners_03-05-2026</t>
  </si>
  <si>
    <t>TC_Lincoln--Financial_AllYahooClickers_03-05-2026</t>
  </si>
  <si>
    <t>TC_Holiday-Money_AllYahooOpeners_03-05-2026</t>
  </si>
  <si>
    <t>TC_JumpStartLoan_GmailOpeners_03-05-2026</t>
  </si>
  <si>
    <t>TC_QuickLoans.cash_Gmail_RealClickers_03-05-2026</t>
  </si>
  <si>
    <t>SL_SmartLanding_GmailSeed_01-05-2026</t>
  </si>
  <si>
    <t>SL_SmartLandingII_GmailSeed_01-05-2026</t>
  </si>
  <si>
    <t>SL_SmartLanding_yahooSeed_01-05-2026</t>
  </si>
  <si>
    <t>SL_SmartLandingII_yahooSeed_01-05-2026</t>
  </si>
  <si>
    <t>SL_SmartLandingIII_yahooSeed_01-05-2026</t>
  </si>
  <si>
    <t>SL_clearspringfinancial_YahooClickers_01-05-2026</t>
  </si>
  <si>
    <t>SL_citrus-loans_YahooOpeners_01-05-2026</t>
  </si>
  <si>
    <t>SL_CashYouNeed.com _AllYahooOpeners_01-05-2026</t>
  </si>
  <si>
    <t>SL_cashhelp123.com_AllYahooClickers_01-05-2026</t>
  </si>
  <si>
    <t>SL_BrooklineFinancial_AllYahooOpners_01-05-2026</t>
  </si>
  <si>
    <t>SL_CashYouNeed.com _GmailOpeners_01-05-2026</t>
  </si>
  <si>
    <t>SL_QuickLoans.cash_GmailClickers_01-05-2026</t>
  </si>
  <si>
    <t>SL_SmartLanding_GmailSeed_02-05-2026</t>
  </si>
  <si>
    <t>SL_SmartLandingII_GmailSeed_02-05-2026</t>
  </si>
  <si>
    <t>SL_SmartLanding_yahooSeed_02-05-2026</t>
  </si>
  <si>
    <t>SL_SmartLandingII_yahooSeed_02-05-2026</t>
  </si>
  <si>
    <t>SL_SmartLandingIII_yahooSeed_02-05-2026</t>
  </si>
  <si>
    <t>SL_SmartLandingiV_yahooSeed_02-05-2026</t>
  </si>
  <si>
    <t>SL_CashSpark_YahooOpeners_02-05-2026</t>
  </si>
  <si>
    <t>SL_RexburgLoans_YahooClickers_02-05-2026</t>
  </si>
  <si>
    <t>SL_USAPremierLoans_YahooOpeners_02-05-2026</t>
  </si>
  <si>
    <t>SL_QuickLoans.cash_YahooClickers_02-05-2026</t>
  </si>
  <si>
    <t>SL_Newyearsloan.com_YahooOpener_02-05-2026</t>
  </si>
  <si>
    <t>SL_USAPremierLoans_GmailOpeners_02-05-2026</t>
  </si>
  <si>
    <t>SL_LeapLoans _GmailClickers_02-05-2026</t>
  </si>
  <si>
    <t>SL_SmartLandingIII_yahooSeed_30-04-2026</t>
  </si>
  <si>
    <t>SL_SmartLandingIV_yahooSeed_30-04-2026</t>
  </si>
  <si>
    <t>SL_SmartLandingV_yahooSeed_30-04-2026</t>
  </si>
  <si>
    <t>SL_clearspringfinancial_YahooClickers_03-05-2026</t>
  </si>
  <si>
    <t>SL_citrus-loans_YahooOpeners_03-05-2026</t>
  </si>
  <si>
    <t>SL_CashYouNeed.com _AllYahooOpeners_03-05-2026</t>
  </si>
  <si>
    <t>SL_cashhelp123.com_AllYahooClickers_03-05-2026</t>
  </si>
  <si>
    <t>SL_BrooklineFinancial_AllYahooOpners_03-05-2026</t>
  </si>
  <si>
    <t>SL_CashYouNeed.com _GmailOpeners_03-05-2026</t>
  </si>
  <si>
    <t>SL_QuickLoans.cash_GmailClickers_03-05-2026</t>
  </si>
  <si>
    <t>Comments</t>
  </si>
  <si>
    <t>Analyze Tomrrow</t>
  </si>
  <si>
    <t>Merge Two</t>
  </si>
  <si>
    <t xml:space="preserve">New Creaitve </t>
  </si>
  <si>
    <t>Copy</t>
  </si>
  <si>
    <t>Old Good Onel</t>
  </si>
  <si>
    <t xml:space="preserve">Copy </t>
  </si>
  <si>
    <t xml:space="preserve">OLD Creative </t>
  </si>
  <si>
    <t xml:space="preserve">Old Creative </t>
  </si>
  <si>
    <t>merged automation</t>
  </si>
  <si>
    <t>SPB_OakmontFunds_Gmail_04-05-2026</t>
  </si>
  <si>
    <t>{{customer.firstname | default:"Hey" }} , A small update worth taking a look at</t>
  </si>
  <si>
    <t>SPB_Safefastfunds_Yahoo_04-05-2026</t>
  </si>
  <si>
    <t>{{customer.firstname | default:'User'}}, Your Personalized Options Await</t>
  </si>
  <si>
    <t>TC_LightningLoan_Gmail_04-05-2026</t>
  </si>
  <si>
    <t>TC_SimpleAdvances_Yahoo_04-05-2026</t>
  </si>
  <si>
    <t>{{customer.firstname | default:'User'}}, One Small Step to Progress</t>
  </si>
  <si>
    <t>SL_horizonloans_Gmail_04-05-2026</t>
  </si>
  <si>
    <t>SL_FastFinancial_Gmail_04-05-2026</t>
  </si>
  <si>
    <t>CR36_FirstAssistLend_GmailSeed_04-05-2026</t>
  </si>
  <si>
    <t>CR36_FirstAssistLendII_GmailSeed_04-05-2026</t>
  </si>
  <si>
    <t>CR36_FirstAssistLendIII_GmailSeed_04-05-2026</t>
  </si>
  <si>
    <t>CR36_FirstAssistLendIV_GmailSeed_04-05-2026</t>
  </si>
  <si>
    <t>CR36_FirstAssistLend_Yahoo_Seed_04-05-2026</t>
  </si>
  <si>
    <t>CR36_FirstAssistLendII_Yahoo_Seed_04-05-2026</t>
  </si>
  <si>
    <t>CR36_FirstAssistLendIII_Yahoo_Seed_04-05-2026</t>
  </si>
  <si>
    <t>CR36_FirstAssistLendIV_Yahoo_Seed_04-05-2026</t>
  </si>
  <si>
    <t>CR36_FirstAssistLendV_Yahoo_Seed_04-05-2026</t>
  </si>
  <si>
    <t>CR43_CapitalPros_GmailSeed_04-05-2026</t>
  </si>
  <si>
    <t>CR43_CapitalProsII_GmailSeed_04-05-2026</t>
  </si>
  <si>
    <t>CR43_CapitalProsIII_GmailSeed_04-05-2026</t>
  </si>
  <si>
    <t>CR43_CapitalProsIV_GmailSeed_04-05-2026</t>
  </si>
  <si>
    <t>CR43_CapitalPros_YahooSeed_Capital_Pros_04-05-2026</t>
  </si>
  <si>
    <t>CR43_CapitalProsII_YahooSeed_Capital_Pros_04-05-2026</t>
  </si>
  <si>
    <t>CR43_CapitalProsIII_YahooSeed_Capital_Pros_04-05-2026</t>
  </si>
  <si>
    <t>CR43_CapitalProsIV_YahooSeed_Capital_Pros_04-05-2026</t>
  </si>
  <si>
    <t>SPB_SmartpaybuddyII_GmailSeed_04-05-2026</t>
  </si>
  <si>
    <t>SPB_Smartpaybuddy_GmailSeed_04-05-2026</t>
  </si>
  <si>
    <t>SPB_Smartpaybuddy_YahooSeed_SmartPayBuddy_04-05-2026</t>
  </si>
  <si>
    <t>SPB_SmartpaybuddyII_YahooSeed_SmartPayBuddy_04-05-2026</t>
  </si>
  <si>
    <t>SPB_SmartpaybuddyIII_YahooSeed_SmartPayBuddy_04-05-2026</t>
  </si>
  <si>
    <t>SPB_SmartpaybuddyIV_YahooSeed_SmartPayBuddy_04-05-2026</t>
  </si>
  <si>
    <t>SPB_SmartpaybuddyV_YahooSeed_SmartPayBuddy_04-05-2026</t>
  </si>
  <si>
    <t>TC_TapCashier_GmailSeed_04-05-2026</t>
  </si>
  <si>
    <t>TC_TapCashierII_GmailSeed_04-05-2026</t>
  </si>
  <si>
    <t>TC_TapCashier_yahooseed_04-05-2026</t>
  </si>
  <si>
    <t>TC_TapCashierII_yahooseed_04-05-2026</t>
  </si>
  <si>
    <t>TC_TapCashierIII_yahooseed_04-05-2026</t>
  </si>
  <si>
    <t>TC_TapCashierIV_yahooseed_04-05-2026</t>
  </si>
  <si>
    <t>TC_TapCashierV_yahooseed_04-05-2026</t>
  </si>
  <si>
    <t>SL_SmartLanding_GmailSeed_04-05-2026</t>
  </si>
  <si>
    <t>SL_SmartLandingII_GmailSeed_04-05-2026</t>
  </si>
  <si>
    <t>SL_SmartLanding_yahooSeed_04-05-2026</t>
  </si>
  <si>
    <t>SL_SmartLandingII_yahooSeed_04-05-2026</t>
  </si>
  <si>
    <t>SL_SmartLandingIII_yahooSeed_04-05-2026</t>
  </si>
  <si>
    <t>SL_SmartLandingIV_yahooSeed_04-05-2026</t>
  </si>
  <si>
    <t>SL_SmartLandingV_yahooSeed_04-05-2026</t>
  </si>
  <si>
    <t>{{customer.firstname | default:'User'}}, Complete Your Pending Review Now</t>
  </si>
  <si>
    <t>FAL_LeapLoans_YahooClickers_04-05-2026</t>
  </si>
  <si>
    <t>FAL_LeapLoans_GmailClickers_04-05-2026</t>
  </si>
  <si>
    <t>FAL_New-Day-Loans_GmailConverted_04-05-2026</t>
  </si>
  <si>
    <t>{{customer.firstname | default:'User'}}, Action Required – Complete Now</t>
  </si>
  <si>
    <t>FAL_LoanFinder-USA_GmailOpeners_04-05-2026</t>
  </si>
  <si>
    <t>{{customer.firstname | default:'User'}}, Your Next Step Is Ready</t>
  </si>
  <si>
    <t>FAL_LoanFinder-USA_YahooOpeners_04-05-2026</t>
  </si>
  <si>
    <t>FAL_New-Day-Loans_Yahoo_open_04-05-2026</t>
  </si>
  <si>
    <t>FAL_Holiday-Funds_GmailClickers_04-05-2026</t>
  </si>
  <si>
    <t>FAL_Sydney-Financial_GmailOpeners_04-05-2026</t>
  </si>
  <si>
    <t>CR_SmartCash-Loans_GmailClickers_04-05-2026</t>
  </si>
  <si>
    <t>{{customer.firstname | default:'User'}}, Submission on Hold – Update Now</t>
  </si>
  <si>
    <t>TC_JumpStartLoan_GmailClickers_04-05-2026</t>
  </si>
  <si>
    <t>10;30</t>
  </si>
  <si>
    <t>TC_Integrity--Loans_GmailClickers_04-05-2026</t>
  </si>
  <si>
    <t>{{customer.firstname | default:'User'}}, Verify Your Email in Seconds</t>
  </si>
  <si>
    <t>TC_ThankfulLoans_YahooOpen_04-05-2026</t>
  </si>
  <si>
    <t>TC_PrismLoans_EmailOpeners_04-05-2026</t>
  </si>
  <si>
    <t>SPB_BlueSky-Financial_EmailOpeners_04-05-2026</t>
  </si>
  <si>
    <t>TC_JumpStartLoan_YahooClickers_04-05-2026</t>
  </si>
  <si>
    <t>SL_RexburgLoans_GmailClickers_03-05-2026</t>
  </si>
  <si>
    <t>{{customer.firstname | default:'User'}}, Action Needed: Confirm Details Now</t>
  </si>
  <si>
    <t>SL_Integrity--Loans_Yahoo_Open_04-05-2026</t>
  </si>
  <si>
    <t>SL_SunriseValleyLoans_GmailOpeners_04-05-2026</t>
  </si>
  <si>
    <t>SL_ThankfulLoans_GmailClickers_04-05-2026</t>
  </si>
  <si>
    <t>SL_Cash-ForYou_04-05-026</t>
  </si>
  <si>
    <t>SL_SummerLoans_Clickers_GmailOpener_04-05-2026</t>
  </si>
  <si>
    <t>{{customer.firstname | default:'User'}}, Finish Your Incomplete Section</t>
  </si>
  <si>
    <t>SPB_SmartCash-Loans_04-05-2026</t>
  </si>
  <si>
    <t>SPB_loantoday123_04-05-2026</t>
  </si>
  <si>
    <t>SPB_brooklinefinancial_04-05-2026</t>
  </si>
  <si>
    <t>SPB_loantoday123_GmailClickers_04-05-2026</t>
  </si>
  <si>
    <t>SPB_SmartCash-Loans_Gmailopeners_04-05-2026</t>
  </si>
  <si>
    <t>SPB_brooklinefinancial_GmailOpeners_04-05-2026</t>
  </si>
  <si>
    <t>copy yahoo clicker new</t>
  </si>
  <si>
    <t>CP_Sydney-Financial_YahooOpeners_04-05-2026</t>
  </si>
  <si>
    <t>CP_QuickLoans.cash__Gmail_Clickers_04-05-2026</t>
  </si>
  <si>
    <t>CP_Sydney-Financial_Gmail_Openers_04-05-2026</t>
  </si>
  <si>
    <t>CP_SummerLoans_Gmail_Converted_04-05-2026</t>
  </si>
  <si>
    <t>{{customer.firstname | default:'User'}}, Authenticate Now to Continue</t>
  </si>
  <si>
    <t>CP_City-Loans.com__Gmail_Clickers_04-05-2026</t>
  </si>
  <si>
    <t>CP_ClearSpringFinancial__Gmail_Opener_04-05-2026</t>
  </si>
  <si>
    <t>{{customer.firstname | default:'User'}}, Confirm Account for Full Access</t>
  </si>
  <si>
    <t>CP_SmartCash-Loans_Convertor_04-05-2026</t>
  </si>
  <si>
    <t>{{customer.firstname | default:'User'}}, One Final Step to Complete</t>
  </si>
  <si>
    <t>CP_City-Loans.com_Yahoo_Clickers_04-05-2026</t>
  </si>
  <si>
    <t>{{customer.firstname | default:'User'}}, Complete Your Missing Section</t>
  </si>
  <si>
    <t>CP_SpringLoans_Yahoo_open_04-05-2026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</si>
</sst>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color rgb="FF071D49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Segoe U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Arial Unicode MS"/>
    </font>
    <font>
      <sz val="11"/>
      <color theme="1"/>
      <name val="Segoe UI"/>
      <family val="2"/>
    </font>
    <font>
      <sz val="10"/>
      <color rgb="FFFF000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5"/>
      <name val="Calibri"/>
      <family val="2"/>
      <scheme val="minor"/>
    </font>
    <font>
      <sz val="9"/>
      <color rgb="FF212121"/>
      <name val="Segoe UI"/>
      <family val="2"/>
    </font>
    <font>
      <sz val="10"/>
      <color rgb="FF212121"/>
      <name val="Segoe UI"/>
      <family val="2"/>
    </font>
    <font>
      <sz val="11"/>
      <color rgb="FFFF0000"/>
      <name val="Segoe UI"/>
      <family val="2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191">
    <xf numFmtId="0" fontId="0" fillId="0" borderId="0" xfId="0"/>
    <xf numFmtId="16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10" fontId="2" fillId="2" borderId="1" xfId="1" applyNumberFormat="1" applyFont="1" applyFill="1" applyBorder="1" applyAlignment="1">
      <alignment horizontal="left" vertical="center"/>
    </xf>
    <xf numFmtId="14" fontId="0" fillId="0" borderId="0" xfId="0" applyNumberFormat="1"/>
    <xf numFmtId="0" fontId="0" fillId="4" borderId="0" xfId="0" applyFill="1"/>
    <xf numFmtId="14" fontId="0" fillId="0" borderId="1" xfId="0" applyNumberFormat="1" applyBorder="1"/>
    <xf numFmtId="0" fontId="0" fillId="0" borderId="1" xfId="0" applyBorder="1"/>
    <xf numFmtId="16" fontId="2" fillId="5" borderId="2" xfId="0" applyNumberFormat="1" applyFont="1" applyFill="1" applyBorder="1" applyAlignment="1">
      <alignment horizontal="left" vertical="center"/>
    </xf>
    <xf numFmtId="16" fontId="2" fillId="5" borderId="3" xfId="0" applyNumberFormat="1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10" fontId="2" fillId="5" borderId="3" xfId="1" applyNumberFormat="1" applyFont="1" applyFill="1" applyBorder="1" applyAlignment="1">
      <alignment horizontal="left" vertical="center"/>
    </xf>
    <xf numFmtId="10" fontId="2" fillId="5" borderId="4" xfId="1" applyNumberFormat="1" applyFont="1" applyFill="1" applyBorder="1" applyAlignment="1">
      <alignment horizontal="left" vertical="center"/>
    </xf>
    <xf numFmtId="20" fontId="0" fillId="0" borderId="1" xfId="0" applyNumberFormat="1" applyBorder="1"/>
    <xf numFmtId="0" fontId="0" fillId="4" borderId="1" xfId="0" applyFill="1" applyBorder="1"/>
    <xf numFmtId="0" fontId="4" fillId="0" borderId="1" xfId="0" applyFont="1" applyBorder="1"/>
    <xf numFmtId="0" fontId="4" fillId="3" borderId="1" xfId="0" applyFont="1" applyFill="1" applyBorder="1" applyAlignment="1">
      <alignment vertical="top"/>
    </xf>
    <xf numFmtId="0" fontId="5" fillId="0" borderId="0" xfId="0" applyFont="1"/>
    <xf numFmtId="0" fontId="0" fillId="6" borderId="1" xfId="0" applyFill="1" applyBorder="1"/>
    <xf numFmtId="0" fontId="4" fillId="6" borderId="1" xfId="0" applyFont="1" applyFill="1" applyBorder="1"/>
    <xf numFmtId="10" fontId="0" fillId="7" borderId="1" xfId="1" applyNumberFormat="1" applyFont="1" applyFill="1" applyBorder="1"/>
    <xf numFmtId="0" fontId="0" fillId="6" borderId="0" xfId="0" applyFill="1"/>
    <xf numFmtId="16" fontId="2" fillId="8" borderId="2" xfId="0" applyNumberFormat="1" applyFont="1" applyFill="1" applyBorder="1" applyAlignment="1">
      <alignment horizontal="left" vertical="center"/>
    </xf>
    <xf numFmtId="16" fontId="2" fillId="8" borderId="3" xfId="0" applyNumberFormat="1" applyFont="1" applyFill="1" applyBorder="1" applyAlignment="1">
      <alignment horizontal="left" vertical="center"/>
    </xf>
    <xf numFmtId="0" fontId="2" fillId="8" borderId="3" xfId="0" applyFont="1" applyFill="1" applyBorder="1" applyAlignment="1">
      <alignment horizontal="left" vertical="center"/>
    </xf>
    <xf numFmtId="10" fontId="2" fillId="8" borderId="3" xfId="1" applyNumberFormat="1" applyFont="1" applyFill="1" applyBorder="1" applyAlignment="1">
      <alignment horizontal="left" vertical="center"/>
    </xf>
    <xf numFmtId="10" fontId="2" fillId="8" borderId="4" xfId="1" applyNumberFormat="1" applyFont="1" applyFill="1" applyBorder="1" applyAlignment="1">
      <alignment horizontal="left" vertical="center"/>
    </xf>
    <xf numFmtId="10" fontId="0" fillId="0" borderId="0" xfId="1" applyNumberFormat="1" applyFont="1"/>
    <xf numFmtId="10" fontId="7" fillId="0" borderId="0" xfId="1" applyNumberFormat="1" applyFont="1"/>
    <xf numFmtId="0" fontId="6" fillId="4" borderId="1" xfId="0" applyFont="1" applyFill="1" applyBorder="1"/>
    <xf numFmtId="0" fontId="8" fillId="4" borderId="1" xfId="0" applyFont="1" applyFill="1" applyBorder="1"/>
    <xf numFmtId="0" fontId="9" fillId="0" borderId="1" xfId="0" applyFont="1" applyBorder="1"/>
    <xf numFmtId="10" fontId="0" fillId="0" borderId="1" xfId="1" applyNumberFormat="1" applyFont="1" applyBorder="1"/>
    <xf numFmtId="20" fontId="0" fillId="6" borderId="1" xfId="0" applyNumberFormat="1" applyFill="1" applyBorder="1"/>
    <xf numFmtId="14" fontId="0" fillId="0" borderId="5" xfId="0" applyNumberFormat="1" applyBorder="1"/>
    <xf numFmtId="0" fontId="0" fillId="0" borderId="5" xfId="0" applyBorder="1"/>
    <xf numFmtId="0" fontId="0" fillId="4" borderId="5" xfId="0" applyFill="1" applyBorder="1"/>
    <xf numFmtId="10" fontId="0" fillId="0" borderId="5" xfId="1" applyNumberFormat="1" applyFont="1" applyBorder="1"/>
    <xf numFmtId="14" fontId="0" fillId="0" borderId="6" xfId="0" applyNumberFormat="1" applyBorder="1"/>
    <xf numFmtId="0" fontId="0" fillId="0" borderId="6" xfId="0" applyBorder="1"/>
    <xf numFmtId="0" fontId="0" fillId="6" borderId="6" xfId="0" applyFill="1" applyBorder="1"/>
    <xf numFmtId="0" fontId="0" fillId="4" borderId="6" xfId="0" applyFill="1" applyBorder="1"/>
    <xf numFmtId="10" fontId="0" fillId="0" borderId="6" xfId="1" applyNumberFormat="1" applyFont="1" applyBorder="1"/>
    <xf numFmtId="14" fontId="0" fillId="9" borderId="2" xfId="0" applyNumberFormat="1" applyFill="1" applyBorder="1"/>
    <xf numFmtId="0" fontId="0" fillId="9" borderId="3" xfId="0" applyFill="1" applyBorder="1"/>
    <xf numFmtId="10" fontId="0" fillId="9" borderId="3" xfId="1" applyNumberFormat="1" applyFont="1" applyFill="1" applyBorder="1"/>
    <xf numFmtId="0" fontId="0" fillId="9" borderId="4" xfId="0" applyFill="1" applyBorder="1"/>
    <xf numFmtId="0" fontId="9" fillId="4" borderId="1" xfId="0" applyFont="1" applyFill="1" applyBorder="1"/>
    <xf numFmtId="0" fontId="9" fillId="0" borderId="5" xfId="0" applyFont="1" applyBorder="1"/>
    <xf numFmtId="0" fontId="5" fillId="4" borderId="1" xfId="0" applyFont="1" applyFill="1" applyBorder="1"/>
    <xf numFmtId="0" fontId="0" fillId="0" borderId="1" xfId="0" applyBorder="1" applyAlignment="1">
      <alignment horizontal="center" vertical="center"/>
    </xf>
    <xf numFmtId="0" fontId="7" fillId="0" borderId="1" xfId="0" applyFont="1" applyBorder="1"/>
    <xf numFmtId="0" fontId="10" fillId="0" borderId="1" xfId="0" applyFont="1" applyBorder="1"/>
    <xf numFmtId="0" fontId="10" fillId="0" borderId="5" xfId="0" applyFont="1" applyBorder="1"/>
    <xf numFmtId="0" fontId="0" fillId="9" borderId="0" xfId="0" applyFill="1"/>
    <xf numFmtId="10" fontId="0" fillId="9" borderId="0" xfId="1" applyNumberFormat="1" applyFont="1" applyFill="1" applyBorder="1"/>
    <xf numFmtId="0" fontId="0" fillId="6" borderId="5" xfId="0" applyFill="1" applyBorder="1"/>
    <xf numFmtId="0" fontId="2" fillId="5" borderId="7" xfId="0" applyFont="1" applyFill="1" applyBorder="1" applyAlignment="1">
      <alignment horizontal="left" vertical="center"/>
    </xf>
    <xf numFmtId="0" fontId="11" fillId="0" borderId="1" xfId="0" applyFont="1" applyBorder="1"/>
    <xf numFmtId="0" fontId="0" fillId="10" borderId="8" xfId="0" applyFill="1" applyBorder="1"/>
    <xf numFmtId="0" fontId="8" fillId="4" borderId="1" xfId="0" applyFont="1" applyFill="1" applyBorder="1" applyAlignment="1">
      <alignment horizontal="center" vertical="center"/>
    </xf>
    <xf numFmtId="0" fontId="0" fillId="0" borderId="8" xfId="0" applyBorder="1"/>
    <xf numFmtId="18" fontId="0" fillId="0" borderId="1" xfId="0" applyNumberFormat="1" applyBorder="1"/>
    <xf numFmtId="0" fontId="8" fillId="4" borderId="5" xfId="0" applyFont="1" applyFill="1" applyBorder="1"/>
    <xf numFmtId="18" fontId="0" fillId="0" borderId="5" xfId="0" applyNumberFormat="1" applyBorder="1"/>
    <xf numFmtId="0" fontId="9" fillId="10" borderId="1" xfId="0" applyFont="1" applyFill="1" applyBorder="1"/>
    <xf numFmtId="0" fontId="5" fillId="10" borderId="1" xfId="0" applyFont="1" applyFill="1" applyBorder="1"/>
    <xf numFmtId="0" fontId="0" fillId="11" borderId="1" xfId="0" applyFill="1" applyBorder="1"/>
    <xf numFmtId="0" fontId="0" fillId="6" borderId="1" xfId="0" applyFill="1" applyBorder="1" applyAlignment="1">
      <alignment horizontal="center" vertical="center"/>
    </xf>
    <xf numFmtId="10" fontId="0" fillId="12" borderId="1" xfId="1" applyNumberFormat="1" applyFont="1" applyFill="1" applyBorder="1"/>
    <xf numFmtId="0" fontId="12" fillId="0" borderId="1" xfId="0" applyFont="1" applyBorder="1"/>
    <xf numFmtId="0" fontId="9" fillId="10" borderId="8" xfId="0" applyFont="1" applyFill="1" applyBorder="1"/>
    <xf numFmtId="0" fontId="9" fillId="0" borderId="0" xfId="0" applyFont="1"/>
    <xf numFmtId="0" fontId="9" fillId="0" borderId="8" xfId="0" applyFont="1" applyBorder="1"/>
    <xf numFmtId="0" fontId="9" fillId="11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0" borderId="1" xfId="0" applyBorder="1" applyAlignment="1">
      <alignment vertical="center"/>
    </xf>
    <xf numFmtId="0" fontId="0" fillId="11" borderId="1" xfId="0" applyFill="1" applyBorder="1" applyAlignment="1">
      <alignment horizontal="center" vertical="center"/>
    </xf>
    <xf numFmtId="0" fontId="13" fillId="14" borderId="1" xfId="0" applyFont="1" applyFill="1" applyBorder="1"/>
    <xf numFmtId="10" fontId="0" fillId="15" borderId="1" xfId="1" applyNumberFormat="1" applyFont="1" applyFill="1" applyBorder="1"/>
    <xf numFmtId="10" fontId="5" fillId="15" borderId="1" xfId="1" applyNumberFormat="1" applyFont="1" applyFill="1" applyBorder="1"/>
    <xf numFmtId="0" fontId="5" fillId="0" borderId="1" xfId="0" applyFont="1" applyBorder="1"/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/>
    <xf numFmtId="14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vertical="center"/>
    </xf>
    <xf numFmtId="10" fontId="0" fillId="0" borderId="3" xfId="1" applyNumberFormat="1" applyFont="1" applyBorder="1"/>
    <xf numFmtId="0" fontId="7" fillId="10" borderId="1" xfId="0" applyFont="1" applyFill="1" applyBorder="1"/>
    <xf numFmtId="18" fontId="0" fillId="0" borderId="3" xfId="0" applyNumberFormat="1" applyBorder="1"/>
    <xf numFmtId="0" fontId="9" fillId="0" borderId="3" xfId="0" applyFont="1" applyBorder="1"/>
    <xf numFmtId="0" fontId="10" fillId="0" borderId="3" xfId="0" applyFont="1" applyBorder="1"/>
    <xf numFmtId="10" fontId="0" fillId="12" borderId="5" xfId="1" applyNumberFormat="1" applyFont="1" applyFill="1" applyBorder="1"/>
    <xf numFmtId="0" fontId="0" fillId="16" borderId="1" xfId="0" applyFill="1" applyBorder="1"/>
    <xf numFmtId="0" fontId="5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9" fillId="4" borderId="3" xfId="0" applyFont="1" applyFill="1" applyBorder="1"/>
    <xf numFmtId="0" fontId="9" fillId="0" borderId="1" xfId="0" applyFont="1" applyBorder="1" applyAlignment="1">
      <alignment vertical="center"/>
    </xf>
    <xf numFmtId="0" fontId="0" fillId="10" borderId="1" xfId="0" applyFill="1" applyBorder="1"/>
    <xf numFmtId="0" fontId="15" fillId="0" borderId="0" xfId="0" applyFont="1"/>
    <xf numFmtId="10" fontId="0" fillId="12" borderId="3" xfId="1" applyNumberFormat="1" applyFont="1" applyFill="1" applyBorder="1"/>
    <xf numFmtId="0" fontId="0" fillId="0" borderId="4" xfId="0" applyBorder="1" applyAlignment="1">
      <alignment vertical="center"/>
    </xf>
    <xf numFmtId="0" fontId="10" fillId="0" borderId="4" xfId="0" applyFont="1" applyBorder="1"/>
    <xf numFmtId="0" fontId="9" fillId="0" borderId="2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6" fillId="0" borderId="1" xfId="0" applyFont="1" applyBorder="1"/>
    <xf numFmtId="0" fontId="5" fillId="4" borderId="3" xfId="0" applyFont="1" applyFill="1" applyBorder="1"/>
    <xf numFmtId="0" fontId="16" fillId="0" borderId="3" xfId="0" applyFont="1" applyBorder="1"/>
    <xf numFmtId="0" fontId="16" fillId="0" borderId="4" xfId="0" applyFont="1" applyBorder="1"/>
    <xf numFmtId="0" fontId="0" fillId="0" borderId="2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4" borderId="3" xfId="0" applyFill="1" applyBorder="1"/>
    <xf numFmtId="14" fontId="7" fillId="0" borderId="1" xfId="0" applyNumberFormat="1" applyFont="1" applyBorder="1"/>
    <xf numFmtId="20" fontId="7" fillId="6" borderId="1" xfId="0" applyNumberFormat="1" applyFont="1" applyFill="1" applyBorder="1"/>
    <xf numFmtId="0" fontId="7" fillId="6" borderId="1" xfId="0" applyFont="1" applyFill="1" applyBorder="1"/>
    <xf numFmtId="0" fontId="7" fillId="16" borderId="1" xfId="0" applyFont="1" applyFill="1" applyBorder="1"/>
    <xf numFmtId="0" fontId="17" fillId="6" borderId="1" xfId="0" applyFont="1" applyFill="1" applyBorder="1"/>
    <xf numFmtId="0" fontId="7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8" fillId="16" borderId="1" xfId="0" applyFont="1" applyFill="1" applyBorder="1"/>
    <xf numFmtId="14" fontId="9" fillId="0" borderId="1" xfId="0" applyNumberFormat="1" applyFont="1" applyBorder="1"/>
    <xf numFmtId="0" fontId="9" fillId="0" borderId="1" xfId="0" applyFont="1" applyBorder="1" applyAlignment="1">
      <alignment horizontal="center" vertical="center"/>
    </xf>
    <xf numFmtId="10" fontId="9" fillId="7" borderId="1" xfId="1" applyNumberFormat="1" applyFont="1" applyFill="1" applyBorder="1"/>
    <xf numFmtId="0" fontId="5" fillId="16" borderId="1" xfId="0" applyFont="1" applyFill="1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right" vertical="center"/>
    </xf>
    <xf numFmtId="20" fontId="0" fillId="0" borderId="5" xfId="0" applyNumberFormat="1" applyBorder="1"/>
    <xf numFmtId="0" fontId="0" fillId="0" borderId="5" xfId="0" applyBorder="1" applyAlignment="1">
      <alignment vertical="center"/>
    </xf>
    <xf numFmtId="0" fontId="8" fillId="4" borderId="5" xfId="0" applyFont="1" applyFill="1" applyBorder="1" applyAlignment="1">
      <alignment horizontal="center" vertical="center"/>
    </xf>
    <xf numFmtId="0" fontId="0" fillId="16" borderId="5" xfId="0" applyFill="1" applyBorder="1"/>
    <xf numFmtId="0" fontId="4" fillId="0" borderId="5" xfId="0" applyFont="1" applyBorder="1"/>
    <xf numFmtId="10" fontId="9" fillId="7" borderId="5" xfId="1" applyNumberFormat="1" applyFont="1" applyFill="1" applyBorder="1"/>
    <xf numFmtId="14" fontId="7" fillId="0" borderId="6" xfId="0" applyNumberFormat="1" applyFont="1" applyBorder="1"/>
    <xf numFmtId="0" fontId="7" fillId="0" borderId="6" xfId="0" applyFont="1" applyBorder="1"/>
    <xf numFmtId="0" fontId="7" fillId="0" borderId="6" xfId="0" applyFont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7" fillId="16" borderId="6" xfId="0" applyFont="1" applyFill="1" applyBorder="1"/>
    <xf numFmtId="10" fontId="9" fillId="7" borderId="6" xfId="1" applyNumberFormat="1" applyFont="1" applyFill="1" applyBorder="1"/>
    <xf numFmtId="0" fontId="19" fillId="0" borderId="1" xfId="0" applyFont="1" applyBorder="1" applyAlignment="1">
      <alignment vertical="center"/>
    </xf>
    <xf numFmtId="0" fontId="0" fillId="10" borderId="1" xfId="0" applyFill="1" applyBorder="1" applyAlignment="1">
      <alignment horizontal="center"/>
    </xf>
    <xf numFmtId="0" fontId="0" fillId="10" borderId="1" xfId="0" applyFill="1" applyBorder="1" applyAlignment="1">
      <alignment horizontal="left"/>
    </xf>
    <xf numFmtId="0" fontId="13" fillId="18" borderId="0" xfId="0" applyFont="1" applyFill="1" applyAlignment="1">
      <alignment horizontal="center"/>
    </xf>
    <xf numFmtId="14" fontId="0" fillId="10" borderId="1" xfId="0" applyNumberFormat="1" applyFill="1" applyBorder="1"/>
    <xf numFmtId="0" fontId="0" fillId="10" borderId="1" xfId="0" applyFill="1" applyBorder="1" applyAlignment="1">
      <alignment horizontal="center" vertical="center"/>
    </xf>
    <xf numFmtId="0" fontId="0" fillId="10" borderId="0" xfId="0" applyFill="1"/>
    <xf numFmtId="0" fontId="13" fillId="18" borderId="5" xfId="0" applyFont="1" applyFill="1" applyBorder="1" applyAlignment="1">
      <alignment horizontal="left"/>
    </xf>
    <xf numFmtId="0" fontId="13" fillId="18" borderId="5" xfId="0" applyFont="1" applyFill="1" applyBorder="1" applyAlignment="1">
      <alignment horizontal="center" vertical="center"/>
    </xf>
    <xf numFmtId="0" fontId="13" fillId="18" borderId="5" xfId="0" applyFont="1" applyFill="1" applyBorder="1" applyAlignment="1">
      <alignment horizontal="center"/>
    </xf>
    <xf numFmtId="0" fontId="13" fillId="18" borderId="5" xfId="0" applyFont="1" applyFill="1" applyBorder="1"/>
    <xf numFmtId="0" fontId="0" fillId="17" borderId="1" xfId="0" applyFill="1" applyBorder="1"/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left"/>
    </xf>
    <xf numFmtId="0" fontId="2" fillId="5" borderId="4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center"/>
    </xf>
    <xf numFmtId="0" fontId="9" fillId="6" borderId="1" xfId="0" applyFont="1" applyFill="1" applyBorder="1"/>
    <xf numFmtId="0" fontId="9" fillId="6" borderId="1" xfId="0" applyFont="1" applyFill="1" applyBorder="1" applyAlignment="1">
      <alignment horizontal="center"/>
    </xf>
    <xf numFmtId="18" fontId="0" fillId="10" borderId="1" xfId="0" applyNumberFormat="1" applyFill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18" fontId="9" fillId="10" borderId="1" xfId="0" applyNumberFormat="1" applyFont="1" applyFill="1" applyBorder="1" applyAlignment="1">
      <alignment horizontal="center"/>
    </xf>
    <xf numFmtId="0" fontId="9" fillId="10" borderId="1" xfId="0" applyFont="1" applyFill="1" applyBorder="1" applyAlignment="1">
      <alignment horizontal="left"/>
    </xf>
    <xf numFmtId="0" fontId="9" fillId="10" borderId="1" xfId="0" applyFont="1" applyFill="1" applyBorder="1" applyAlignment="1">
      <alignment vertical="center" wrapText="1"/>
    </xf>
    <xf numFmtId="9" fontId="9" fillId="0" borderId="1" xfId="0" applyNumberFormat="1" applyFont="1" applyBorder="1" applyAlignment="1">
      <alignment vertical="center" wrapText="1"/>
    </xf>
    <xf numFmtId="0" fontId="9" fillId="10" borderId="0" xfId="0" applyFont="1" applyFill="1"/>
    <xf numFmtId="14" fontId="0" fillId="6" borderId="1" xfId="0" applyNumberFormat="1" applyFill="1" applyBorder="1"/>
    <xf numFmtId="0" fontId="20" fillId="0" borderId="0" xfId="0" applyFont="1" applyAlignment="1">
      <alignment horizontal="left" wrapText="1"/>
    </xf>
    <xf numFmtId="0" fontId="18" fillId="0" borderId="0" xfId="2"/>
    <xf numFmtId="0" fontId="0" fillId="6" borderId="2" xfId="0" applyFill="1" applyBorder="1"/>
    <xf numFmtId="0" fontId="0" fillId="0" borderId="2" xfId="0" applyBorder="1"/>
    <xf numFmtId="0" fontId="10" fillId="0" borderId="2" xfId="0" applyFont="1" applyBorder="1"/>
    <xf numFmtId="18" fontId="0" fillId="0" borderId="9" xfId="0" applyNumberFormat="1" applyBorder="1"/>
    <xf numFmtId="0" fontId="0" fillId="0" borderId="9" xfId="0" applyBorder="1"/>
    <xf numFmtId="0" fontId="0" fillId="0" borderId="3" xfId="0" applyBorder="1" applyAlignment="1">
      <alignment horizontal="center" vertical="center" wrapText="1"/>
    </xf>
    <xf numFmtId="0" fontId="0" fillId="0" borderId="10" xfId="0" applyBorder="1"/>
    <xf numFmtId="0" fontId="21" fillId="0" borderId="0" xfId="0" applyFont="1"/>
    <xf numFmtId="0" fontId="22" fillId="0" borderId="1" xfId="0" applyFont="1" applyBorder="1"/>
    <xf numFmtId="0" fontId="0" fillId="6" borderId="3" xfId="0" applyFill="1" applyBorder="1"/>
    <xf numFmtId="0" fontId="6" fillId="4" borderId="3" xfId="0" applyFont="1" applyFill="1" applyBorder="1"/>
    <xf numFmtId="0" fontId="23" fillId="8" borderId="3" xfId="0" applyFont="1" applyFill="1" applyBorder="1" applyAlignment="1">
      <alignment horizontal="left" vertical="center"/>
    </xf>
    <xf numFmtId="0" fontId="24" fillId="8" borderId="3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21" fillId="0" borderId="1" xfId="0" applyFont="1" applyBorder="1"/>
    <xf numFmtId="0" fontId="6" fillId="19" borderId="1" xfId="0" applyFont="1" applyFill="1" applyBorder="1"/>
    <xf numFmtId="0" fontId="14" fillId="1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fly.customer.io/workspaces/204357/journeys/segments/297/overview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EF221-610B-43E4-B39C-EEC05B7D74D1}">
  <dimension ref="A1:AB92"/>
  <sheetViews>
    <sheetView workbookViewId="0">
      <pane ySplit="1" topLeftCell="A72" activePane="bottomLeft" state="frozen"/>
      <selection pane="bottomLeft" activeCell="Z44" sqref="Z44"/>
    </sheetView>
  </sheetViews>
  <sheetFormatPr defaultRowHeight="14.4"/>
  <cols>
    <col min="1" max="1" width="10.33203125" bestFit="1" customWidth="1"/>
    <col min="2" max="2" width="4.77734375" bestFit="1" customWidth="1"/>
    <col min="3" max="3" width="7.5546875" bestFit="1" customWidth="1"/>
    <col min="4" max="4" width="8.6640625" bestFit="1" customWidth="1"/>
    <col min="5" max="5" width="45" bestFit="1" customWidth="1"/>
    <col min="6" max="6" width="14" bestFit="1" customWidth="1"/>
    <col min="7" max="7" width="62.109375" bestFit="1" customWidth="1"/>
    <col min="8" max="8" width="14.88671875" bestFit="1" customWidth="1"/>
    <col min="9" max="9" width="15.33203125" bestFit="1" customWidth="1"/>
    <col min="10" max="10" width="10.6640625" bestFit="1" customWidth="1"/>
    <col min="11" max="11" width="28" bestFit="1" customWidth="1"/>
    <col min="12" max="12" width="6" bestFit="1" customWidth="1"/>
    <col min="13" max="13" width="5.5546875" bestFit="1" customWidth="1"/>
    <col min="14" max="14" width="5" bestFit="1" customWidth="1"/>
    <col min="15" max="15" width="6.44140625" bestFit="1" customWidth="1"/>
    <col min="16" max="16" width="8.44140625" bestFit="1" customWidth="1"/>
    <col min="17" max="17" width="5.6640625" bestFit="1" customWidth="1"/>
    <col min="18" max="19" width="7.33203125" bestFit="1" customWidth="1"/>
  </cols>
  <sheetData>
    <row r="1" spans="1:19">
      <c r="A1" s="148" t="s">
        <v>0</v>
      </c>
      <c r="B1" s="149" t="s">
        <v>1</v>
      </c>
      <c r="C1" s="150" t="s">
        <v>11</v>
      </c>
      <c r="D1" s="150" t="s">
        <v>2</v>
      </c>
      <c r="E1" s="148" t="s">
        <v>831</v>
      </c>
      <c r="F1" s="148" t="s">
        <v>832</v>
      </c>
      <c r="G1" s="148" t="s">
        <v>6</v>
      </c>
      <c r="H1" s="148" t="s">
        <v>833</v>
      </c>
      <c r="I1" s="150" t="s">
        <v>1487</v>
      </c>
      <c r="J1" s="151" t="s">
        <v>835</v>
      </c>
      <c r="K1" s="150" t="s">
        <v>12</v>
      </c>
      <c r="L1" s="144" t="s">
        <v>837</v>
      </c>
      <c r="M1" s="144" t="s">
        <v>15</v>
      </c>
      <c r="N1" s="144" t="s">
        <v>838</v>
      </c>
      <c r="O1" s="144" t="s">
        <v>17</v>
      </c>
      <c r="P1" s="144" t="s">
        <v>839</v>
      </c>
      <c r="Q1" s="144" t="s">
        <v>840</v>
      </c>
      <c r="R1" s="144" t="s">
        <v>19</v>
      </c>
      <c r="S1" s="144" t="s">
        <v>20</v>
      </c>
    </row>
    <row r="2" spans="1:19">
      <c r="A2" s="6">
        <v>46140</v>
      </c>
      <c r="B2" s="50" t="s">
        <v>78</v>
      </c>
      <c r="C2" s="142" t="s">
        <v>486</v>
      </c>
      <c r="D2" s="142"/>
      <c r="E2" s="152" t="s">
        <v>826</v>
      </c>
      <c r="F2" s="100" t="s">
        <v>827</v>
      </c>
      <c r="G2" s="7" t="s">
        <v>828</v>
      </c>
      <c r="H2" s="100" t="s">
        <v>829</v>
      </c>
      <c r="I2" s="142">
        <v>4800</v>
      </c>
      <c r="J2" s="100" t="s">
        <v>830</v>
      </c>
      <c r="K2" s="143" t="s">
        <v>686</v>
      </c>
      <c r="L2" s="153">
        <v>4497</v>
      </c>
      <c r="M2" s="153">
        <v>4353</v>
      </c>
      <c r="N2" s="153">
        <v>2887</v>
      </c>
      <c r="O2" s="153">
        <v>0</v>
      </c>
      <c r="P2" s="153">
        <v>3</v>
      </c>
      <c r="Q2" s="153"/>
      <c r="R2" s="154">
        <f>M2/L2</f>
        <v>0.96797865243495662</v>
      </c>
      <c r="S2" s="154">
        <f>N2/M2</f>
        <v>0.66322076728692858</v>
      </c>
    </row>
    <row r="3" spans="1:19" s="147" customFormat="1">
      <c r="A3" s="145">
        <v>46140</v>
      </c>
      <c r="B3" s="146" t="s">
        <v>78</v>
      </c>
      <c r="C3" s="142" t="s">
        <v>486</v>
      </c>
      <c r="D3" s="142"/>
      <c r="E3" s="100" t="s">
        <v>841</v>
      </c>
      <c r="F3" s="100" t="s">
        <v>827</v>
      </c>
      <c r="G3" s="143"/>
      <c r="H3" s="100" t="s">
        <v>829</v>
      </c>
      <c r="I3" s="142">
        <v>2000</v>
      </c>
      <c r="J3" s="100" t="s">
        <v>830</v>
      </c>
      <c r="K3" s="143" t="s">
        <v>69</v>
      </c>
      <c r="L3" s="155">
        <v>5076</v>
      </c>
      <c r="M3" s="155">
        <v>3709</v>
      </c>
      <c r="N3" s="155">
        <v>2516</v>
      </c>
      <c r="O3" s="155">
        <v>0</v>
      </c>
      <c r="P3" s="155">
        <v>0</v>
      </c>
      <c r="Q3" s="155"/>
      <c r="R3" s="154">
        <f t="shared" ref="R3:S4" si="0">M3/L3</f>
        <v>0.7306934594168637</v>
      </c>
      <c r="S3" s="154">
        <f t="shared" si="0"/>
        <v>0.67834995955783228</v>
      </c>
    </row>
    <row r="4" spans="1:19" s="147" customFormat="1">
      <c r="A4" s="145">
        <v>46140</v>
      </c>
      <c r="B4" s="146" t="s">
        <v>78</v>
      </c>
      <c r="C4" s="142" t="s">
        <v>486</v>
      </c>
      <c r="D4" s="142"/>
      <c r="E4" s="100" t="s">
        <v>842</v>
      </c>
      <c r="F4" s="100" t="s">
        <v>827</v>
      </c>
      <c r="G4" s="143" t="s">
        <v>843</v>
      </c>
      <c r="H4" s="100" t="s">
        <v>829</v>
      </c>
      <c r="I4" s="142"/>
      <c r="J4" s="100" t="s">
        <v>830</v>
      </c>
      <c r="K4" s="143" t="s">
        <v>149</v>
      </c>
      <c r="L4" s="155">
        <v>853</v>
      </c>
      <c r="M4" s="155">
        <v>534</v>
      </c>
      <c r="N4" s="155">
        <v>301</v>
      </c>
      <c r="O4" s="155">
        <v>1</v>
      </c>
      <c r="P4" s="155">
        <v>0</v>
      </c>
      <c r="Q4" s="155"/>
      <c r="R4" s="154">
        <f t="shared" si="0"/>
        <v>0.62602579132473624</v>
      </c>
      <c r="S4" s="154">
        <f t="shared" si="0"/>
        <v>0.56367041198501877</v>
      </c>
    </row>
    <row r="5" spans="1:19" ht="7.8" customHeight="1">
      <c r="A5" s="8"/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58"/>
    </row>
    <row r="6" spans="1:19">
      <c r="A6" s="6">
        <v>46141</v>
      </c>
      <c r="B6" s="50" t="s">
        <v>124</v>
      </c>
      <c r="C6" s="142" t="s">
        <v>486</v>
      </c>
      <c r="D6" s="142"/>
      <c r="E6" s="65" t="s">
        <v>890</v>
      </c>
      <c r="F6" s="100" t="s">
        <v>827</v>
      </c>
      <c r="G6" s="7" t="s">
        <v>828</v>
      </c>
      <c r="H6" s="100" t="s">
        <v>829</v>
      </c>
      <c r="I6" s="163">
        <v>6000</v>
      </c>
      <c r="J6" s="100" t="s">
        <v>830</v>
      </c>
      <c r="K6" s="143" t="s">
        <v>686</v>
      </c>
      <c r="L6" s="153">
        <v>3149</v>
      </c>
      <c r="M6" s="153">
        <v>2940</v>
      </c>
      <c r="N6" s="153">
        <v>1972</v>
      </c>
      <c r="O6" s="153">
        <v>0</v>
      </c>
      <c r="P6" s="153">
        <v>0</v>
      </c>
      <c r="Q6" s="153"/>
      <c r="R6" s="154">
        <f>M6/L6</f>
        <v>0.93362972372181641</v>
      </c>
      <c r="S6" s="154">
        <f>N6/M6</f>
        <v>0.6707482993197279</v>
      </c>
    </row>
    <row r="7" spans="1:19">
      <c r="A7" s="6">
        <v>46141</v>
      </c>
      <c r="B7" s="50" t="s">
        <v>124</v>
      </c>
      <c r="C7" s="142" t="s">
        <v>487</v>
      </c>
      <c r="D7" s="142"/>
      <c r="E7" s="65" t="s">
        <v>892</v>
      </c>
      <c r="F7" s="100" t="s">
        <v>827</v>
      </c>
      <c r="G7" s="7" t="s">
        <v>828</v>
      </c>
      <c r="H7" s="100" t="s">
        <v>829</v>
      </c>
      <c r="I7" s="163">
        <v>500</v>
      </c>
      <c r="J7" s="100" t="s">
        <v>830</v>
      </c>
      <c r="K7" s="143" t="s">
        <v>891</v>
      </c>
      <c r="L7" s="153">
        <v>356</v>
      </c>
      <c r="M7" s="153">
        <v>254</v>
      </c>
      <c r="N7" s="153">
        <v>180</v>
      </c>
      <c r="O7" s="153">
        <v>0</v>
      </c>
      <c r="P7" s="153">
        <v>0</v>
      </c>
      <c r="Q7" s="153"/>
      <c r="R7" s="154">
        <f>M7/L7</f>
        <v>0.7134831460674157</v>
      </c>
      <c r="S7" s="154">
        <f>N7/M7</f>
        <v>0.70866141732283461</v>
      </c>
    </row>
    <row r="8" spans="1:19">
      <c r="A8" s="6">
        <v>46141</v>
      </c>
      <c r="B8" s="50" t="s">
        <v>124</v>
      </c>
      <c r="C8" s="142" t="s">
        <v>486</v>
      </c>
      <c r="D8" s="142" t="s">
        <v>893</v>
      </c>
      <c r="E8" s="160" t="s">
        <v>881</v>
      </c>
      <c r="F8" s="18" t="s">
        <v>827</v>
      </c>
      <c r="G8" s="18" t="s">
        <v>883</v>
      </c>
      <c r="H8" s="18" t="s">
        <v>829</v>
      </c>
      <c r="I8" s="161" t="s">
        <v>209</v>
      </c>
      <c r="J8" s="18" t="s">
        <v>867</v>
      </c>
      <c r="K8" s="157" t="s">
        <v>106</v>
      </c>
      <c r="L8" s="153">
        <v>309</v>
      </c>
      <c r="M8" s="153">
        <v>39</v>
      </c>
      <c r="N8" s="153">
        <v>3</v>
      </c>
      <c r="O8" s="153">
        <v>2</v>
      </c>
      <c r="P8" s="153">
        <v>0</v>
      </c>
      <c r="Q8" s="153"/>
      <c r="R8" s="154">
        <f t="shared" ref="R8:R12" si="1">M8/L8</f>
        <v>0.12621359223300971</v>
      </c>
      <c r="S8" s="154">
        <f t="shared" ref="S8:S12" si="2">N8/M8</f>
        <v>7.6923076923076927E-2</v>
      </c>
    </row>
    <row r="9" spans="1:19">
      <c r="A9" s="6">
        <v>46141</v>
      </c>
      <c r="B9" s="50" t="s">
        <v>124</v>
      </c>
      <c r="C9" s="142" t="s">
        <v>487</v>
      </c>
      <c r="D9" s="142" t="s">
        <v>893</v>
      </c>
      <c r="E9" s="160" t="s">
        <v>882</v>
      </c>
      <c r="F9" s="18" t="s">
        <v>827</v>
      </c>
      <c r="G9" s="18" t="s">
        <v>883</v>
      </c>
      <c r="H9" s="18" t="s">
        <v>829</v>
      </c>
      <c r="I9" s="161" t="s">
        <v>209</v>
      </c>
      <c r="J9" s="18" t="s">
        <v>867</v>
      </c>
      <c r="K9" s="18" t="s">
        <v>186</v>
      </c>
      <c r="L9" s="153">
        <v>850</v>
      </c>
      <c r="M9" s="153">
        <v>7</v>
      </c>
      <c r="N9" s="153">
        <v>1</v>
      </c>
      <c r="O9" s="153">
        <v>0</v>
      </c>
      <c r="P9" s="153">
        <v>1</v>
      </c>
      <c r="Q9" s="153"/>
      <c r="R9" s="154">
        <f t="shared" ref="R9" si="3">M9/L9</f>
        <v>8.2352941176470594E-3</v>
      </c>
      <c r="S9" s="154">
        <f t="shared" ref="S9" si="4">N9/M9</f>
        <v>0.14285714285714285</v>
      </c>
    </row>
    <row r="10" spans="1:19" s="147" customFormat="1">
      <c r="A10" s="6">
        <v>46141</v>
      </c>
      <c r="B10" s="50" t="s">
        <v>124</v>
      </c>
      <c r="C10" s="142" t="s">
        <v>486</v>
      </c>
      <c r="D10" s="162">
        <v>0.5</v>
      </c>
      <c r="E10" s="100" t="s">
        <v>865</v>
      </c>
      <c r="F10" s="100" t="s">
        <v>827</v>
      </c>
      <c r="G10" s="143" t="s">
        <v>866</v>
      </c>
      <c r="H10" s="100" t="s">
        <v>829</v>
      </c>
      <c r="I10" s="142" t="s">
        <v>209</v>
      </c>
      <c r="J10" s="100" t="s">
        <v>830</v>
      </c>
      <c r="K10" s="7" t="s">
        <v>149</v>
      </c>
      <c r="L10" s="155">
        <v>438</v>
      </c>
      <c r="M10" s="155">
        <v>73</v>
      </c>
      <c r="N10" s="155">
        <v>12</v>
      </c>
      <c r="O10" s="155">
        <v>2</v>
      </c>
      <c r="P10" s="155">
        <v>0</v>
      </c>
      <c r="Q10" s="155"/>
      <c r="R10" s="154">
        <f t="shared" si="1"/>
        <v>0.16666666666666666</v>
      </c>
      <c r="S10" s="154">
        <f t="shared" si="2"/>
        <v>0.16438356164383561</v>
      </c>
    </row>
    <row r="11" spans="1:19" s="147" customFormat="1" ht="16.8">
      <c r="A11" s="6">
        <v>46141</v>
      </c>
      <c r="B11" s="50" t="s">
        <v>124</v>
      </c>
      <c r="C11" s="142" t="s">
        <v>486</v>
      </c>
      <c r="D11" s="162">
        <v>0.75</v>
      </c>
      <c r="E11" s="100" t="s">
        <v>884</v>
      </c>
      <c r="F11" s="100" t="s">
        <v>827</v>
      </c>
      <c r="G11" s="143" t="s">
        <v>885</v>
      </c>
      <c r="H11" s="100" t="s">
        <v>829</v>
      </c>
      <c r="I11" s="163" t="s">
        <v>209</v>
      </c>
      <c r="J11" s="100" t="s">
        <v>830</v>
      </c>
      <c r="K11" s="52" t="s">
        <v>420</v>
      </c>
      <c r="L11" s="155">
        <v>387</v>
      </c>
      <c r="M11" s="155">
        <v>94</v>
      </c>
      <c r="N11" s="155">
        <v>14</v>
      </c>
      <c r="O11" s="155">
        <v>5</v>
      </c>
      <c r="P11" s="155">
        <v>0</v>
      </c>
      <c r="Q11" s="155"/>
      <c r="R11" s="154">
        <f t="shared" ref="R11" si="5">M11/L11</f>
        <v>0.24289405684754523</v>
      </c>
      <c r="S11" s="154">
        <f t="shared" ref="S11" si="6">N11/M11</f>
        <v>0.14893617021276595</v>
      </c>
    </row>
    <row r="12" spans="1:19" s="147" customFormat="1" ht="16.8">
      <c r="A12" s="6">
        <v>46141</v>
      </c>
      <c r="B12" s="50" t="s">
        <v>124</v>
      </c>
      <c r="C12" s="142" t="s">
        <v>486</v>
      </c>
      <c r="D12" s="162">
        <v>0.76041666666666663</v>
      </c>
      <c r="E12" s="100" t="s">
        <v>886</v>
      </c>
      <c r="F12" s="100" t="s">
        <v>827</v>
      </c>
      <c r="G12" s="143" t="s">
        <v>887</v>
      </c>
      <c r="H12" s="100" t="s">
        <v>829</v>
      </c>
      <c r="I12" s="163" t="s">
        <v>209</v>
      </c>
      <c r="J12" s="100" t="s">
        <v>830</v>
      </c>
      <c r="K12" s="52" t="s">
        <v>157</v>
      </c>
      <c r="L12" s="155">
        <v>783</v>
      </c>
      <c r="M12" s="155">
        <v>57</v>
      </c>
      <c r="N12" s="155">
        <v>10</v>
      </c>
      <c r="O12" s="155">
        <v>1</v>
      </c>
      <c r="P12" s="155">
        <v>0</v>
      </c>
      <c r="Q12" s="155"/>
      <c r="R12" s="154">
        <f t="shared" si="1"/>
        <v>7.2796934865900387E-2</v>
      </c>
      <c r="S12" s="154">
        <f t="shared" si="2"/>
        <v>0.17543859649122806</v>
      </c>
    </row>
    <row r="13" spans="1:19" s="168" customFormat="1">
      <c r="A13" s="123">
        <v>46141</v>
      </c>
      <c r="B13" s="124" t="s">
        <v>124</v>
      </c>
      <c r="C13" s="163" t="s">
        <v>487</v>
      </c>
      <c r="D13" s="164">
        <v>0.77083333333333337</v>
      </c>
      <c r="E13" s="65" t="s">
        <v>888</v>
      </c>
      <c r="F13" s="65" t="s">
        <v>827</v>
      </c>
      <c r="G13" s="165" t="s">
        <v>885</v>
      </c>
      <c r="H13" s="65" t="s">
        <v>829</v>
      </c>
      <c r="I13" s="163" t="s">
        <v>209</v>
      </c>
      <c r="J13" s="65" t="s">
        <v>830</v>
      </c>
      <c r="K13" s="31" t="s">
        <v>121</v>
      </c>
      <c r="L13" s="166">
        <v>408</v>
      </c>
      <c r="M13" s="166">
        <v>14</v>
      </c>
      <c r="N13" s="166">
        <v>7</v>
      </c>
      <c r="O13" s="166">
        <v>0</v>
      </c>
      <c r="P13" s="166">
        <v>0</v>
      </c>
      <c r="Q13" s="166"/>
      <c r="R13" s="167">
        <f t="shared" ref="R13:R14" si="7">M13/L13</f>
        <v>3.4313725490196081E-2</v>
      </c>
      <c r="S13" s="167">
        <f t="shared" ref="S13:S14" si="8">N13/M13</f>
        <v>0.5</v>
      </c>
    </row>
    <row r="14" spans="1:19" s="147" customFormat="1" ht="16.8">
      <c r="A14" s="6">
        <v>46141</v>
      </c>
      <c r="B14" s="50" t="s">
        <v>124</v>
      </c>
      <c r="C14" s="142" t="s">
        <v>487</v>
      </c>
      <c r="D14" s="162">
        <v>0.78125</v>
      </c>
      <c r="E14" s="65" t="s">
        <v>889</v>
      </c>
      <c r="F14" s="100" t="s">
        <v>827</v>
      </c>
      <c r="G14" s="143" t="s">
        <v>887</v>
      </c>
      <c r="H14" s="100" t="s">
        <v>829</v>
      </c>
      <c r="I14" s="163" t="s">
        <v>209</v>
      </c>
      <c r="J14" s="100" t="s">
        <v>830</v>
      </c>
      <c r="K14" s="52" t="s">
        <v>210</v>
      </c>
      <c r="L14" s="155">
        <v>1005</v>
      </c>
      <c r="M14" s="155">
        <v>18</v>
      </c>
      <c r="N14" s="155">
        <v>8</v>
      </c>
      <c r="O14" s="155">
        <v>0</v>
      </c>
      <c r="P14" s="155">
        <v>0</v>
      </c>
      <c r="Q14" s="155"/>
      <c r="R14" s="154">
        <f t="shared" si="7"/>
        <v>1.7910447761194031E-2</v>
      </c>
      <c r="S14" s="154">
        <f t="shared" si="8"/>
        <v>0.44444444444444442</v>
      </c>
    </row>
    <row r="15" spans="1:19" ht="7.8" customHeight="1">
      <c r="A15" s="8"/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58"/>
    </row>
    <row r="16" spans="1:19">
      <c r="A16" s="6">
        <v>46142</v>
      </c>
      <c r="B16" s="50" t="s">
        <v>166</v>
      </c>
      <c r="C16" s="142" t="s">
        <v>486</v>
      </c>
      <c r="D16" s="142"/>
      <c r="E16" s="65" t="s">
        <v>1004</v>
      </c>
      <c r="F16" s="100" t="s">
        <v>827</v>
      </c>
      <c r="G16" s="7" t="s">
        <v>828</v>
      </c>
      <c r="H16" s="100" t="s">
        <v>829</v>
      </c>
      <c r="I16" s="163">
        <v>3000</v>
      </c>
      <c r="J16" s="100" t="s">
        <v>830</v>
      </c>
      <c r="K16" s="143" t="s">
        <v>686</v>
      </c>
      <c r="L16" s="153">
        <v>2999</v>
      </c>
      <c r="M16" s="153">
        <v>2668</v>
      </c>
      <c r="N16" s="153">
        <v>1712</v>
      </c>
      <c r="O16" s="153">
        <v>0</v>
      </c>
      <c r="P16" s="153">
        <v>1</v>
      </c>
      <c r="Q16" s="153"/>
      <c r="R16" s="154">
        <f t="shared" ref="R16:S19" si="9">M16/L16</f>
        <v>0.88962987662554183</v>
      </c>
      <c r="S16" s="154">
        <f t="shared" si="9"/>
        <v>0.64167916041979012</v>
      </c>
    </row>
    <row r="17" spans="1:23">
      <c r="A17" s="6">
        <v>46142</v>
      </c>
      <c r="B17" s="50" t="s">
        <v>166</v>
      </c>
      <c r="C17" s="142" t="s">
        <v>486</v>
      </c>
      <c r="D17" s="142"/>
      <c r="E17" s="65" t="s">
        <v>1005</v>
      </c>
      <c r="F17" s="100" t="s">
        <v>827</v>
      </c>
      <c r="G17" s="7" t="s">
        <v>828</v>
      </c>
      <c r="H17" s="100" t="s">
        <v>829</v>
      </c>
      <c r="I17" s="163">
        <v>3000</v>
      </c>
      <c r="J17" s="100" t="s">
        <v>830</v>
      </c>
      <c r="K17" s="143" t="s">
        <v>686</v>
      </c>
      <c r="L17" s="153">
        <v>2999</v>
      </c>
      <c r="M17" s="153">
        <v>2670</v>
      </c>
      <c r="N17" s="153">
        <v>1746</v>
      </c>
      <c r="O17" s="153">
        <v>0</v>
      </c>
      <c r="P17" s="153">
        <v>0</v>
      </c>
      <c r="Q17" s="153"/>
      <c r="R17" s="154">
        <f t="shared" si="9"/>
        <v>0.89029676558852955</v>
      </c>
      <c r="S17" s="154">
        <f t="shared" si="9"/>
        <v>0.65393258426966294</v>
      </c>
    </row>
    <row r="18" spans="1:23">
      <c r="A18" s="6">
        <v>46142</v>
      </c>
      <c r="B18" s="50" t="s">
        <v>166</v>
      </c>
      <c r="C18" s="142" t="s">
        <v>487</v>
      </c>
      <c r="D18" s="142"/>
      <c r="E18" s="65" t="s">
        <v>1006</v>
      </c>
      <c r="F18" s="100" t="s">
        <v>827</v>
      </c>
      <c r="G18" s="7" t="s">
        <v>828</v>
      </c>
      <c r="H18" s="100" t="s">
        <v>829</v>
      </c>
      <c r="I18" s="163">
        <v>500</v>
      </c>
      <c r="J18" s="100" t="s">
        <v>830</v>
      </c>
      <c r="K18" s="143" t="s">
        <v>891</v>
      </c>
      <c r="L18" s="153">
        <v>500</v>
      </c>
      <c r="M18" s="153">
        <v>454</v>
      </c>
      <c r="N18" s="153">
        <v>302</v>
      </c>
      <c r="O18" s="153">
        <v>0</v>
      </c>
      <c r="P18" s="153">
        <v>0</v>
      </c>
      <c r="Q18" s="153"/>
      <c r="R18" s="154">
        <f t="shared" si="9"/>
        <v>0.90800000000000003</v>
      </c>
      <c r="S18" s="154">
        <f t="shared" si="9"/>
        <v>0.66519823788546251</v>
      </c>
    </row>
    <row r="19" spans="1:23">
      <c r="A19" s="6">
        <v>46142</v>
      </c>
      <c r="B19" s="50" t="s">
        <v>166</v>
      </c>
      <c r="C19" s="142" t="s">
        <v>487</v>
      </c>
      <c r="D19" s="142"/>
      <c r="E19" s="65" t="s">
        <v>1007</v>
      </c>
      <c r="F19" s="100" t="s">
        <v>827</v>
      </c>
      <c r="G19" s="7" t="s">
        <v>828</v>
      </c>
      <c r="H19" s="100" t="s">
        <v>829</v>
      </c>
      <c r="I19" s="163">
        <v>500</v>
      </c>
      <c r="J19" s="100" t="s">
        <v>830</v>
      </c>
      <c r="K19" s="143" t="s">
        <v>891</v>
      </c>
      <c r="L19" s="153">
        <v>500</v>
      </c>
      <c r="M19" s="153">
        <v>459</v>
      </c>
      <c r="N19" s="153">
        <v>276</v>
      </c>
      <c r="O19" s="153">
        <v>0</v>
      </c>
      <c r="P19" s="153">
        <v>0</v>
      </c>
      <c r="Q19" s="153"/>
      <c r="R19" s="154">
        <f t="shared" si="9"/>
        <v>0.91800000000000004</v>
      </c>
      <c r="S19" s="154">
        <f t="shared" si="9"/>
        <v>0.60130718954248363</v>
      </c>
    </row>
    <row r="20" spans="1:23">
      <c r="A20" s="6">
        <v>46142</v>
      </c>
      <c r="B20" s="50" t="s">
        <v>166</v>
      </c>
      <c r="C20" s="142" t="s">
        <v>486</v>
      </c>
      <c r="D20" s="142" t="s">
        <v>893</v>
      </c>
      <c r="E20" s="160" t="s">
        <v>881</v>
      </c>
      <c r="F20" s="18" t="s">
        <v>827</v>
      </c>
      <c r="G20" s="18" t="s">
        <v>883</v>
      </c>
      <c r="H20" s="18" t="s">
        <v>829</v>
      </c>
      <c r="I20" s="161"/>
      <c r="J20" s="18" t="s">
        <v>867</v>
      </c>
      <c r="K20" s="157" t="s">
        <v>106</v>
      </c>
      <c r="L20" s="153">
        <v>495</v>
      </c>
      <c r="M20" s="153">
        <v>41</v>
      </c>
      <c r="N20" s="153">
        <v>3</v>
      </c>
      <c r="O20" s="153">
        <v>2</v>
      </c>
      <c r="P20" s="153">
        <v>1</v>
      </c>
      <c r="Q20" s="153"/>
      <c r="R20" s="154">
        <f t="shared" ref="R20:R26" si="10">M20/L20</f>
        <v>8.2828282828282834E-2</v>
      </c>
      <c r="S20" s="154">
        <f t="shared" ref="S20:S26" si="11">N20/M20</f>
        <v>7.3170731707317069E-2</v>
      </c>
    </row>
    <row r="21" spans="1:23">
      <c r="A21" s="6">
        <v>46142</v>
      </c>
      <c r="B21" s="50" t="s">
        <v>166</v>
      </c>
      <c r="C21" s="142" t="s">
        <v>487</v>
      </c>
      <c r="D21" s="142" t="s">
        <v>893</v>
      </c>
      <c r="E21" s="160" t="s">
        <v>882</v>
      </c>
      <c r="F21" s="18" t="s">
        <v>827</v>
      </c>
      <c r="G21" s="18" t="s">
        <v>883</v>
      </c>
      <c r="H21" s="18" t="s">
        <v>829</v>
      </c>
      <c r="I21" s="161"/>
      <c r="J21" s="18" t="s">
        <v>867</v>
      </c>
      <c r="K21" s="18" t="s">
        <v>186</v>
      </c>
      <c r="L21" s="153">
        <v>1050</v>
      </c>
      <c r="M21" s="153">
        <v>6</v>
      </c>
      <c r="N21" s="153">
        <v>2</v>
      </c>
      <c r="O21" s="153">
        <v>0</v>
      </c>
      <c r="P21" s="153">
        <v>0</v>
      </c>
      <c r="Q21" s="153"/>
      <c r="R21" s="154">
        <f t="shared" si="10"/>
        <v>5.7142857142857143E-3</v>
      </c>
      <c r="S21" s="154">
        <f t="shared" si="11"/>
        <v>0.33333333333333331</v>
      </c>
    </row>
    <row r="22" spans="1:23" s="147" customFormat="1">
      <c r="A22" s="6">
        <v>46142</v>
      </c>
      <c r="B22" s="50" t="s">
        <v>166</v>
      </c>
      <c r="C22" s="142" t="s">
        <v>486</v>
      </c>
      <c r="D22" s="162">
        <v>9.5138888888888884E-2</v>
      </c>
      <c r="E22" s="100" t="s">
        <v>1020</v>
      </c>
      <c r="F22" s="100" t="s">
        <v>827</v>
      </c>
      <c r="G22" s="143" t="s">
        <v>1023</v>
      </c>
      <c r="H22" s="100" t="s">
        <v>829</v>
      </c>
      <c r="I22" s="142" t="s">
        <v>209</v>
      </c>
      <c r="J22" s="100" t="s">
        <v>830</v>
      </c>
      <c r="K22" s="7" t="s">
        <v>149</v>
      </c>
      <c r="L22" s="155">
        <v>487</v>
      </c>
      <c r="M22" s="155">
        <v>133</v>
      </c>
      <c r="N22" s="155">
        <v>24</v>
      </c>
      <c r="O22" s="155">
        <v>5</v>
      </c>
      <c r="P22" s="155">
        <v>0</v>
      </c>
      <c r="Q22" s="155"/>
      <c r="R22" s="154">
        <f t="shared" si="10"/>
        <v>0.2731006160164271</v>
      </c>
      <c r="S22" s="154">
        <f t="shared" si="11"/>
        <v>0.18045112781954886</v>
      </c>
    </row>
    <row r="23" spans="1:23" s="147" customFormat="1" ht="16.8">
      <c r="A23" s="6">
        <v>46142</v>
      </c>
      <c r="B23" s="50" t="s">
        <v>166</v>
      </c>
      <c r="C23" s="142" t="s">
        <v>486</v>
      </c>
      <c r="D23" s="162">
        <v>0.75</v>
      </c>
      <c r="E23" s="100" t="s">
        <v>1022</v>
      </c>
      <c r="F23" s="100" t="s">
        <v>827</v>
      </c>
      <c r="G23" s="143" t="s">
        <v>1024</v>
      </c>
      <c r="H23" s="100" t="s">
        <v>829</v>
      </c>
      <c r="I23" s="142" t="s">
        <v>209</v>
      </c>
      <c r="J23" s="100" t="s">
        <v>830</v>
      </c>
      <c r="K23" s="52" t="s">
        <v>420</v>
      </c>
      <c r="L23" s="155">
        <v>397</v>
      </c>
      <c r="M23" s="155">
        <v>48</v>
      </c>
      <c r="N23" s="155">
        <v>8</v>
      </c>
      <c r="O23" s="155">
        <v>1</v>
      </c>
      <c r="P23" s="155">
        <v>1</v>
      </c>
      <c r="Q23" s="155"/>
      <c r="R23" s="154">
        <f t="shared" si="10"/>
        <v>0.12090680100755667</v>
      </c>
      <c r="S23" s="154">
        <f t="shared" si="11"/>
        <v>0.16666666666666666</v>
      </c>
    </row>
    <row r="24" spans="1:23" s="147" customFormat="1" ht="16.8">
      <c r="A24" s="6">
        <v>46142</v>
      </c>
      <c r="B24" s="50" t="s">
        <v>166</v>
      </c>
      <c r="C24" s="142" t="s">
        <v>486</v>
      </c>
      <c r="D24" s="162">
        <v>0.76041666666666663</v>
      </c>
      <c r="E24" s="100" t="s">
        <v>1025</v>
      </c>
      <c r="F24" s="100" t="s">
        <v>827</v>
      </c>
      <c r="G24" s="143" t="s">
        <v>1026</v>
      </c>
      <c r="H24" s="100" t="s">
        <v>829</v>
      </c>
      <c r="I24" s="142" t="s">
        <v>209</v>
      </c>
      <c r="J24" s="100" t="s">
        <v>830</v>
      </c>
      <c r="K24" s="52" t="s">
        <v>157</v>
      </c>
      <c r="L24" s="155">
        <v>872</v>
      </c>
      <c r="M24" s="155">
        <v>118</v>
      </c>
      <c r="N24" s="155">
        <v>7</v>
      </c>
      <c r="O24" s="155">
        <v>3</v>
      </c>
      <c r="P24" s="155">
        <v>1</v>
      </c>
      <c r="Q24" s="155"/>
      <c r="R24" s="154">
        <f t="shared" si="10"/>
        <v>0.13532110091743119</v>
      </c>
      <c r="S24" s="154">
        <f t="shared" si="11"/>
        <v>5.9322033898305086E-2</v>
      </c>
    </row>
    <row r="25" spans="1:23" s="168" customFormat="1">
      <c r="A25" s="6">
        <v>46142</v>
      </c>
      <c r="B25" s="50" t="s">
        <v>166</v>
      </c>
      <c r="C25" s="163" t="s">
        <v>487</v>
      </c>
      <c r="D25" s="164">
        <v>0.77083333333333337</v>
      </c>
      <c r="E25" s="65" t="s">
        <v>1021</v>
      </c>
      <c r="F25" s="100" t="s">
        <v>827</v>
      </c>
      <c r="G25" s="143" t="s">
        <v>1023</v>
      </c>
      <c r="H25" s="65" t="s">
        <v>829</v>
      </c>
      <c r="I25" s="163" t="s">
        <v>209</v>
      </c>
      <c r="J25" s="65" t="s">
        <v>830</v>
      </c>
      <c r="K25" s="31" t="s">
        <v>121</v>
      </c>
      <c r="L25" s="166">
        <v>431</v>
      </c>
      <c r="M25" s="166">
        <v>18</v>
      </c>
      <c r="N25" s="166">
        <v>11</v>
      </c>
      <c r="O25" s="166">
        <v>0</v>
      </c>
      <c r="P25" s="166">
        <v>0</v>
      </c>
      <c r="Q25" s="166"/>
      <c r="R25" s="167">
        <f t="shared" si="10"/>
        <v>4.1763341067285381E-2</v>
      </c>
      <c r="S25" s="167">
        <f t="shared" si="11"/>
        <v>0.61111111111111116</v>
      </c>
    </row>
    <row r="26" spans="1:23" s="147" customFormat="1" ht="16.8">
      <c r="A26" s="6">
        <v>46142</v>
      </c>
      <c r="B26" s="50" t="s">
        <v>166</v>
      </c>
      <c r="C26" s="142" t="s">
        <v>487</v>
      </c>
      <c r="D26" s="162">
        <v>0.78125</v>
      </c>
      <c r="E26" s="65" t="s">
        <v>1025</v>
      </c>
      <c r="F26" s="100" t="s">
        <v>827</v>
      </c>
      <c r="G26" s="143" t="s">
        <v>1026</v>
      </c>
      <c r="H26" s="100" t="s">
        <v>829</v>
      </c>
      <c r="I26" s="163" t="s">
        <v>209</v>
      </c>
      <c r="J26" s="100" t="s">
        <v>830</v>
      </c>
      <c r="K26" s="52" t="s">
        <v>210</v>
      </c>
      <c r="L26" s="155">
        <v>1079</v>
      </c>
      <c r="M26" s="155">
        <v>34</v>
      </c>
      <c r="N26" s="155">
        <v>13</v>
      </c>
      <c r="O26" s="155">
        <v>0</v>
      </c>
      <c r="P26" s="155">
        <v>0</v>
      </c>
      <c r="Q26" s="155"/>
      <c r="R26" s="154">
        <f t="shared" si="10"/>
        <v>3.1510658016682111E-2</v>
      </c>
      <c r="S26" s="154">
        <f t="shared" si="11"/>
        <v>0.38235294117647056</v>
      </c>
    </row>
    <row r="27" spans="1:23" ht="7.8" customHeight="1">
      <c r="A27" s="8"/>
      <c r="B27" s="9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58"/>
    </row>
    <row r="28" spans="1:23">
      <c r="A28" s="6">
        <v>46143</v>
      </c>
      <c r="B28" s="50" t="s">
        <v>206</v>
      </c>
      <c r="C28" s="142" t="s">
        <v>486</v>
      </c>
      <c r="D28" s="142"/>
      <c r="E28" s="65" t="s">
        <v>1136</v>
      </c>
      <c r="F28" s="100" t="s">
        <v>827</v>
      </c>
      <c r="G28" s="7" t="s">
        <v>828</v>
      </c>
      <c r="H28" s="100" t="s">
        <v>829</v>
      </c>
      <c r="I28" s="163">
        <v>3000</v>
      </c>
      <c r="J28" s="100" t="s">
        <v>830</v>
      </c>
      <c r="K28" s="143" t="s">
        <v>686</v>
      </c>
      <c r="L28" s="153">
        <v>2999</v>
      </c>
      <c r="M28" s="153">
        <v>2582</v>
      </c>
      <c r="N28" s="153">
        <v>1673</v>
      </c>
      <c r="O28" s="153">
        <v>0</v>
      </c>
      <c r="P28" s="153">
        <v>0</v>
      </c>
      <c r="Q28" s="153"/>
      <c r="R28" s="154">
        <f t="shared" ref="R28:R41" si="12">M28/L28</f>
        <v>0.86095365121707235</v>
      </c>
      <c r="S28" s="154">
        <f t="shared" ref="S28:S41" si="13">N28/M28</f>
        <v>0.64794732765298213</v>
      </c>
      <c r="U28" s="153"/>
      <c r="V28" s="153"/>
      <c r="W28" s="153"/>
    </row>
    <row r="29" spans="1:23">
      <c r="A29" s="6">
        <v>46143</v>
      </c>
      <c r="B29" s="50" t="s">
        <v>206</v>
      </c>
      <c r="C29" s="142" t="s">
        <v>486</v>
      </c>
      <c r="D29" s="142"/>
      <c r="E29" s="65" t="s">
        <v>1137</v>
      </c>
      <c r="F29" s="100" t="s">
        <v>827</v>
      </c>
      <c r="G29" s="7" t="s">
        <v>828</v>
      </c>
      <c r="H29" s="100" t="s">
        <v>829</v>
      </c>
      <c r="I29" s="163">
        <v>3000</v>
      </c>
      <c r="J29" s="100" t="s">
        <v>830</v>
      </c>
      <c r="K29" s="143" t="s">
        <v>686</v>
      </c>
      <c r="L29" s="153">
        <v>2999</v>
      </c>
      <c r="M29" s="153">
        <v>2582</v>
      </c>
      <c r="N29" s="153">
        <v>1698</v>
      </c>
      <c r="O29" s="153">
        <v>0</v>
      </c>
      <c r="P29" s="153">
        <v>0</v>
      </c>
      <c r="Q29" s="153"/>
      <c r="R29" s="154">
        <f t="shared" si="12"/>
        <v>0.86095365121707235</v>
      </c>
      <c r="S29" s="154">
        <f t="shared" si="13"/>
        <v>0.6576297443841983</v>
      </c>
      <c r="U29" s="153"/>
      <c r="V29" s="153"/>
      <c r="W29" s="153"/>
    </row>
    <row r="30" spans="1:23">
      <c r="A30" s="6">
        <v>46143</v>
      </c>
      <c r="B30" s="50" t="s">
        <v>206</v>
      </c>
      <c r="C30" s="142" t="s">
        <v>487</v>
      </c>
      <c r="D30" s="142"/>
      <c r="E30" s="65" t="s">
        <v>1138</v>
      </c>
      <c r="F30" s="100" t="s">
        <v>827</v>
      </c>
      <c r="G30" s="7" t="s">
        <v>828</v>
      </c>
      <c r="H30" s="100" t="s">
        <v>829</v>
      </c>
      <c r="I30" s="163">
        <v>500</v>
      </c>
      <c r="J30" s="100" t="s">
        <v>830</v>
      </c>
      <c r="K30" s="143" t="s">
        <v>891</v>
      </c>
      <c r="L30" s="153">
        <v>500</v>
      </c>
      <c r="M30" s="153">
        <v>462</v>
      </c>
      <c r="N30" s="153">
        <v>315</v>
      </c>
      <c r="O30" s="153">
        <v>0</v>
      </c>
      <c r="P30" s="153">
        <v>0</v>
      </c>
      <c r="Q30" s="153"/>
      <c r="R30" s="154">
        <f t="shared" si="12"/>
        <v>0.92400000000000004</v>
      </c>
      <c r="S30" s="154">
        <f t="shared" si="13"/>
        <v>0.68181818181818177</v>
      </c>
    </row>
    <row r="31" spans="1:23">
      <c r="A31" s="6">
        <v>46143</v>
      </c>
      <c r="B31" s="50" t="s">
        <v>206</v>
      </c>
      <c r="C31" s="142" t="s">
        <v>487</v>
      </c>
      <c r="D31" s="142"/>
      <c r="E31" s="65" t="s">
        <v>1139</v>
      </c>
      <c r="F31" s="100" t="s">
        <v>827</v>
      </c>
      <c r="G31" s="7" t="s">
        <v>828</v>
      </c>
      <c r="H31" s="100" t="s">
        <v>829</v>
      </c>
      <c r="I31" s="163">
        <v>500</v>
      </c>
      <c r="J31" s="100" t="s">
        <v>830</v>
      </c>
      <c r="K31" s="143" t="s">
        <v>891</v>
      </c>
      <c r="L31" s="153">
        <v>500</v>
      </c>
      <c r="M31" s="153">
        <v>463</v>
      </c>
      <c r="N31" s="153">
        <v>294</v>
      </c>
      <c r="O31" s="153">
        <v>0</v>
      </c>
      <c r="P31" s="153">
        <v>0</v>
      </c>
      <c r="Q31" s="153"/>
      <c r="R31" s="154">
        <f t="shared" si="12"/>
        <v>0.92600000000000005</v>
      </c>
      <c r="S31" s="154">
        <f t="shared" si="13"/>
        <v>0.63498920086393085</v>
      </c>
    </row>
    <row r="32" spans="1:23">
      <c r="A32" s="6">
        <v>46143</v>
      </c>
      <c r="B32" s="50" t="s">
        <v>206</v>
      </c>
      <c r="C32" s="142" t="s">
        <v>487</v>
      </c>
      <c r="D32" s="142"/>
      <c r="E32" s="65" t="s">
        <v>1140</v>
      </c>
      <c r="F32" s="100" t="s">
        <v>827</v>
      </c>
      <c r="G32" s="7" t="s">
        <v>828</v>
      </c>
      <c r="H32" s="100" t="s">
        <v>829</v>
      </c>
      <c r="I32" s="163">
        <v>500</v>
      </c>
      <c r="J32" s="100" t="s">
        <v>830</v>
      </c>
      <c r="K32" s="143" t="s">
        <v>891</v>
      </c>
      <c r="L32" s="153">
        <v>500</v>
      </c>
      <c r="M32" s="153">
        <v>464</v>
      </c>
      <c r="N32" s="153">
        <v>310</v>
      </c>
      <c r="O32" s="153">
        <v>0</v>
      </c>
      <c r="P32" s="153">
        <v>0</v>
      </c>
      <c r="Q32" s="153"/>
      <c r="R32" s="154">
        <f t="shared" ref="R32" si="14">M32/L32</f>
        <v>0.92800000000000005</v>
      </c>
      <c r="S32" s="154">
        <f t="shared" ref="S32" si="15">N32/M32</f>
        <v>0.6681034482758621</v>
      </c>
    </row>
    <row r="33" spans="1:24">
      <c r="A33" s="6">
        <v>46143</v>
      </c>
      <c r="B33" s="50" t="s">
        <v>206</v>
      </c>
      <c r="C33" s="142" t="s">
        <v>486</v>
      </c>
      <c r="D33" s="142" t="s">
        <v>893</v>
      </c>
      <c r="E33" s="160" t="s">
        <v>881</v>
      </c>
      <c r="F33" s="18" t="s">
        <v>827</v>
      </c>
      <c r="G33" s="18" t="s">
        <v>883</v>
      </c>
      <c r="H33" s="18" t="s">
        <v>829</v>
      </c>
      <c r="I33" s="161"/>
      <c r="J33" s="18" t="s">
        <v>867</v>
      </c>
      <c r="K33" s="157" t="s">
        <v>106</v>
      </c>
      <c r="L33" s="153">
        <v>504</v>
      </c>
      <c r="M33" s="153">
        <v>34</v>
      </c>
      <c r="N33" s="153">
        <v>2</v>
      </c>
      <c r="O33" s="153">
        <v>0</v>
      </c>
      <c r="P33" s="153">
        <v>0</v>
      </c>
      <c r="Q33" s="153"/>
      <c r="R33" s="154">
        <f t="shared" si="12"/>
        <v>6.7460317460317457E-2</v>
      </c>
      <c r="S33" s="154">
        <f t="shared" si="13"/>
        <v>5.8823529411764705E-2</v>
      </c>
    </row>
    <row r="34" spans="1:24">
      <c r="A34" s="6">
        <v>46143</v>
      </c>
      <c r="B34" s="50" t="s">
        <v>206</v>
      </c>
      <c r="C34" s="142" t="s">
        <v>487</v>
      </c>
      <c r="D34" s="142" t="s">
        <v>893</v>
      </c>
      <c r="E34" s="160" t="s">
        <v>882</v>
      </c>
      <c r="F34" s="18" t="s">
        <v>827</v>
      </c>
      <c r="G34" s="18" t="s">
        <v>883</v>
      </c>
      <c r="H34" s="18" t="s">
        <v>829</v>
      </c>
      <c r="I34" s="161"/>
      <c r="J34" s="18" t="s">
        <v>867</v>
      </c>
      <c r="K34" s="18" t="s">
        <v>186</v>
      </c>
      <c r="L34" s="153">
        <v>1068</v>
      </c>
      <c r="M34" s="153">
        <v>8</v>
      </c>
      <c r="N34" s="153">
        <v>4</v>
      </c>
      <c r="O34" s="153">
        <v>0</v>
      </c>
      <c r="P34" s="153">
        <v>3</v>
      </c>
      <c r="Q34" s="153"/>
      <c r="R34" s="154">
        <f t="shared" si="12"/>
        <v>7.4906367041198503E-3</v>
      </c>
      <c r="S34" s="154">
        <f t="shared" si="13"/>
        <v>0.5</v>
      </c>
    </row>
    <row r="35" spans="1:24">
      <c r="A35" s="6">
        <v>46143</v>
      </c>
      <c r="B35" s="50" t="s">
        <v>206</v>
      </c>
      <c r="C35" s="142" t="s">
        <v>486</v>
      </c>
      <c r="D35" s="142" t="s">
        <v>1141</v>
      </c>
      <c r="E35" s="160" t="s">
        <v>1147</v>
      </c>
      <c r="F35" s="18" t="s">
        <v>827</v>
      </c>
      <c r="G35" s="18" t="s">
        <v>1148</v>
      </c>
      <c r="H35" s="18" t="s">
        <v>829</v>
      </c>
      <c r="I35" s="161"/>
      <c r="J35" s="18" t="s">
        <v>867</v>
      </c>
      <c r="K35" s="18" t="s">
        <v>1047</v>
      </c>
      <c r="L35" s="153">
        <v>2967</v>
      </c>
      <c r="M35" s="153">
        <v>74</v>
      </c>
      <c r="N35" s="153">
        <v>17</v>
      </c>
      <c r="O35" s="153">
        <v>3</v>
      </c>
      <c r="P35" s="153">
        <v>5</v>
      </c>
      <c r="Q35" s="153"/>
      <c r="R35" s="154">
        <f t="shared" ref="R35:R36" si="16">M35/L35</f>
        <v>2.4941017863161441E-2</v>
      </c>
      <c r="S35" s="154">
        <f t="shared" ref="S35:S36" si="17">N35/M35</f>
        <v>0.22972972972972974</v>
      </c>
    </row>
    <row r="36" spans="1:24">
      <c r="A36" s="6">
        <v>46143</v>
      </c>
      <c r="B36" s="50" t="s">
        <v>206</v>
      </c>
      <c r="C36" s="142" t="s">
        <v>487</v>
      </c>
      <c r="D36" s="142" t="s">
        <v>1141</v>
      </c>
      <c r="E36" s="160" t="s">
        <v>1149</v>
      </c>
      <c r="F36" s="18" t="s">
        <v>827</v>
      </c>
      <c r="G36" s="18" t="s">
        <v>1148</v>
      </c>
      <c r="H36" s="18" t="s">
        <v>829</v>
      </c>
      <c r="I36" s="161"/>
      <c r="J36" s="18" t="s">
        <v>867</v>
      </c>
      <c r="K36" s="18" t="s">
        <v>1049</v>
      </c>
      <c r="L36" s="153">
        <v>573</v>
      </c>
      <c r="M36" s="153">
        <v>6</v>
      </c>
      <c r="N36" s="153">
        <v>2</v>
      </c>
      <c r="O36" s="153">
        <v>0</v>
      </c>
      <c r="P36" s="153">
        <v>0</v>
      </c>
      <c r="Q36" s="153"/>
      <c r="R36" s="154">
        <f t="shared" si="16"/>
        <v>1.0471204188481676E-2</v>
      </c>
      <c r="S36" s="154">
        <f t="shared" si="17"/>
        <v>0.33333333333333331</v>
      </c>
    </row>
    <row r="37" spans="1:24" s="147" customFormat="1">
      <c r="A37" s="6">
        <v>46143</v>
      </c>
      <c r="B37" s="50" t="s">
        <v>206</v>
      </c>
      <c r="C37" s="142" t="s">
        <v>486</v>
      </c>
      <c r="D37" s="162">
        <v>0.70486111111111116</v>
      </c>
      <c r="E37" s="65" t="s">
        <v>1146</v>
      </c>
      <c r="F37" s="100" t="s">
        <v>827</v>
      </c>
      <c r="G37" s="143" t="s">
        <v>866</v>
      </c>
      <c r="H37" s="100" t="s">
        <v>829</v>
      </c>
      <c r="I37" s="142"/>
      <c r="J37" s="100" t="s">
        <v>830</v>
      </c>
      <c r="K37" s="7" t="s">
        <v>149</v>
      </c>
      <c r="L37" s="155">
        <v>737</v>
      </c>
      <c r="M37" s="155">
        <v>162</v>
      </c>
      <c r="N37" s="155">
        <v>29</v>
      </c>
      <c r="O37" s="155">
        <v>4</v>
      </c>
      <c r="P37" s="155">
        <v>0</v>
      </c>
      <c r="Q37" s="155"/>
      <c r="R37" s="154">
        <f t="shared" si="12"/>
        <v>0.21981004070556309</v>
      </c>
      <c r="S37" s="154">
        <f t="shared" si="13"/>
        <v>0.17901234567901234</v>
      </c>
    </row>
    <row r="38" spans="1:24" s="147" customFormat="1" ht="16.8">
      <c r="A38" s="6">
        <v>46143</v>
      </c>
      <c r="B38" s="50" t="s">
        <v>206</v>
      </c>
      <c r="C38" s="142" t="s">
        <v>486</v>
      </c>
      <c r="D38" s="162">
        <v>0.75</v>
      </c>
      <c r="E38" s="65" t="s">
        <v>1142</v>
      </c>
      <c r="F38" s="100" t="s">
        <v>827</v>
      </c>
      <c r="G38" s="143" t="s">
        <v>885</v>
      </c>
      <c r="H38" s="100" t="s">
        <v>829</v>
      </c>
      <c r="I38" s="142"/>
      <c r="J38" s="100" t="s">
        <v>830</v>
      </c>
      <c r="K38" s="52" t="s">
        <v>420</v>
      </c>
      <c r="L38" s="155">
        <v>391</v>
      </c>
      <c r="M38" s="155">
        <v>80</v>
      </c>
      <c r="N38" s="155">
        <v>14</v>
      </c>
      <c r="O38" s="155">
        <v>0</v>
      </c>
      <c r="P38" s="155">
        <v>0</v>
      </c>
      <c r="Q38" s="155"/>
      <c r="R38" s="154">
        <f t="shared" si="12"/>
        <v>0.20460358056265984</v>
      </c>
      <c r="S38" s="154">
        <f t="shared" si="13"/>
        <v>0.17499999999999999</v>
      </c>
    </row>
    <row r="39" spans="1:24" s="147" customFormat="1" ht="16.8">
      <c r="A39" s="6">
        <v>46143</v>
      </c>
      <c r="B39" s="50" t="s">
        <v>206</v>
      </c>
      <c r="C39" s="142" t="s">
        <v>486</v>
      </c>
      <c r="D39" s="162">
        <v>0.76041666666666663</v>
      </c>
      <c r="E39" s="65" t="s">
        <v>1143</v>
      </c>
      <c r="F39" s="100" t="s">
        <v>827</v>
      </c>
      <c r="G39" s="143" t="s">
        <v>887</v>
      </c>
      <c r="H39" s="100" t="s">
        <v>829</v>
      </c>
      <c r="I39" s="142"/>
      <c r="J39" s="100" t="s">
        <v>830</v>
      </c>
      <c r="K39" s="52" t="s">
        <v>157</v>
      </c>
      <c r="L39" s="155">
        <v>1555</v>
      </c>
      <c r="M39" s="155">
        <v>63</v>
      </c>
      <c r="N39" s="155">
        <v>11</v>
      </c>
      <c r="O39" s="155">
        <v>3</v>
      </c>
      <c r="P39" s="155">
        <v>1</v>
      </c>
      <c r="Q39" s="155"/>
      <c r="R39" s="154">
        <f t="shared" si="12"/>
        <v>4.0514469453376209E-2</v>
      </c>
      <c r="S39" s="154">
        <f t="shared" si="13"/>
        <v>0.17460317460317459</v>
      </c>
    </row>
    <row r="40" spans="1:24" s="168" customFormat="1">
      <c r="A40" s="6">
        <v>46143</v>
      </c>
      <c r="B40" s="50" t="s">
        <v>206</v>
      </c>
      <c r="C40" s="163" t="s">
        <v>487</v>
      </c>
      <c r="D40" s="164">
        <v>0.77083333333333337</v>
      </c>
      <c r="E40" s="65" t="s">
        <v>1144</v>
      </c>
      <c r="F40" s="65" t="s">
        <v>827</v>
      </c>
      <c r="G40" s="165" t="s">
        <v>885</v>
      </c>
      <c r="H40" s="65" t="s">
        <v>829</v>
      </c>
      <c r="I40" s="163"/>
      <c r="J40" s="65" t="s">
        <v>830</v>
      </c>
      <c r="K40" s="31" t="s">
        <v>121</v>
      </c>
      <c r="L40" s="166">
        <v>885</v>
      </c>
      <c r="M40" s="166">
        <v>322</v>
      </c>
      <c r="N40" s="166">
        <v>211</v>
      </c>
      <c r="O40" s="166">
        <v>0</v>
      </c>
      <c r="P40" s="166">
        <v>0</v>
      </c>
      <c r="Q40" s="166"/>
      <c r="R40" s="167">
        <f t="shared" si="12"/>
        <v>0.36384180790960452</v>
      </c>
      <c r="S40" s="167">
        <f t="shared" si="13"/>
        <v>0.65527950310559002</v>
      </c>
    </row>
    <row r="41" spans="1:24" s="147" customFormat="1" ht="16.8">
      <c r="A41" s="6">
        <v>46143</v>
      </c>
      <c r="B41" s="50" t="s">
        <v>206</v>
      </c>
      <c r="C41" s="142" t="s">
        <v>487</v>
      </c>
      <c r="D41" s="162">
        <v>0.78125</v>
      </c>
      <c r="E41" s="65" t="s">
        <v>1145</v>
      </c>
      <c r="F41" s="100" t="s">
        <v>827</v>
      </c>
      <c r="G41" s="143" t="s">
        <v>887</v>
      </c>
      <c r="H41" s="100" t="s">
        <v>829</v>
      </c>
      <c r="I41" s="163"/>
      <c r="J41" s="100" t="s">
        <v>830</v>
      </c>
      <c r="K41" s="52" t="s">
        <v>210</v>
      </c>
      <c r="L41" s="155">
        <v>1683</v>
      </c>
      <c r="M41" s="155">
        <v>474</v>
      </c>
      <c r="N41" s="155">
        <v>323</v>
      </c>
      <c r="O41" s="155">
        <v>1</v>
      </c>
      <c r="P41" s="155">
        <v>0</v>
      </c>
      <c r="Q41" s="155"/>
      <c r="R41" s="154">
        <f t="shared" si="12"/>
        <v>0.28163992869875221</v>
      </c>
      <c r="S41" s="154">
        <f t="shared" si="13"/>
        <v>0.68143459915611815</v>
      </c>
    </row>
    <row r="42" spans="1:24" ht="7.8" customHeight="1">
      <c r="A42" s="8"/>
      <c r="B42" s="9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58"/>
    </row>
    <row r="43" spans="1:24">
      <c r="A43" s="6">
        <v>46144</v>
      </c>
      <c r="B43" s="50" t="s">
        <v>26</v>
      </c>
      <c r="C43" s="142" t="s">
        <v>486</v>
      </c>
      <c r="D43" s="142"/>
      <c r="E43" s="100" t="s">
        <v>1187</v>
      </c>
      <c r="F43" s="100" t="s">
        <v>827</v>
      </c>
      <c r="G43" s="7" t="s">
        <v>828</v>
      </c>
      <c r="H43" s="100" t="s">
        <v>829</v>
      </c>
      <c r="I43" s="163">
        <v>3000</v>
      </c>
      <c r="J43" s="100" t="s">
        <v>830</v>
      </c>
      <c r="K43" s="143" t="s">
        <v>686</v>
      </c>
      <c r="L43" s="153">
        <v>2999</v>
      </c>
      <c r="M43" s="153">
        <v>2729</v>
      </c>
      <c r="N43" s="153">
        <v>1667</v>
      </c>
      <c r="O43" s="153">
        <v>0</v>
      </c>
      <c r="P43" s="153">
        <v>0</v>
      </c>
      <c r="Q43" s="153"/>
      <c r="R43" s="154">
        <f t="shared" ref="R43:R57" si="18">M43/L43</f>
        <v>0.90996998999666556</v>
      </c>
      <c r="S43" s="154">
        <f t="shared" ref="S43:S57" si="19">N43/M43</f>
        <v>0.61084646390619279</v>
      </c>
    </row>
    <row r="44" spans="1:24">
      <c r="A44" s="6">
        <v>46144</v>
      </c>
      <c r="B44" s="50" t="s">
        <v>26</v>
      </c>
      <c r="C44" s="142" t="s">
        <v>486</v>
      </c>
      <c r="D44" s="142"/>
      <c r="E44" s="100" t="s">
        <v>1188</v>
      </c>
      <c r="F44" s="100" t="s">
        <v>827</v>
      </c>
      <c r="G44" s="7" t="s">
        <v>828</v>
      </c>
      <c r="H44" s="100" t="s">
        <v>829</v>
      </c>
      <c r="I44" s="163">
        <v>3000</v>
      </c>
      <c r="J44" s="100" t="s">
        <v>830</v>
      </c>
      <c r="K44" s="143" t="s">
        <v>686</v>
      </c>
      <c r="L44" s="153">
        <v>2999</v>
      </c>
      <c r="M44" s="153">
        <v>2731</v>
      </c>
      <c r="N44" s="153">
        <v>1852</v>
      </c>
      <c r="O44" s="153">
        <v>0</v>
      </c>
      <c r="P44" s="153">
        <v>0</v>
      </c>
      <c r="Q44" s="153"/>
      <c r="R44" s="154">
        <f t="shared" si="18"/>
        <v>0.91063687895965317</v>
      </c>
      <c r="S44" s="154">
        <f t="shared" si="19"/>
        <v>0.67813987550347854</v>
      </c>
    </row>
    <row r="45" spans="1:24">
      <c r="A45" s="6">
        <v>46144</v>
      </c>
      <c r="B45" s="50" t="s">
        <v>26</v>
      </c>
      <c r="C45" s="142" t="s">
        <v>487</v>
      </c>
      <c r="D45" s="142"/>
      <c r="E45" s="100" t="s">
        <v>1189</v>
      </c>
      <c r="F45" s="100" t="s">
        <v>827</v>
      </c>
      <c r="G45" s="7" t="s">
        <v>828</v>
      </c>
      <c r="H45" s="100" t="s">
        <v>829</v>
      </c>
      <c r="I45" s="163">
        <v>500</v>
      </c>
      <c r="J45" s="100" t="s">
        <v>830</v>
      </c>
      <c r="K45" s="143" t="s">
        <v>891</v>
      </c>
      <c r="L45" s="153">
        <v>424</v>
      </c>
      <c r="M45" s="153">
        <v>386</v>
      </c>
      <c r="N45" s="153">
        <v>262</v>
      </c>
      <c r="O45" s="153">
        <v>0</v>
      </c>
      <c r="P45" s="153">
        <v>0</v>
      </c>
      <c r="Q45" s="153"/>
      <c r="R45" s="154">
        <f t="shared" si="18"/>
        <v>0.910377358490566</v>
      </c>
      <c r="S45" s="154">
        <f t="shared" si="19"/>
        <v>0.67875647668393779</v>
      </c>
    </row>
    <row r="46" spans="1:24">
      <c r="A46" s="6">
        <v>46144</v>
      </c>
      <c r="B46" s="50" t="s">
        <v>26</v>
      </c>
      <c r="C46" s="142" t="s">
        <v>487</v>
      </c>
      <c r="D46" s="142"/>
      <c r="E46" s="100" t="s">
        <v>1190</v>
      </c>
      <c r="F46" s="100" t="s">
        <v>827</v>
      </c>
      <c r="G46" s="7" t="s">
        <v>828</v>
      </c>
      <c r="H46" s="100" t="s">
        <v>829</v>
      </c>
      <c r="I46" s="163">
        <v>500</v>
      </c>
      <c r="J46" s="100" t="s">
        <v>830</v>
      </c>
      <c r="K46" s="143" t="s">
        <v>891</v>
      </c>
      <c r="L46" s="153">
        <v>424</v>
      </c>
      <c r="M46" s="153">
        <v>386</v>
      </c>
      <c r="N46" s="153">
        <v>261</v>
      </c>
      <c r="O46" s="153">
        <v>0</v>
      </c>
      <c r="P46" s="153">
        <v>0</v>
      </c>
      <c r="Q46" s="153"/>
      <c r="R46" s="154">
        <f t="shared" si="18"/>
        <v>0.910377358490566</v>
      </c>
      <c r="S46" s="154">
        <f t="shared" si="19"/>
        <v>0.67616580310880825</v>
      </c>
      <c r="V46" s="153">
        <v>1034</v>
      </c>
      <c r="W46" s="153">
        <v>4</v>
      </c>
      <c r="X46" s="153">
        <v>1</v>
      </c>
    </row>
    <row r="47" spans="1:24">
      <c r="A47" s="6">
        <v>46144</v>
      </c>
      <c r="B47" s="50" t="s">
        <v>26</v>
      </c>
      <c r="C47" s="142" t="s">
        <v>487</v>
      </c>
      <c r="D47" s="142"/>
      <c r="E47" s="100" t="s">
        <v>1191</v>
      </c>
      <c r="F47" s="100" t="s">
        <v>827</v>
      </c>
      <c r="G47" s="7" t="s">
        <v>828</v>
      </c>
      <c r="H47" s="100" t="s">
        <v>829</v>
      </c>
      <c r="I47" s="163">
        <v>500</v>
      </c>
      <c r="J47" s="100" t="s">
        <v>830</v>
      </c>
      <c r="K47" s="143" t="s">
        <v>891</v>
      </c>
      <c r="L47" s="153">
        <v>424</v>
      </c>
      <c r="M47" s="153">
        <v>386</v>
      </c>
      <c r="N47" s="153">
        <v>249</v>
      </c>
      <c r="O47" s="153">
        <v>0</v>
      </c>
      <c r="P47" s="153">
        <v>0</v>
      </c>
      <c r="Q47" s="153"/>
      <c r="R47" s="154">
        <f t="shared" si="18"/>
        <v>0.910377358490566</v>
      </c>
      <c r="S47" s="154">
        <f t="shared" si="19"/>
        <v>0.64507772020725385</v>
      </c>
      <c r="V47" s="153">
        <v>577</v>
      </c>
      <c r="W47" s="153">
        <v>10</v>
      </c>
      <c r="X47" s="153">
        <v>6</v>
      </c>
    </row>
    <row r="48" spans="1:24">
      <c r="A48" s="6">
        <v>46144</v>
      </c>
      <c r="B48" s="50" t="s">
        <v>26</v>
      </c>
      <c r="C48" s="142" t="s">
        <v>487</v>
      </c>
      <c r="D48" s="142"/>
      <c r="E48" s="100" t="s">
        <v>1192</v>
      </c>
      <c r="F48" s="100" t="s">
        <v>827</v>
      </c>
      <c r="G48" s="7" t="s">
        <v>828</v>
      </c>
      <c r="H48" s="100" t="s">
        <v>829</v>
      </c>
      <c r="I48" s="163">
        <v>500</v>
      </c>
      <c r="J48" s="100" t="s">
        <v>830</v>
      </c>
      <c r="K48" s="143" t="s">
        <v>891</v>
      </c>
      <c r="L48" s="153">
        <v>424</v>
      </c>
      <c r="M48" s="153">
        <v>387</v>
      </c>
      <c r="N48" s="153">
        <v>256</v>
      </c>
      <c r="O48" s="153">
        <v>0</v>
      </c>
      <c r="P48" s="153">
        <v>0</v>
      </c>
      <c r="Q48" s="153"/>
      <c r="R48" s="154">
        <f t="shared" ref="R48" si="20">M48/L48</f>
        <v>0.91273584905660377</v>
      </c>
      <c r="S48" s="154">
        <f t="shared" ref="S48" si="21">N48/M48</f>
        <v>0.66149870801033595</v>
      </c>
      <c r="V48" s="166">
        <v>1038</v>
      </c>
      <c r="W48" s="166">
        <v>513</v>
      </c>
      <c r="X48" s="166">
        <v>310</v>
      </c>
    </row>
    <row r="49" spans="1:28">
      <c r="A49" s="6">
        <v>46144</v>
      </c>
      <c r="B49" s="50" t="s">
        <v>26</v>
      </c>
      <c r="C49" s="142" t="s">
        <v>486</v>
      </c>
      <c r="D49" s="142" t="s">
        <v>893</v>
      </c>
      <c r="E49" s="160" t="s">
        <v>881</v>
      </c>
      <c r="F49" s="18" t="s">
        <v>827</v>
      </c>
      <c r="G49" s="18" t="s">
        <v>883</v>
      </c>
      <c r="H49" s="18" t="s">
        <v>829</v>
      </c>
      <c r="I49" s="161"/>
      <c r="J49" s="18" t="s">
        <v>867</v>
      </c>
      <c r="K49" s="157" t="s">
        <v>106</v>
      </c>
      <c r="L49" s="153">
        <v>475</v>
      </c>
      <c r="M49" s="153">
        <v>15</v>
      </c>
      <c r="N49" s="153">
        <v>0</v>
      </c>
      <c r="O49" s="153">
        <v>0</v>
      </c>
      <c r="P49" s="153">
        <v>3</v>
      </c>
      <c r="Q49" s="153"/>
      <c r="R49" s="154">
        <f t="shared" si="18"/>
        <v>3.1578947368421054E-2</v>
      </c>
      <c r="S49" s="154">
        <f t="shared" si="19"/>
        <v>0</v>
      </c>
      <c r="V49" s="155">
        <v>1749</v>
      </c>
      <c r="W49" s="155">
        <v>520</v>
      </c>
      <c r="X49" s="155">
        <v>338</v>
      </c>
    </row>
    <row r="50" spans="1:28">
      <c r="A50" s="6">
        <v>46144</v>
      </c>
      <c r="B50" s="50" t="s">
        <v>26</v>
      </c>
      <c r="C50" s="142" t="s">
        <v>487</v>
      </c>
      <c r="D50" s="142" t="s">
        <v>893</v>
      </c>
      <c r="E50" s="160" t="s">
        <v>882</v>
      </c>
      <c r="F50" s="18" t="s">
        <v>827</v>
      </c>
      <c r="G50" s="18" t="s">
        <v>883</v>
      </c>
      <c r="H50" s="18" t="s">
        <v>829</v>
      </c>
      <c r="I50" s="161"/>
      <c r="J50" s="18" t="s">
        <v>867</v>
      </c>
      <c r="K50" s="18" t="s">
        <v>186</v>
      </c>
      <c r="L50" s="153">
        <v>1034</v>
      </c>
      <c r="M50" s="153">
        <v>4</v>
      </c>
      <c r="N50" s="153">
        <v>1</v>
      </c>
      <c r="O50" s="153">
        <v>0</v>
      </c>
      <c r="P50" s="153">
        <v>2</v>
      </c>
      <c r="Q50" s="153"/>
      <c r="R50" s="154">
        <f t="shared" si="18"/>
        <v>3.8684719535783366E-3</v>
      </c>
      <c r="S50" s="154">
        <f t="shared" si="19"/>
        <v>0.25</v>
      </c>
      <c r="V50" s="155">
        <v>3996</v>
      </c>
      <c r="W50" s="155">
        <v>1037</v>
      </c>
      <c r="X50" s="155">
        <v>668</v>
      </c>
    </row>
    <row r="51" spans="1:28">
      <c r="A51" s="6">
        <v>46144</v>
      </c>
      <c r="B51" s="50" t="s">
        <v>26</v>
      </c>
      <c r="C51" s="142" t="s">
        <v>486</v>
      </c>
      <c r="D51" s="142" t="s">
        <v>1141</v>
      </c>
      <c r="E51" s="160" t="s">
        <v>1147</v>
      </c>
      <c r="F51" s="18" t="s">
        <v>827</v>
      </c>
      <c r="G51" s="18" t="s">
        <v>1148</v>
      </c>
      <c r="H51" s="18" t="s">
        <v>829</v>
      </c>
      <c r="I51" s="161"/>
      <c r="J51" s="18" t="s">
        <v>867</v>
      </c>
      <c r="K51" s="18" t="s">
        <v>1047</v>
      </c>
      <c r="L51" s="153">
        <v>3173</v>
      </c>
      <c r="M51" s="153">
        <v>67</v>
      </c>
      <c r="N51" s="153">
        <v>12</v>
      </c>
      <c r="O51" s="153">
        <v>4</v>
      </c>
      <c r="P51" s="153">
        <v>11</v>
      </c>
      <c r="Q51" s="153"/>
      <c r="R51" s="154">
        <f t="shared" si="18"/>
        <v>2.1115663410022061E-2</v>
      </c>
      <c r="S51" s="154">
        <f t="shared" si="19"/>
        <v>0.17910447761194029</v>
      </c>
      <c r="V51">
        <v>4389</v>
      </c>
      <c r="W51">
        <v>1041</v>
      </c>
      <c r="X51">
        <v>694</v>
      </c>
    </row>
    <row r="52" spans="1:28">
      <c r="A52" s="6">
        <v>46144</v>
      </c>
      <c r="B52" s="50" t="s">
        <v>26</v>
      </c>
      <c r="C52" s="142" t="s">
        <v>487</v>
      </c>
      <c r="D52" s="142" t="s">
        <v>1141</v>
      </c>
      <c r="E52" s="160" t="s">
        <v>1149</v>
      </c>
      <c r="F52" s="18" t="s">
        <v>827</v>
      </c>
      <c r="G52" s="18" t="s">
        <v>1148</v>
      </c>
      <c r="H52" s="18" t="s">
        <v>829</v>
      </c>
      <c r="I52" s="161"/>
      <c r="J52" s="18" t="s">
        <v>867</v>
      </c>
      <c r="K52" s="18" t="s">
        <v>1049</v>
      </c>
      <c r="L52" s="153">
        <v>577</v>
      </c>
      <c r="M52" s="153">
        <v>10</v>
      </c>
      <c r="N52" s="153">
        <v>6</v>
      </c>
      <c r="O52" s="153">
        <v>3</v>
      </c>
      <c r="P52" s="153">
        <v>2</v>
      </c>
      <c r="Q52" s="153"/>
      <c r="R52" s="154">
        <f t="shared" si="18"/>
        <v>1.7331022530329289E-2</v>
      </c>
      <c r="S52" s="154">
        <f t="shared" si="19"/>
        <v>0.6</v>
      </c>
      <c r="V52">
        <v>3984</v>
      </c>
      <c r="W52">
        <v>1051</v>
      </c>
      <c r="X52">
        <v>664</v>
      </c>
    </row>
    <row r="53" spans="1:28" s="147" customFormat="1">
      <c r="A53" s="6">
        <v>46144</v>
      </c>
      <c r="B53" s="50" t="s">
        <v>26</v>
      </c>
      <c r="C53" s="142" t="s">
        <v>486</v>
      </c>
      <c r="D53" s="162">
        <v>0.69791666666666663</v>
      </c>
      <c r="E53" s="65" t="s">
        <v>1193</v>
      </c>
      <c r="F53" s="100" t="s">
        <v>827</v>
      </c>
      <c r="G53" s="143" t="s">
        <v>1023</v>
      </c>
      <c r="H53" s="100" t="s">
        <v>829</v>
      </c>
      <c r="I53" s="142"/>
      <c r="J53" s="100" t="s">
        <v>830</v>
      </c>
      <c r="K53" s="7" t="s">
        <v>149</v>
      </c>
      <c r="L53" s="155">
        <v>1048</v>
      </c>
      <c r="M53" s="155">
        <v>212</v>
      </c>
      <c r="N53" s="155">
        <v>36</v>
      </c>
      <c r="O53" s="155">
        <v>5</v>
      </c>
      <c r="P53" s="155">
        <v>0</v>
      </c>
      <c r="Q53" s="155"/>
      <c r="R53" s="154">
        <f t="shared" si="18"/>
        <v>0.20229007633587787</v>
      </c>
      <c r="S53" s="154">
        <f t="shared" si="19"/>
        <v>0.16981132075471697</v>
      </c>
      <c r="V53" s="147">
        <v>6559</v>
      </c>
      <c r="W53" s="147">
        <v>1204</v>
      </c>
      <c r="X53" s="147">
        <v>880</v>
      </c>
    </row>
    <row r="54" spans="1:28" s="147" customFormat="1" ht="16.8">
      <c r="A54" s="6">
        <v>46144</v>
      </c>
      <c r="B54" s="50" t="s">
        <v>26</v>
      </c>
      <c r="C54" s="142" t="s">
        <v>486</v>
      </c>
      <c r="D54" s="162">
        <v>0.75</v>
      </c>
      <c r="E54" s="65" t="s">
        <v>1194</v>
      </c>
      <c r="F54" s="100" t="s">
        <v>827</v>
      </c>
      <c r="G54" s="143" t="s">
        <v>1024</v>
      </c>
      <c r="H54" s="100" t="s">
        <v>829</v>
      </c>
      <c r="I54" s="142"/>
      <c r="J54" s="100" t="s">
        <v>830</v>
      </c>
      <c r="K54" s="52" t="s">
        <v>420</v>
      </c>
      <c r="L54" s="155">
        <v>417</v>
      </c>
      <c r="M54" s="155">
        <v>41</v>
      </c>
      <c r="N54" s="155">
        <v>4</v>
      </c>
      <c r="O54" s="155">
        <v>0</v>
      </c>
      <c r="P54" s="155">
        <v>0</v>
      </c>
      <c r="Q54" s="155"/>
      <c r="R54" s="154">
        <f t="shared" si="18"/>
        <v>9.8321342925659472E-2</v>
      </c>
      <c r="S54" s="154">
        <f t="shared" si="19"/>
        <v>9.7560975609756101E-2</v>
      </c>
      <c r="V54" s="147">
        <v>7031</v>
      </c>
      <c r="W54" s="147">
        <v>1565</v>
      </c>
      <c r="X54" s="147">
        <v>1185</v>
      </c>
    </row>
    <row r="55" spans="1:28" s="147" customFormat="1" ht="16.8">
      <c r="A55" s="6">
        <v>46144</v>
      </c>
      <c r="B55" s="50" t="s">
        <v>26</v>
      </c>
      <c r="C55" s="142" t="s">
        <v>486</v>
      </c>
      <c r="D55" s="162">
        <v>0.76041666666666663</v>
      </c>
      <c r="E55" s="65" t="s">
        <v>1195</v>
      </c>
      <c r="F55" s="100" t="s">
        <v>827</v>
      </c>
      <c r="G55" s="143" t="s">
        <v>1026</v>
      </c>
      <c r="H55" s="100" t="s">
        <v>829</v>
      </c>
      <c r="I55" s="142"/>
      <c r="J55" s="100" t="s">
        <v>830</v>
      </c>
      <c r="K55" s="52" t="s">
        <v>157</v>
      </c>
      <c r="L55" s="155">
        <v>2007</v>
      </c>
      <c r="M55" s="155">
        <v>235</v>
      </c>
      <c r="N55" s="155">
        <v>31</v>
      </c>
      <c r="O55" s="155">
        <v>6</v>
      </c>
      <c r="P55" s="155">
        <v>0</v>
      </c>
      <c r="Q55" s="155"/>
      <c r="R55" s="154">
        <f t="shared" si="18"/>
        <v>0.11709018435475835</v>
      </c>
      <c r="S55" s="154">
        <f t="shared" si="19"/>
        <v>0.13191489361702127</v>
      </c>
      <c r="V55" s="147">
        <f>SUM(V46:V54)</f>
        <v>30357</v>
      </c>
      <c r="W55" s="147">
        <f>SUM(W46:W54)</f>
        <v>6945</v>
      </c>
      <c r="X55" s="147">
        <f>SUM(X46:X54)</f>
        <v>4746</v>
      </c>
    </row>
    <row r="56" spans="1:28" s="168" customFormat="1">
      <c r="A56" s="6">
        <v>46144</v>
      </c>
      <c r="B56" s="50" t="s">
        <v>26</v>
      </c>
      <c r="C56" s="163" t="s">
        <v>487</v>
      </c>
      <c r="D56" s="164">
        <v>0.77083333333333337</v>
      </c>
      <c r="E56" s="65" t="s">
        <v>1196</v>
      </c>
      <c r="F56" s="100" t="s">
        <v>827</v>
      </c>
      <c r="G56" s="143" t="s">
        <v>1023</v>
      </c>
      <c r="H56" s="65" t="s">
        <v>829</v>
      </c>
      <c r="I56" s="163"/>
      <c r="J56" s="65" t="s">
        <v>830</v>
      </c>
      <c r="K56" s="31" t="s">
        <v>121</v>
      </c>
      <c r="L56" s="166">
        <v>1038</v>
      </c>
      <c r="M56" s="166">
        <v>513</v>
      </c>
      <c r="N56" s="166">
        <v>310</v>
      </c>
      <c r="O56" s="166">
        <v>0</v>
      </c>
      <c r="P56" s="166">
        <v>0</v>
      </c>
      <c r="Q56" s="166"/>
      <c r="R56" s="167">
        <f t="shared" si="18"/>
        <v>0.49421965317919075</v>
      </c>
      <c r="S56" s="167">
        <f t="shared" si="19"/>
        <v>0.6042884990253411</v>
      </c>
    </row>
    <row r="57" spans="1:28" s="147" customFormat="1" ht="16.8">
      <c r="A57" s="6">
        <v>46144</v>
      </c>
      <c r="B57" s="50" t="s">
        <v>26</v>
      </c>
      <c r="C57" s="142" t="s">
        <v>487</v>
      </c>
      <c r="D57" s="162">
        <v>0.78125</v>
      </c>
      <c r="E57" s="65" t="s">
        <v>1197</v>
      </c>
      <c r="F57" s="100" t="s">
        <v>827</v>
      </c>
      <c r="G57" s="143" t="s">
        <v>1026</v>
      </c>
      <c r="H57" s="100" t="s">
        <v>829</v>
      </c>
      <c r="I57" s="163"/>
      <c r="J57" s="100" t="s">
        <v>830</v>
      </c>
      <c r="K57" s="52" t="s">
        <v>210</v>
      </c>
      <c r="L57" s="155">
        <v>1749</v>
      </c>
      <c r="M57" s="155">
        <v>520</v>
      </c>
      <c r="N57" s="155">
        <v>338</v>
      </c>
      <c r="O57" s="155">
        <v>0</v>
      </c>
      <c r="P57" s="155">
        <v>0</v>
      </c>
      <c r="Q57" s="155"/>
      <c r="R57" s="154">
        <f t="shared" si="18"/>
        <v>0.29731275014293884</v>
      </c>
      <c r="S57" s="154">
        <f t="shared" si="19"/>
        <v>0.65</v>
      </c>
    </row>
    <row r="58" spans="1:28" ht="7.8" customHeight="1">
      <c r="A58" s="8"/>
      <c r="B58" s="9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58"/>
    </row>
    <row r="59" spans="1:28">
      <c r="A59" s="6">
        <v>46145</v>
      </c>
      <c r="B59" s="50" t="s">
        <v>33</v>
      </c>
      <c r="C59" s="142" t="s">
        <v>486</v>
      </c>
      <c r="D59" s="142"/>
      <c r="E59" s="65" t="s">
        <v>1228</v>
      </c>
      <c r="F59" s="100" t="s">
        <v>827</v>
      </c>
      <c r="G59" s="7" t="s">
        <v>828</v>
      </c>
      <c r="H59" s="100" t="s">
        <v>829</v>
      </c>
      <c r="I59" s="163">
        <v>3000</v>
      </c>
      <c r="J59" s="100" t="s">
        <v>830</v>
      </c>
      <c r="K59" s="143" t="s">
        <v>1273</v>
      </c>
      <c r="L59" s="153">
        <v>2999</v>
      </c>
      <c r="M59" s="153">
        <v>2730</v>
      </c>
      <c r="N59" s="153">
        <v>1670</v>
      </c>
      <c r="O59" s="153">
        <v>0</v>
      </c>
      <c r="P59" s="153">
        <v>0</v>
      </c>
      <c r="Q59" s="153"/>
      <c r="R59" s="154">
        <f t="shared" ref="R59:R74" si="22">M59/L59</f>
        <v>0.91030343447815942</v>
      </c>
      <c r="S59" s="154">
        <f t="shared" ref="S59:S74" si="23">N59/M59</f>
        <v>0.61172161172161177</v>
      </c>
    </row>
    <row r="60" spans="1:28">
      <c r="A60" s="6">
        <v>46145</v>
      </c>
      <c r="B60" s="50" t="s">
        <v>33</v>
      </c>
      <c r="C60" s="142" t="s">
        <v>486</v>
      </c>
      <c r="D60" s="142"/>
      <c r="E60" s="65" t="s">
        <v>1229</v>
      </c>
      <c r="F60" s="100" t="s">
        <v>827</v>
      </c>
      <c r="G60" s="7" t="s">
        <v>828</v>
      </c>
      <c r="H60" s="100" t="s">
        <v>829</v>
      </c>
      <c r="I60" s="163">
        <v>3000</v>
      </c>
      <c r="J60" s="100" t="s">
        <v>830</v>
      </c>
      <c r="K60" s="143" t="s">
        <v>1273</v>
      </c>
      <c r="L60" s="153">
        <v>2999</v>
      </c>
      <c r="M60" s="153">
        <v>2730</v>
      </c>
      <c r="N60" s="153">
        <v>1843</v>
      </c>
      <c r="O60" s="153">
        <v>0</v>
      </c>
      <c r="P60" s="153">
        <v>0</v>
      </c>
      <c r="Q60" s="153"/>
      <c r="R60" s="154">
        <f t="shared" si="22"/>
        <v>0.91030343447815942</v>
      </c>
      <c r="S60" s="154">
        <f t="shared" si="23"/>
        <v>0.67509157509157514</v>
      </c>
      <c r="V60" s="153">
        <v>473</v>
      </c>
      <c r="W60" s="153">
        <v>16</v>
      </c>
      <c r="X60" s="153">
        <v>1</v>
      </c>
    </row>
    <row r="61" spans="1:28">
      <c r="A61" s="6">
        <v>46145</v>
      </c>
      <c r="B61" s="50" t="s">
        <v>33</v>
      </c>
      <c r="C61" s="142" t="s">
        <v>487</v>
      </c>
      <c r="D61" s="142"/>
      <c r="E61" s="65" t="s">
        <v>1230</v>
      </c>
      <c r="F61" s="100" t="s">
        <v>827</v>
      </c>
      <c r="G61" s="7" t="s">
        <v>828</v>
      </c>
      <c r="H61" s="100" t="s">
        <v>829</v>
      </c>
      <c r="I61" s="163">
        <v>500</v>
      </c>
      <c r="J61" s="100" t="s">
        <v>830</v>
      </c>
      <c r="K61" s="143" t="s">
        <v>891</v>
      </c>
      <c r="L61" s="153">
        <v>424</v>
      </c>
      <c r="M61" s="153">
        <v>379</v>
      </c>
      <c r="N61" s="153">
        <v>252</v>
      </c>
      <c r="O61" s="153">
        <v>0</v>
      </c>
      <c r="P61" s="153">
        <v>0</v>
      </c>
      <c r="Q61" s="153"/>
      <c r="R61" s="154">
        <f t="shared" si="22"/>
        <v>0.89386792452830188</v>
      </c>
      <c r="S61" s="154">
        <f t="shared" si="23"/>
        <v>0.66490765171503963</v>
      </c>
      <c r="V61" s="153">
        <v>3138</v>
      </c>
      <c r="W61" s="153">
        <v>48</v>
      </c>
      <c r="X61" s="153">
        <v>6</v>
      </c>
      <c r="Z61" s="153">
        <v>998</v>
      </c>
      <c r="AA61" s="153">
        <v>4</v>
      </c>
      <c r="AB61" s="153">
        <v>2</v>
      </c>
    </row>
    <row r="62" spans="1:28">
      <c r="A62" s="6">
        <v>46145</v>
      </c>
      <c r="B62" s="50" t="s">
        <v>33</v>
      </c>
      <c r="C62" s="142" t="s">
        <v>487</v>
      </c>
      <c r="D62" s="142"/>
      <c r="E62" s="65" t="s">
        <v>1231</v>
      </c>
      <c r="F62" s="100" t="s">
        <v>827</v>
      </c>
      <c r="G62" s="7" t="s">
        <v>828</v>
      </c>
      <c r="H62" s="100" t="s">
        <v>829</v>
      </c>
      <c r="I62" s="163">
        <v>500</v>
      </c>
      <c r="J62" s="100" t="s">
        <v>830</v>
      </c>
      <c r="K62" s="143" t="s">
        <v>891</v>
      </c>
      <c r="L62" s="153">
        <v>424</v>
      </c>
      <c r="M62" s="153">
        <v>378</v>
      </c>
      <c r="N62" s="153">
        <v>234</v>
      </c>
      <c r="O62" s="153">
        <v>0</v>
      </c>
      <c r="P62" s="153">
        <v>0</v>
      </c>
      <c r="Q62" s="153"/>
      <c r="R62" s="154">
        <f t="shared" si="22"/>
        <v>0.89150943396226412</v>
      </c>
      <c r="S62" s="154">
        <f t="shared" si="23"/>
        <v>0.61904761904761907</v>
      </c>
      <c r="V62" s="155">
        <v>1214</v>
      </c>
      <c r="W62" s="155">
        <v>230</v>
      </c>
      <c r="X62" s="155">
        <v>49</v>
      </c>
      <c r="Y62" s="155"/>
      <c r="Z62" s="153">
        <v>513</v>
      </c>
      <c r="AA62" s="153">
        <v>2</v>
      </c>
      <c r="AB62" s="153">
        <v>1</v>
      </c>
    </row>
    <row r="63" spans="1:28">
      <c r="A63" s="6">
        <v>46145</v>
      </c>
      <c r="B63" s="50" t="s">
        <v>33</v>
      </c>
      <c r="C63" s="142" t="s">
        <v>487</v>
      </c>
      <c r="D63" s="142"/>
      <c r="E63" s="65" t="s">
        <v>1232</v>
      </c>
      <c r="F63" s="100" t="s">
        <v>827</v>
      </c>
      <c r="G63" s="7" t="s">
        <v>828</v>
      </c>
      <c r="H63" s="100" t="s">
        <v>829</v>
      </c>
      <c r="I63" s="163">
        <v>500</v>
      </c>
      <c r="J63" s="100" t="s">
        <v>830</v>
      </c>
      <c r="K63" s="143" t="s">
        <v>891</v>
      </c>
      <c r="L63" s="153">
        <v>424</v>
      </c>
      <c r="M63" s="153">
        <v>380</v>
      </c>
      <c r="N63" s="153">
        <v>257</v>
      </c>
      <c r="O63" s="153">
        <v>0</v>
      </c>
      <c r="P63" s="153">
        <v>0</v>
      </c>
      <c r="Q63" s="153"/>
      <c r="R63" s="154">
        <f t="shared" si="22"/>
        <v>0.89622641509433965</v>
      </c>
      <c r="S63" s="154">
        <f t="shared" si="23"/>
        <v>0.6763157894736842</v>
      </c>
      <c r="V63" s="155">
        <v>438</v>
      </c>
      <c r="W63" s="155">
        <v>80</v>
      </c>
      <c r="X63" s="155">
        <v>12</v>
      </c>
      <c r="Y63" s="155"/>
      <c r="Z63" s="166">
        <v>1067</v>
      </c>
      <c r="AA63" s="166">
        <v>507</v>
      </c>
      <c r="AB63" s="166">
        <v>339</v>
      </c>
    </row>
    <row r="64" spans="1:28">
      <c r="A64" s="6">
        <v>46145</v>
      </c>
      <c r="B64" s="50" t="s">
        <v>33</v>
      </c>
      <c r="C64" s="142" t="s">
        <v>487</v>
      </c>
      <c r="D64" s="142"/>
      <c r="E64" s="65" t="s">
        <v>1233</v>
      </c>
      <c r="F64" s="100" t="s">
        <v>827</v>
      </c>
      <c r="G64" s="7" t="s">
        <v>828</v>
      </c>
      <c r="H64" s="100" t="s">
        <v>829</v>
      </c>
      <c r="I64" s="163">
        <v>500</v>
      </c>
      <c r="J64" s="100" t="s">
        <v>830</v>
      </c>
      <c r="K64" s="143" t="s">
        <v>891</v>
      </c>
      <c r="L64" s="153">
        <v>424</v>
      </c>
      <c r="M64" s="153">
        <v>378</v>
      </c>
      <c r="N64" s="153">
        <v>246</v>
      </c>
      <c r="O64" s="153">
        <v>0</v>
      </c>
      <c r="P64" s="153">
        <v>0</v>
      </c>
      <c r="Q64" s="153"/>
      <c r="R64" s="154">
        <f t="shared" si="22"/>
        <v>0.89150943396226412</v>
      </c>
      <c r="S64" s="154">
        <f t="shared" si="23"/>
        <v>0.65079365079365081</v>
      </c>
      <c r="V64" s="155">
        <v>2251</v>
      </c>
      <c r="W64" s="155">
        <v>59</v>
      </c>
      <c r="X64" s="155">
        <v>6</v>
      </c>
      <c r="Y64" s="155"/>
      <c r="Z64" s="155">
        <v>1795</v>
      </c>
      <c r="AA64" s="155">
        <v>514</v>
      </c>
      <c r="AB64" s="155">
        <v>326</v>
      </c>
    </row>
    <row r="65" spans="1:28">
      <c r="A65" s="6">
        <v>46145</v>
      </c>
      <c r="B65" s="50" t="s">
        <v>33</v>
      </c>
      <c r="C65" s="142" t="s">
        <v>487</v>
      </c>
      <c r="D65" s="142"/>
      <c r="E65" s="65" t="s">
        <v>1234</v>
      </c>
      <c r="F65" s="100" t="s">
        <v>827</v>
      </c>
      <c r="G65" s="7" t="s">
        <v>828</v>
      </c>
      <c r="H65" s="100" t="s">
        <v>829</v>
      </c>
      <c r="I65" s="163">
        <v>500</v>
      </c>
      <c r="J65" s="100" t="s">
        <v>830</v>
      </c>
      <c r="K65" s="143" t="s">
        <v>891</v>
      </c>
      <c r="L65" s="153">
        <v>424</v>
      </c>
      <c r="M65" s="153">
        <v>376</v>
      </c>
      <c r="N65" s="153">
        <v>253</v>
      </c>
      <c r="O65" s="153">
        <v>0</v>
      </c>
      <c r="P65" s="153">
        <v>0</v>
      </c>
      <c r="Q65" s="153"/>
      <c r="R65" s="154">
        <f t="shared" ref="R65" si="24">M65/L65</f>
        <v>0.8867924528301887</v>
      </c>
      <c r="S65" s="154">
        <f t="shared" ref="S65" si="25">N65/M65</f>
        <v>0.6728723404255319</v>
      </c>
      <c r="V65">
        <v>4814</v>
      </c>
      <c r="W65">
        <v>999</v>
      </c>
      <c r="X65">
        <v>217</v>
      </c>
      <c r="Z65">
        <v>4000</v>
      </c>
      <c r="AA65">
        <v>1020</v>
      </c>
      <c r="AB65">
        <v>661</v>
      </c>
    </row>
    <row r="66" spans="1:28">
      <c r="A66" s="6">
        <v>46145</v>
      </c>
      <c r="B66" s="50" t="s">
        <v>33</v>
      </c>
      <c r="C66" s="142" t="s">
        <v>486</v>
      </c>
      <c r="D66" s="142" t="s">
        <v>893</v>
      </c>
      <c r="E66" s="160" t="s">
        <v>881</v>
      </c>
      <c r="F66" s="18" t="s">
        <v>827</v>
      </c>
      <c r="G66" s="18" t="s">
        <v>883</v>
      </c>
      <c r="H66" s="18" t="s">
        <v>829</v>
      </c>
      <c r="I66" s="161"/>
      <c r="J66" s="18" t="s">
        <v>867</v>
      </c>
      <c r="K66" s="157" t="s">
        <v>106</v>
      </c>
      <c r="L66" s="153">
        <v>473</v>
      </c>
      <c r="M66" s="153">
        <v>16</v>
      </c>
      <c r="N66" s="153">
        <v>1</v>
      </c>
      <c r="O66" s="153">
        <v>0</v>
      </c>
      <c r="P66" s="153">
        <v>1</v>
      </c>
      <c r="Q66" s="153"/>
      <c r="R66" s="154">
        <f t="shared" si="22"/>
        <v>3.382663847780127E-2</v>
      </c>
      <c r="S66" s="154">
        <f t="shared" si="23"/>
        <v>6.25E-2</v>
      </c>
      <c r="V66">
        <v>4863</v>
      </c>
      <c r="W66">
        <v>97</v>
      </c>
      <c r="X66">
        <v>24</v>
      </c>
      <c r="Z66">
        <v>4367</v>
      </c>
      <c r="AA66">
        <v>1018</v>
      </c>
      <c r="AB66">
        <v>634</v>
      </c>
    </row>
    <row r="67" spans="1:28">
      <c r="A67" s="6">
        <v>46145</v>
      </c>
      <c r="B67" s="50" t="s">
        <v>33</v>
      </c>
      <c r="C67" s="142" t="s">
        <v>487</v>
      </c>
      <c r="D67" s="142" t="s">
        <v>893</v>
      </c>
      <c r="E67" s="160" t="s">
        <v>882</v>
      </c>
      <c r="F67" s="18" t="s">
        <v>827</v>
      </c>
      <c r="G67" s="18" t="s">
        <v>883</v>
      </c>
      <c r="H67" s="18" t="s">
        <v>829</v>
      </c>
      <c r="I67" s="161"/>
      <c r="J67" s="18" t="s">
        <v>867</v>
      </c>
      <c r="K67" s="18" t="s">
        <v>186</v>
      </c>
      <c r="L67" s="153">
        <v>998</v>
      </c>
      <c r="M67" s="153">
        <v>4</v>
      </c>
      <c r="N67" s="153">
        <v>2</v>
      </c>
      <c r="O67" s="153">
        <v>0</v>
      </c>
      <c r="P67" s="153">
        <v>2</v>
      </c>
      <c r="Q67" s="153"/>
      <c r="R67" s="154">
        <f t="shared" si="22"/>
        <v>4.0080160320641279E-3</v>
      </c>
      <c r="S67" s="154">
        <f t="shared" si="23"/>
        <v>0.5</v>
      </c>
      <c r="V67">
        <v>8768</v>
      </c>
      <c r="W67">
        <v>2341</v>
      </c>
      <c r="X67">
        <v>1472</v>
      </c>
      <c r="Z67">
        <v>3992</v>
      </c>
      <c r="AA67">
        <v>1024</v>
      </c>
      <c r="AB67">
        <v>648</v>
      </c>
    </row>
    <row r="68" spans="1:28">
      <c r="A68" s="6">
        <v>46145</v>
      </c>
      <c r="B68" s="50" t="s">
        <v>33</v>
      </c>
      <c r="C68" s="142" t="s">
        <v>486</v>
      </c>
      <c r="D68" s="142" t="s">
        <v>1141</v>
      </c>
      <c r="E68" s="160" t="s">
        <v>1147</v>
      </c>
      <c r="F68" s="18" t="s">
        <v>827</v>
      </c>
      <c r="G68" s="18" t="s">
        <v>1148</v>
      </c>
      <c r="H68" s="18" t="s">
        <v>829</v>
      </c>
      <c r="I68" s="161"/>
      <c r="J68" s="18" t="s">
        <v>867</v>
      </c>
      <c r="K68" s="18" t="s">
        <v>1047</v>
      </c>
      <c r="L68" s="153">
        <v>3138</v>
      </c>
      <c r="M68" s="153">
        <v>48</v>
      </c>
      <c r="N68" s="153">
        <v>6</v>
      </c>
      <c r="O68" s="153">
        <v>0</v>
      </c>
      <c r="P68" s="153">
        <v>5</v>
      </c>
      <c r="Q68" s="153"/>
      <c r="R68" s="154">
        <f t="shared" si="22"/>
        <v>1.5296367112810707E-2</v>
      </c>
      <c r="S68" s="154">
        <f t="shared" si="23"/>
        <v>0.125</v>
      </c>
      <c r="V68">
        <v>13101</v>
      </c>
      <c r="W68">
        <v>2283</v>
      </c>
      <c r="X68">
        <v>347</v>
      </c>
      <c r="Z68">
        <v>7053</v>
      </c>
      <c r="AA68">
        <v>1536</v>
      </c>
      <c r="AB68">
        <v>1112</v>
      </c>
    </row>
    <row r="69" spans="1:28">
      <c r="A69" s="6">
        <v>46145</v>
      </c>
      <c r="B69" s="50" t="s">
        <v>33</v>
      </c>
      <c r="C69" s="142" t="s">
        <v>487</v>
      </c>
      <c r="D69" s="142" t="s">
        <v>1141</v>
      </c>
      <c r="E69" s="160" t="s">
        <v>1149</v>
      </c>
      <c r="F69" s="18" t="s">
        <v>827</v>
      </c>
      <c r="G69" s="18" t="s">
        <v>1148</v>
      </c>
      <c r="H69" s="18" t="s">
        <v>829</v>
      </c>
      <c r="I69" s="161"/>
      <c r="J69" s="18" t="s">
        <v>867</v>
      </c>
      <c r="K69" s="18" t="s">
        <v>1049</v>
      </c>
      <c r="L69" s="153">
        <v>513</v>
      </c>
      <c r="M69" s="153">
        <v>2</v>
      </c>
      <c r="N69" s="153">
        <v>1</v>
      </c>
      <c r="O69" s="153">
        <v>0</v>
      </c>
      <c r="P69" s="153">
        <v>0</v>
      </c>
      <c r="Q69" s="153"/>
      <c r="R69" s="154">
        <f t="shared" si="22"/>
        <v>3.8986354775828458E-3</v>
      </c>
      <c r="S69" s="154">
        <f t="shared" si="23"/>
        <v>0.5</v>
      </c>
      <c r="V69">
        <v>12627</v>
      </c>
      <c r="W69">
        <v>1200</v>
      </c>
      <c r="X69">
        <v>179</v>
      </c>
      <c r="Z69">
        <v>7043</v>
      </c>
      <c r="AA69">
        <v>1518</v>
      </c>
      <c r="AB69">
        <v>1097</v>
      </c>
    </row>
    <row r="70" spans="1:28" s="147" customFormat="1">
      <c r="A70" s="6">
        <v>46145</v>
      </c>
      <c r="B70" s="50" t="s">
        <v>33</v>
      </c>
      <c r="C70" s="142" t="s">
        <v>486</v>
      </c>
      <c r="D70" s="162">
        <v>0.69791666666666663</v>
      </c>
      <c r="E70" s="65" t="s">
        <v>1235</v>
      </c>
      <c r="F70" s="100" t="s">
        <v>827</v>
      </c>
      <c r="G70" s="143" t="s">
        <v>866</v>
      </c>
      <c r="H70" s="100" t="s">
        <v>829</v>
      </c>
      <c r="I70" s="142"/>
      <c r="J70" s="100" t="s">
        <v>830</v>
      </c>
      <c r="K70" s="7" t="s">
        <v>149</v>
      </c>
      <c r="L70" s="155">
        <v>1214</v>
      </c>
      <c r="M70" s="155">
        <v>230</v>
      </c>
      <c r="N70" s="155">
        <v>49</v>
      </c>
      <c r="O70" s="155">
        <v>3</v>
      </c>
      <c r="P70" s="155">
        <v>1</v>
      </c>
      <c r="Q70" s="155"/>
      <c r="R70" s="154">
        <f t="shared" si="22"/>
        <v>0.18945634266886327</v>
      </c>
      <c r="S70" s="154">
        <f t="shared" si="23"/>
        <v>0.21304347826086956</v>
      </c>
      <c r="V70" s="147">
        <f>SUM(V60:V69)</f>
        <v>51687</v>
      </c>
      <c r="W70" s="147">
        <f>SUM(W60:W69)</f>
        <v>7353</v>
      </c>
      <c r="X70" s="147">
        <f>SUM(X60:X69)</f>
        <v>2313</v>
      </c>
      <c r="Z70" s="147">
        <f>SUM(Z61:Z69)</f>
        <v>30828</v>
      </c>
      <c r="AA70" s="147">
        <f>SUM(AA61:AA69)</f>
        <v>7143</v>
      </c>
      <c r="AB70" s="147">
        <f>SUM(AB61:AB69)</f>
        <v>4820</v>
      </c>
    </row>
    <row r="71" spans="1:28" s="147" customFormat="1" ht="16.8">
      <c r="A71" s="6">
        <v>46145</v>
      </c>
      <c r="B71" s="50" t="s">
        <v>33</v>
      </c>
      <c r="C71" s="142" t="s">
        <v>486</v>
      </c>
      <c r="D71" s="162">
        <v>0.75</v>
      </c>
      <c r="E71" s="65" t="s">
        <v>1236</v>
      </c>
      <c r="F71" s="100" t="s">
        <v>827</v>
      </c>
      <c r="G71" s="143" t="s">
        <v>885</v>
      </c>
      <c r="H71" s="100" t="s">
        <v>829</v>
      </c>
      <c r="I71" s="142"/>
      <c r="J71" s="100" t="s">
        <v>830</v>
      </c>
      <c r="K71" s="52" t="s">
        <v>420</v>
      </c>
      <c r="L71" s="155">
        <v>438</v>
      </c>
      <c r="M71" s="155">
        <v>80</v>
      </c>
      <c r="N71" s="155">
        <v>12</v>
      </c>
      <c r="O71" s="155">
        <v>1</v>
      </c>
      <c r="P71" s="155">
        <v>0</v>
      </c>
      <c r="Q71" s="155"/>
      <c r="R71" s="154">
        <f t="shared" si="22"/>
        <v>0.18264840182648401</v>
      </c>
      <c r="S71" s="154">
        <f t="shared" si="23"/>
        <v>0.15</v>
      </c>
    </row>
    <row r="72" spans="1:28" s="147" customFormat="1" ht="16.8">
      <c r="A72" s="6">
        <v>46145</v>
      </c>
      <c r="B72" s="50" t="s">
        <v>33</v>
      </c>
      <c r="C72" s="142" t="s">
        <v>486</v>
      </c>
      <c r="D72" s="162">
        <v>0.76041666666666663</v>
      </c>
      <c r="E72" s="65" t="s">
        <v>1237</v>
      </c>
      <c r="F72" s="100" t="s">
        <v>827</v>
      </c>
      <c r="G72" s="143" t="s">
        <v>887</v>
      </c>
      <c r="H72" s="100" t="s">
        <v>829</v>
      </c>
      <c r="I72" s="142"/>
      <c r="J72" s="100" t="s">
        <v>830</v>
      </c>
      <c r="K72" s="52" t="s">
        <v>157</v>
      </c>
      <c r="L72" s="155">
        <v>2251</v>
      </c>
      <c r="M72" s="155">
        <v>59</v>
      </c>
      <c r="N72" s="155">
        <v>6</v>
      </c>
      <c r="O72" s="155">
        <v>2</v>
      </c>
      <c r="P72" s="155">
        <v>1</v>
      </c>
      <c r="Q72" s="155"/>
      <c r="R72" s="154">
        <f t="shared" si="22"/>
        <v>2.621057307863172E-2</v>
      </c>
      <c r="S72" s="154">
        <f t="shared" si="23"/>
        <v>0.10169491525423729</v>
      </c>
    </row>
    <row r="73" spans="1:28" s="168" customFormat="1">
      <c r="A73" s="6">
        <v>46145</v>
      </c>
      <c r="B73" s="50" t="s">
        <v>33</v>
      </c>
      <c r="C73" s="163" t="s">
        <v>487</v>
      </c>
      <c r="D73" s="164">
        <v>0.77083333333333337</v>
      </c>
      <c r="E73" s="65" t="s">
        <v>1238</v>
      </c>
      <c r="F73" s="65" t="s">
        <v>827</v>
      </c>
      <c r="G73" s="165" t="s">
        <v>885</v>
      </c>
      <c r="H73" s="65" t="s">
        <v>829</v>
      </c>
      <c r="I73" s="163"/>
      <c r="J73" s="65" t="s">
        <v>830</v>
      </c>
      <c r="K73" s="31" t="s">
        <v>121</v>
      </c>
      <c r="L73" s="166">
        <v>1067</v>
      </c>
      <c r="M73" s="166">
        <v>507</v>
      </c>
      <c r="N73" s="166">
        <v>339</v>
      </c>
      <c r="O73" s="166">
        <v>0</v>
      </c>
      <c r="P73" s="166">
        <v>0</v>
      </c>
      <c r="Q73" s="166"/>
      <c r="R73" s="167">
        <f t="shared" si="22"/>
        <v>0.4751640112464855</v>
      </c>
      <c r="S73" s="167">
        <f t="shared" si="23"/>
        <v>0.66863905325443784</v>
      </c>
    </row>
    <row r="74" spans="1:28" s="147" customFormat="1" ht="16.8">
      <c r="A74" s="6">
        <v>46145</v>
      </c>
      <c r="B74" s="50" t="s">
        <v>33</v>
      </c>
      <c r="C74" s="142" t="s">
        <v>487</v>
      </c>
      <c r="D74" s="162">
        <v>0.78125</v>
      </c>
      <c r="E74" s="65" t="s">
        <v>1239</v>
      </c>
      <c r="F74" s="100" t="s">
        <v>827</v>
      </c>
      <c r="G74" s="143" t="s">
        <v>887</v>
      </c>
      <c r="H74" s="100" t="s">
        <v>829</v>
      </c>
      <c r="I74" s="163"/>
      <c r="J74" s="100" t="s">
        <v>830</v>
      </c>
      <c r="K74" s="52" t="s">
        <v>210</v>
      </c>
      <c r="L74" s="155">
        <v>1795</v>
      </c>
      <c r="M74" s="155">
        <v>514</v>
      </c>
      <c r="N74" s="155">
        <v>326</v>
      </c>
      <c r="O74" s="155">
        <v>2</v>
      </c>
      <c r="P74" s="155">
        <v>0</v>
      </c>
      <c r="Q74" s="155"/>
      <c r="R74" s="154">
        <f t="shared" si="22"/>
        <v>0.2863509749303621</v>
      </c>
      <c r="S74" s="154">
        <f t="shared" si="23"/>
        <v>0.63424124513618674</v>
      </c>
    </row>
    <row r="75" spans="1:28" ht="7.8" customHeight="1">
      <c r="A75" s="8"/>
      <c r="B75" s="9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58"/>
    </row>
    <row r="76" spans="1:28">
      <c r="A76" s="6">
        <v>46146</v>
      </c>
      <c r="B76" s="50" t="s">
        <v>36</v>
      </c>
      <c r="C76" s="142" t="s">
        <v>486</v>
      </c>
      <c r="D76" s="142"/>
      <c r="E76" s="90" t="s">
        <v>1228</v>
      </c>
      <c r="F76" s="100" t="s">
        <v>827</v>
      </c>
      <c r="G76" s="7" t="s">
        <v>828</v>
      </c>
      <c r="H76" s="100" t="s">
        <v>829</v>
      </c>
      <c r="I76" s="163">
        <v>3000</v>
      </c>
      <c r="J76" s="100" t="s">
        <v>830</v>
      </c>
      <c r="K76" s="143" t="s">
        <v>1273</v>
      </c>
      <c r="L76" s="153"/>
      <c r="M76" s="153"/>
      <c r="N76" s="153"/>
      <c r="O76" s="153"/>
      <c r="P76" s="153"/>
      <c r="Q76" s="153"/>
      <c r="R76" s="154" t="e">
        <f t="shared" ref="R76:R91" si="26">M76/L76</f>
        <v>#DIV/0!</v>
      </c>
      <c r="S76" s="154" t="e">
        <f t="shared" ref="S76:S91" si="27">N76/M76</f>
        <v>#DIV/0!</v>
      </c>
    </row>
    <row r="77" spans="1:28">
      <c r="A77" s="6">
        <v>46146</v>
      </c>
      <c r="B77" s="50" t="s">
        <v>36</v>
      </c>
      <c r="C77" s="142" t="s">
        <v>486</v>
      </c>
      <c r="D77" s="142"/>
      <c r="E77" s="90" t="s">
        <v>1229</v>
      </c>
      <c r="F77" s="100" t="s">
        <v>827</v>
      </c>
      <c r="G77" s="7" t="s">
        <v>828</v>
      </c>
      <c r="H77" s="100" t="s">
        <v>829</v>
      </c>
      <c r="I77" s="163">
        <v>3000</v>
      </c>
      <c r="J77" s="100" t="s">
        <v>830</v>
      </c>
      <c r="K77" s="143" t="s">
        <v>1273</v>
      </c>
      <c r="L77" s="153"/>
      <c r="M77" s="153"/>
      <c r="N77" s="153"/>
      <c r="O77" s="153"/>
      <c r="P77" s="153"/>
      <c r="Q77" s="153"/>
      <c r="R77" s="154" t="e">
        <f t="shared" si="26"/>
        <v>#DIV/0!</v>
      </c>
      <c r="S77" s="154" t="e">
        <f t="shared" si="27"/>
        <v>#DIV/0!</v>
      </c>
    </row>
    <row r="78" spans="1:28">
      <c r="A78" s="6">
        <v>46146</v>
      </c>
      <c r="B78" s="50" t="s">
        <v>36</v>
      </c>
      <c r="C78" s="142" t="s">
        <v>487</v>
      </c>
      <c r="D78" s="142"/>
      <c r="E78" s="90" t="s">
        <v>1230</v>
      </c>
      <c r="F78" s="100" t="s">
        <v>827</v>
      </c>
      <c r="G78" s="7" t="s">
        <v>828</v>
      </c>
      <c r="H78" s="100" t="s">
        <v>829</v>
      </c>
      <c r="I78" s="163">
        <v>500</v>
      </c>
      <c r="J78" s="100" t="s">
        <v>830</v>
      </c>
      <c r="K78" s="143" t="s">
        <v>891</v>
      </c>
      <c r="L78" s="153"/>
      <c r="M78" s="153"/>
      <c r="N78" s="153"/>
      <c r="O78" s="153"/>
      <c r="P78" s="153"/>
      <c r="Q78" s="153"/>
      <c r="R78" s="154" t="e">
        <f t="shared" si="26"/>
        <v>#DIV/0!</v>
      </c>
      <c r="S78" s="154" t="e">
        <f t="shared" si="27"/>
        <v>#DIV/0!</v>
      </c>
    </row>
    <row r="79" spans="1:28">
      <c r="A79" s="6">
        <v>46146</v>
      </c>
      <c r="B79" s="50" t="s">
        <v>36</v>
      </c>
      <c r="C79" s="142" t="s">
        <v>487</v>
      </c>
      <c r="D79" s="142"/>
      <c r="E79" s="90" t="s">
        <v>1231</v>
      </c>
      <c r="F79" s="100" t="s">
        <v>827</v>
      </c>
      <c r="G79" s="7" t="s">
        <v>828</v>
      </c>
      <c r="H79" s="100" t="s">
        <v>829</v>
      </c>
      <c r="I79" s="163">
        <v>500</v>
      </c>
      <c r="J79" s="100" t="s">
        <v>830</v>
      </c>
      <c r="K79" s="143" t="s">
        <v>891</v>
      </c>
      <c r="L79" s="153"/>
      <c r="M79" s="153"/>
      <c r="N79" s="153"/>
      <c r="O79" s="153"/>
      <c r="P79" s="153"/>
      <c r="Q79" s="153"/>
      <c r="R79" s="154" t="e">
        <f t="shared" si="26"/>
        <v>#DIV/0!</v>
      </c>
      <c r="S79" s="154" t="e">
        <f t="shared" si="27"/>
        <v>#DIV/0!</v>
      </c>
    </row>
    <row r="80" spans="1:28">
      <c r="A80" s="6">
        <v>46146</v>
      </c>
      <c r="B80" s="50" t="s">
        <v>36</v>
      </c>
      <c r="C80" s="142" t="s">
        <v>487</v>
      </c>
      <c r="D80" s="142"/>
      <c r="E80" s="90" t="s">
        <v>1232</v>
      </c>
      <c r="F80" s="100" t="s">
        <v>827</v>
      </c>
      <c r="G80" s="7" t="s">
        <v>828</v>
      </c>
      <c r="H80" s="100" t="s">
        <v>829</v>
      </c>
      <c r="I80" s="163">
        <v>500</v>
      </c>
      <c r="J80" s="100" t="s">
        <v>830</v>
      </c>
      <c r="K80" s="143" t="s">
        <v>891</v>
      </c>
      <c r="L80" s="153"/>
      <c r="M80" s="153"/>
      <c r="N80" s="153"/>
      <c r="O80" s="153"/>
      <c r="P80" s="153"/>
      <c r="Q80" s="153"/>
      <c r="R80" s="154" t="e">
        <f t="shared" si="26"/>
        <v>#DIV/0!</v>
      </c>
      <c r="S80" s="154" t="e">
        <f t="shared" si="27"/>
        <v>#DIV/0!</v>
      </c>
    </row>
    <row r="81" spans="1:19">
      <c r="A81" s="6">
        <v>46146</v>
      </c>
      <c r="B81" s="50" t="s">
        <v>36</v>
      </c>
      <c r="C81" s="142" t="s">
        <v>487</v>
      </c>
      <c r="D81" s="142"/>
      <c r="E81" s="90" t="s">
        <v>1233</v>
      </c>
      <c r="F81" s="100" t="s">
        <v>827</v>
      </c>
      <c r="G81" s="7" t="s">
        <v>828</v>
      </c>
      <c r="H81" s="100" t="s">
        <v>829</v>
      </c>
      <c r="I81" s="163">
        <v>500</v>
      </c>
      <c r="J81" s="100" t="s">
        <v>830</v>
      </c>
      <c r="K81" s="143" t="s">
        <v>891</v>
      </c>
      <c r="L81" s="153"/>
      <c r="M81" s="153"/>
      <c r="N81" s="153"/>
      <c r="O81" s="153"/>
      <c r="P81" s="153"/>
      <c r="Q81" s="153"/>
      <c r="R81" s="154" t="e">
        <f t="shared" si="26"/>
        <v>#DIV/0!</v>
      </c>
      <c r="S81" s="154" t="e">
        <f t="shared" si="27"/>
        <v>#DIV/0!</v>
      </c>
    </row>
    <row r="82" spans="1:19">
      <c r="A82" s="6">
        <v>46146</v>
      </c>
      <c r="B82" s="50" t="s">
        <v>36</v>
      </c>
      <c r="C82" s="142" t="s">
        <v>487</v>
      </c>
      <c r="D82" s="142"/>
      <c r="E82" s="90" t="s">
        <v>1234</v>
      </c>
      <c r="F82" s="100" t="s">
        <v>827</v>
      </c>
      <c r="G82" s="7" t="s">
        <v>828</v>
      </c>
      <c r="H82" s="100" t="s">
        <v>829</v>
      </c>
      <c r="I82" s="159" t="s">
        <v>1489</v>
      </c>
      <c r="J82" s="100" t="s">
        <v>830</v>
      </c>
      <c r="K82" s="143" t="s">
        <v>891</v>
      </c>
      <c r="L82" s="153"/>
      <c r="M82" s="153"/>
      <c r="N82" s="153"/>
      <c r="O82" s="153"/>
      <c r="P82" s="153"/>
      <c r="Q82" s="153"/>
      <c r="R82" s="154" t="e">
        <f t="shared" si="26"/>
        <v>#DIV/0!</v>
      </c>
      <c r="S82" s="154" t="e">
        <f t="shared" si="27"/>
        <v>#DIV/0!</v>
      </c>
    </row>
    <row r="83" spans="1:19">
      <c r="A83" s="6">
        <v>46146</v>
      </c>
      <c r="B83" s="50" t="s">
        <v>36</v>
      </c>
      <c r="C83" s="142" t="s">
        <v>486</v>
      </c>
      <c r="D83" s="142" t="s">
        <v>893</v>
      </c>
      <c r="E83" s="160" t="s">
        <v>881</v>
      </c>
      <c r="F83" s="18" t="s">
        <v>827</v>
      </c>
      <c r="G83" s="18" t="s">
        <v>883</v>
      </c>
      <c r="H83" s="18" t="s">
        <v>829</v>
      </c>
      <c r="I83" s="185" t="s">
        <v>1488</v>
      </c>
      <c r="J83" s="18" t="s">
        <v>867</v>
      </c>
      <c r="K83" s="157" t="s">
        <v>106</v>
      </c>
      <c r="L83" s="153"/>
      <c r="M83" s="153"/>
      <c r="N83" s="153"/>
      <c r="O83" s="153"/>
      <c r="P83" s="153"/>
      <c r="Q83" s="153"/>
      <c r="R83" s="154" t="e">
        <f t="shared" si="26"/>
        <v>#DIV/0!</v>
      </c>
      <c r="S83" s="154" t="e">
        <f t="shared" si="27"/>
        <v>#DIV/0!</v>
      </c>
    </row>
    <row r="84" spans="1:19">
      <c r="A84" s="6">
        <v>46146</v>
      </c>
      <c r="B84" s="50" t="s">
        <v>36</v>
      </c>
      <c r="C84" s="142" t="s">
        <v>487</v>
      </c>
      <c r="D84" s="142" t="s">
        <v>893</v>
      </c>
      <c r="E84" s="160" t="s">
        <v>882</v>
      </c>
      <c r="F84" s="18" t="s">
        <v>827</v>
      </c>
      <c r="G84" s="18" t="s">
        <v>883</v>
      </c>
      <c r="H84" s="18" t="s">
        <v>829</v>
      </c>
      <c r="I84" s="185" t="s">
        <v>1488</v>
      </c>
      <c r="J84" s="18" t="s">
        <v>867</v>
      </c>
      <c r="K84" s="18" t="s">
        <v>186</v>
      </c>
      <c r="L84" s="153"/>
      <c r="M84" s="153"/>
      <c r="N84" s="153"/>
      <c r="O84" s="153"/>
      <c r="P84" s="153"/>
      <c r="Q84" s="153"/>
      <c r="R84" s="154" t="e">
        <f t="shared" si="26"/>
        <v>#DIV/0!</v>
      </c>
      <c r="S84" s="154" t="e">
        <f t="shared" si="27"/>
        <v>#DIV/0!</v>
      </c>
    </row>
    <row r="85" spans="1:19">
      <c r="A85" s="6">
        <v>46146</v>
      </c>
      <c r="B85" s="50" t="s">
        <v>36</v>
      </c>
      <c r="C85" s="142" t="s">
        <v>486</v>
      </c>
      <c r="D85" s="142" t="s">
        <v>1141</v>
      </c>
      <c r="E85" s="160" t="s">
        <v>1147</v>
      </c>
      <c r="F85" s="18" t="s">
        <v>827</v>
      </c>
      <c r="G85" s="18" t="s">
        <v>1148</v>
      </c>
      <c r="H85" s="18" t="s">
        <v>829</v>
      </c>
      <c r="I85" s="185" t="s">
        <v>1488</v>
      </c>
      <c r="J85" s="18" t="s">
        <v>867</v>
      </c>
      <c r="K85" s="18" t="s">
        <v>1047</v>
      </c>
      <c r="L85" s="153"/>
      <c r="M85" s="153"/>
      <c r="N85" s="153"/>
      <c r="O85" s="153"/>
      <c r="P85" s="153"/>
      <c r="Q85" s="153"/>
      <c r="R85" s="154" t="e">
        <f t="shared" si="26"/>
        <v>#DIV/0!</v>
      </c>
      <c r="S85" s="154" t="e">
        <f t="shared" si="27"/>
        <v>#DIV/0!</v>
      </c>
    </row>
    <row r="86" spans="1:19">
      <c r="A86" s="6">
        <v>46146</v>
      </c>
      <c r="B86" s="50" t="s">
        <v>36</v>
      </c>
      <c r="C86" s="142" t="s">
        <v>487</v>
      </c>
      <c r="D86" s="142" t="s">
        <v>1141</v>
      </c>
      <c r="E86" s="160" t="s">
        <v>1149</v>
      </c>
      <c r="F86" s="18" t="s">
        <v>827</v>
      </c>
      <c r="G86" s="18" t="s">
        <v>1148</v>
      </c>
      <c r="H86" s="18" t="s">
        <v>829</v>
      </c>
      <c r="I86" s="185" t="s">
        <v>1488</v>
      </c>
      <c r="J86" s="18" t="s">
        <v>867</v>
      </c>
      <c r="K86" s="18" t="s">
        <v>1049</v>
      </c>
      <c r="L86" s="153"/>
      <c r="M86" s="153"/>
      <c r="N86" s="153"/>
      <c r="O86" s="153"/>
      <c r="P86" s="153"/>
      <c r="Q86" s="153"/>
      <c r="R86" s="154" t="e">
        <f t="shared" si="26"/>
        <v>#DIV/0!</v>
      </c>
      <c r="S86" s="154" t="e">
        <f t="shared" si="27"/>
        <v>#DIV/0!</v>
      </c>
    </row>
    <row r="87" spans="1:19" s="147" customFormat="1">
      <c r="A87" s="6">
        <v>46146</v>
      </c>
      <c r="B87" s="50" t="s">
        <v>36</v>
      </c>
      <c r="C87" s="142" t="s">
        <v>486</v>
      </c>
      <c r="D87" s="162">
        <v>0.69791666666666663</v>
      </c>
      <c r="E87" s="65"/>
      <c r="F87" s="100" t="s">
        <v>827</v>
      </c>
      <c r="G87" s="143"/>
      <c r="H87" s="100" t="s">
        <v>829</v>
      </c>
      <c r="I87" s="159" t="s">
        <v>209</v>
      </c>
      <c r="J87" s="100" t="s">
        <v>830</v>
      </c>
      <c r="K87" s="7" t="s">
        <v>149</v>
      </c>
      <c r="L87" s="155"/>
      <c r="M87" s="155"/>
      <c r="N87" s="155"/>
      <c r="O87" s="155"/>
      <c r="P87" s="155"/>
      <c r="Q87" s="155"/>
      <c r="R87" s="154" t="e">
        <f t="shared" si="26"/>
        <v>#DIV/0!</v>
      </c>
      <c r="S87" s="154" t="e">
        <f t="shared" si="27"/>
        <v>#DIV/0!</v>
      </c>
    </row>
    <row r="88" spans="1:19" s="147" customFormat="1" ht="16.8">
      <c r="A88" s="6">
        <v>46146</v>
      </c>
      <c r="B88" s="50" t="s">
        <v>36</v>
      </c>
      <c r="C88" s="142" t="s">
        <v>486</v>
      </c>
      <c r="D88" s="162">
        <v>0.75</v>
      </c>
      <c r="E88" s="65"/>
      <c r="F88" s="100" t="s">
        <v>827</v>
      </c>
      <c r="G88" s="143"/>
      <c r="H88" s="100" t="s">
        <v>829</v>
      </c>
      <c r="I88" s="159" t="s">
        <v>209</v>
      </c>
      <c r="J88" s="100" t="s">
        <v>830</v>
      </c>
      <c r="K88" s="52" t="s">
        <v>420</v>
      </c>
      <c r="L88" s="155"/>
      <c r="M88" s="155"/>
      <c r="N88" s="155"/>
      <c r="O88" s="155"/>
      <c r="P88" s="155"/>
      <c r="Q88" s="155"/>
      <c r="R88" s="154" t="e">
        <f t="shared" si="26"/>
        <v>#DIV/0!</v>
      </c>
      <c r="S88" s="154" t="e">
        <f t="shared" si="27"/>
        <v>#DIV/0!</v>
      </c>
    </row>
    <row r="89" spans="1:19" s="147" customFormat="1" ht="16.8">
      <c r="A89" s="6">
        <v>46146</v>
      </c>
      <c r="B89" s="50" t="s">
        <v>36</v>
      </c>
      <c r="C89" s="142" t="s">
        <v>486</v>
      </c>
      <c r="D89" s="162">
        <v>0.76041666666666663</v>
      </c>
      <c r="E89" s="65"/>
      <c r="F89" s="100" t="s">
        <v>827</v>
      </c>
      <c r="G89" s="143"/>
      <c r="H89" s="100" t="s">
        <v>829</v>
      </c>
      <c r="I89" s="159" t="s">
        <v>209</v>
      </c>
      <c r="J89" s="100" t="s">
        <v>830</v>
      </c>
      <c r="K89" s="52" t="s">
        <v>157</v>
      </c>
      <c r="L89" s="155"/>
      <c r="M89" s="155"/>
      <c r="N89" s="155"/>
      <c r="O89" s="155"/>
      <c r="P89" s="155"/>
      <c r="Q89" s="155"/>
      <c r="R89" s="154" t="e">
        <f t="shared" si="26"/>
        <v>#DIV/0!</v>
      </c>
      <c r="S89" s="154" t="e">
        <f t="shared" si="27"/>
        <v>#DIV/0!</v>
      </c>
    </row>
    <row r="90" spans="1:19" s="168" customFormat="1">
      <c r="A90" s="6">
        <v>46146</v>
      </c>
      <c r="B90" s="50" t="s">
        <v>36</v>
      </c>
      <c r="C90" s="163" t="s">
        <v>487</v>
      </c>
      <c r="D90" s="164">
        <v>0.77083333333333337</v>
      </c>
      <c r="E90" s="65"/>
      <c r="F90" s="65" t="s">
        <v>827</v>
      </c>
      <c r="G90" s="165"/>
      <c r="H90" s="65" t="s">
        <v>829</v>
      </c>
      <c r="I90" s="159" t="s">
        <v>1491</v>
      </c>
      <c r="J90" s="65" t="s">
        <v>830</v>
      </c>
      <c r="K90" s="31" t="s">
        <v>121</v>
      </c>
      <c r="L90" s="166"/>
      <c r="M90" s="166"/>
      <c r="N90" s="166"/>
      <c r="O90" s="166"/>
      <c r="P90" s="166"/>
      <c r="Q90" s="166"/>
      <c r="R90" s="167" t="e">
        <f t="shared" si="26"/>
        <v>#DIV/0!</v>
      </c>
      <c r="S90" s="167" t="e">
        <f t="shared" si="27"/>
        <v>#DIV/0!</v>
      </c>
    </row>
    <row r="91" spans="1:19" s="147" customFormat="1" ht="16.8">
      <c r="A91" s="6">
        <v>46146</v>
      </c>
      <c r="B91" s="50" t="s">
        <v>36</v>
      </c>
      <c r="C91" s="142" t="s">
        <v>487</v>
      </c>
      <c r="D91" s="162">
        <v>0.78125</v>
      </c>
      <c r="E91" s="65"/>
      <c r="F91" s="100" t="s">
        <v>827</v>
      </c>
      <c r="G91" s="143"/>
      <c r="H91" s="100" t="s">
        <v>829</v>
      </c>
      <c r="I91" s="159" t="s">
        <v>1491</v>
      </c>
      <c r="J91" s="100" t="s">
        <v>830</v>
      </c>
      <c r="K91" s="52" t="s">
        <v>210</v>
      </c>
      <c r="L91" s="155"/>
      <c r="M91" s="155"/>
      <c r="N91" s="155"/>
      <c r="O91" s="155"/>
      <c r="P91" s="155"/>
      <c r="Q91" s="155"/>
      <c r="R91" s="154" t="e">
        <f t="shared" si="26"/>
        <v>#DIV/0!</v>
      </c>
      <c r="S91" s="154" t="e">
        <f t="shared" si="27"/>
        <v>#DIV/0!</v>
      </c>
    </row>
    <row r="92" spans="1:19" ht="7.8" customHeight="1">
      <c r="A92" s="8"/>
      <c r="B92" s="9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58"/>
    </row>
  </sheetData>
  <phoneticPr fontId="3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F1528-D0A1-4B60-AB89-D98975EB9432}">
  <dimension ref="A1:Y86"/>
  <sheetViews>
    <sheetView topLeftCell="G66" workbookViewId="0">
      <selection activeCell="I85" sqref="I85"/>
    </sheetView>
  </sheetViews>
  <sheetFormatPr defaultRowHeight="14.4"/>
  <cols>
    <col min="1" max="1" width="10.33203125" bestFit="1" customWidth="1"/>
    <col min="2" max="2" width="4.21875" bestFit="1" customWidth="1"/>
    <col min="3" max="3" width="7.5546875" bestFit="1" customWidth="1"/>
    <col min="4" max="4" width="7.5546875" customWidth="1"/>
    <col min="5" max="5" width="45.6640625" bestFit="1" customWidth="1"/>
    <col min="6" max="6" width="13.109375" bestFit="1" customWidth="1"/>
    <col min="7" max="7" width="70.21875" bestFit="1" customWidth="1"/>
    <col min="8" max="8" width="14.88671875" bestFit="1" customWidth="1"/>
    <col min="9" max="9" width="12.21875" bestFit="1" customWidth="1"/>
    <col min="10" max="10" width="10.6640625" bestFit="1" customWidth="1"/>
    <col min="11" max="11" width="27.21875" bestFit="1" customWidth="1"/>
    <col min="12" max="12" width="5" bestFit="1" customWidth="1"/>
    <col min="13" max="13" width="5.5546875" bestFit="1" customWidth="1"/>
    <col min="14" max="14" width="5" bestFit="1" customWidth="1"/>
    <col min="15" max="15" width="6.44140625" bestFit="1" customWidth="1"/>
    <col min="16" max="16" width="8.44140625" bestFit="1" customWidth="1"/>
    <col min="17" max="17" width="5.6640625" bestFit="1" customWidth="1"/>
    <col min="18" max="19" width="7.33203125" bestFit="1" customWidth="1"/>
  </cols>
  <sheetData>
    <row r="1" spans="1:19">
      <c r="A1" s="148" t="s">
        <v>0</v>
      </c>
      <c r="B1" s="149" t="s">
        <v>1</v>
      </c>
      <c r="C1" s="150" t="s">
        <v>11</v>
      </c>
      <c r="D1" s="150" t="s">
        <v>2</v>
      </c>
      <c r="E1" s="148" t="s">
        <v>831</v>
      </c>
      <c r="F1" s="148" t="s">
        <v>832</v>
      </c>
      <c r="G1" s="148" t="s">
        <v>6</v>
      </c>
      <c r="H1" s="148" t="s">
        <v>833</v>
      </c>
      <c r="I1" s="150" t="s">
        <v>834</v>
      </c>
      <c r="J1" s="151" t="s">
        <v>835</v>
      </c>
      <c r="K1" s="150" t="s">
        <v>12</v>
      </c>
      <c r="L1" s="144" t="s">
        <v>837</v>
      </c>
      <c r="M1" s="144" t="s">
        <v>15</v>
      </c>
      <c r="N1" s="144" t="s">
        <v>838</v>
      </c>
      <c r="O1" s="144" t="s">
        <v>17</v>
      </c>
      <c r="P1" s="144" t="s">
        <v>839</v>
      </c>
      <c r="Q1" s="144" t="s">
        <v>840</v>
      </c>
      <c r="R1" s="144" t="s">
        <v>19</v>
      </c>
      <c r="S1" s="144" t="s">
        <v>20</v>
      </c>
    </row>
    <row r="2" spans="1:19">
      <c r="A2" s="6">
        <v>46140</v>
      </c>
      <c r="B2" s="50" t="s">
        <v>78</v>
      </c>
      <c r="C2" s="142" t="s">
        <v>486</v>
      </c>
      <c r="D2" s="142"/>
      <c r="E2" s="152" t="s">
        <v>844</v>
      </c>
      <c r="F2" s="100" t="s">
        <v>845</v>
      </c>
      <c r="G2" s="7" t="s">
        <v>846</v>
      </c>
      <c r="H2" s="100" t="s">
        <v>845</v>
      </c>
      <c r="I2" s="142">
        <v>4800</v>
      </c>
      <c r="J2" s="100" t="s">
        <v>830</v>
      </c>
      <c r="K2" s="143" t="s">
        <v>686</v>
      </c>
      <c r="L2" s="153">
        <v>4497</v>
      </c>
      <c r="M2" s="153">
        <v>4341</v>
      </c>
      <c r="N2" s="153">
        <v>2869</v>
      </c>
      <c r="O2" s="153">
        <v>0</v>
      </c>
      <c r="P2" s="153">
        <v>4</v>
      </c>
      <c r="Q2" s="153"/>
      <c r="R2" s="154">
        <f t="shared" ref="R2:S4" si="0">M2/L2</f>
        <v>0.96531020680453639</v>
      </c>
      <c r="S2" s="154">
        <f t="shared" si="0"/>
        <v>0.66090762497120481</v>
      </c>
    </row>
    <row r="3" spans="1:19" s="147" customFormat="1">
      <c r="A3" s="145">
        <v>46140</v>
      </c>
      <c r="B3" s="146" t="s">
        <v>78</v>
      </c>
      <c r="C3" s="142" t="s">
        <v>486</v>
      </c>
      <c r="D3" s="142"/>
      <c r="E3" s="100" t="s">
        <v>847</v>
      </c>
      <c r="F3" s="100" t="s">
        <v>845</v>
      </c>
      <c r="G3" s="100"/>
      <c r="H3" s="100" t="s">
        <v>845</v>
      </c>
      <c r="I3" s="142">
        <v>2000</v>
      </c>
      <c r="J3" s="100" t="s">
        <v>830</v>
      </c>
      <c r="K3" s="143" t="s">
        <v>848</v>
      </c>
      <c r="L3" s="155">
        <v>1266</v>
      </c>
      <c r="M3" s="155">
        <v>609</v>
      </c>
      <c r="N3" s="155">
        <v>348</v>
      </c>
      <c r="O3" s="155">
        <v>4</v>
      </c>
      <c r="P3" s="155">
        <v>0</v>
      </c>
      <c r="Q3" s="155"/>
      <c r="R3" s="154">
        <f t="shared" si="0"/>
        <v>0.48104265402843605</v>
      </c>
      <c r="S3" s="154">
        <f t="shared" si="0"/>
        <v>0.5714285714285714</v>
      </c>
    </row>
    <row r="4" spans="1:19" s="147" customFormat="1">
      <c r="A4" s="145">
        <v>46140</v>
      </c>
      <c r="B4" s="146" t="s">
        <v>78</v>
      </c>
      <c r="C4" s="142" t="s">
        <v>486</v>
      </c>
      <c r="D4" s="142"/>
      <c r="E4" s="100" t="s">
        <v>849</v>
      </c>
      <c r="F4" s="100" t="s">
        <v>845</v>
      </c>
      <c r="G4" s="100" t="s">
        <v>850</v>
      </c>
      <c r="H4" s="100" t="s">
        <v>845</v>
      </c>
      <c r="I4" s="142"/>
      <c r="J4" s="100" t="s">
        <v>830</v>
      </c>
      <c r="K4" s="143" t="s">
        <v>149</v>
      </c>
      <c r="L4" s="155">
        <v>979</v>
      </c>
      <c r="M4" s="155">
        <v>695</v>
      </c>
      <c r="N4" s="155">
        <v>391</v>
      </c>
      <c r="O4" s="155">
        <v>2</v>
      </c>
      <c r="P4" s="155">
        <v>0</v>
      </c>
      <c r="Q4" s="155"/>
      <c r="R4" s="154">
        <f t="shared" si="0"/>
        <v>0.70990806945863127</v>
      </c>
      <c r="S4" s="154">
        <f t="shared" si="0"/>
        <v>0.56258992805755392</v>
      </c>
    </row>
    <row r="5" spans="1:19" ht="7.8" customHeight="1">
      <c r="A5" s="8"/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58"/>
    </row>
    <row r="6" spans="1:19">
      <c r="A6" s="6">
        <v>46141</v>
      </c>
      <c r="B6" s="50" t="s">
        <v>124</v>
      </c>
      <c r="C6" s="142" t="s">
        <v>486</v>
      </c>
      <c r="D6" s="142"/>
      <c r="E6" s="65" t="s">
        <v>904</v>
      </c>
      <c r="F6" s="100" t="s">
        <v>845</v>
      </c>
      <c r="G6" s="7" t="s">
        <v>846</v>
      </c>
      <c r="H6" s="100" t="s">
        <v>845</v>
      </c>
      <c r="I6" s="163">
        <v>6000</v>
      </c>
      <c r="J6" s="100" t="s">
        <v>830</v>
      </c>
      <c r="K6" s="143" t="s">
        <v>686</v>
      </c>
      <c r="L6" s="153">
        <v>3499</v>
      </c>
      <c r="M6" s="153">
        <v>3215</v>
      </c>
      <c r="N6" s="153">
        <v>2172</v>
      </c>
      <c r="O6" s="153">
        <v>0</v>
      </c>
      <c r="P6" s="153">
        <v>1</v>
      </c>
      <c r="Q6" s="153"/>
      <c r="R6" s="154">
        <f t="shared" ref="R6:R11" si="1">M6/L6</f>
        <v>0.9188339525578737</v>
      </c>
      <c r="S6" s="154">
        <f t="shared" ref="S6:S11" si="2">N6/M6</f>
        <v>0.67558320373250391</v>
      </c>
    </row>
    <row r="7" spans="1:19">
      <c r="A7" s="6">
        <v>46141</v>
      </c>
      <c r="B7" s="50" t="s">
        <v>124</v>
      </c>
      <c r="C7" s="142" t="s">
        <v>487</v>
      </c>
      <c r="D7" s="142"/>
      <c r="E7" s="65" t="s">
        <v>906</v>
      </c>
      <c r="F7" s="100" t="s">
        <v>845</v>
      </c>
      <c r="G7" s="7" t="s">
        <v>846</v>
      </c>
      <c r="H7" s="100" t="s">
        <v>845</v>
      </c>
      <c r="I7" s="159"/>
      <c r="J7" s="100" t="s">
        <v>830</v>
      </c>
      <c r="K7" s="143" t="s">
        <v>905</v>
      </c>
      <c r="L7" s="153">
        <v>256</v>
      </c>
      <c r="M7" s="153">
        <v>161</v>
      </c>
      <c r="N7" s="153">
        <v>110</v>
      </c>
      <c r="O7" s="153">
        <v>0</v>
      </c>
      <c r="P7" s="153">
        <v>1</v>
      </c>
      <c r="Q7" s="153"/>
      <c r="R7" s="154">
        <f t="shared" ref="R7" si="3">M7/L7</f>
        <v>0.62890625</v>
      </c>
      <c r="S7" s="154">
        <f t="shared" ref="S7" si="4">N7/M7</f>
        <v>0.68322981366459623</v>
      </c>
    </row>
    <row r="8" spans="1:19">
      <c r="A8" s="6">
        <v>46141</v>
      </c>
      <c r="B8" s="50" t="s">
        <v>124</v>
      </c>
      <c r="C8" s="142" t="s">
        <v>486</v>
      </c>
      <c r="D8" s="142" t="s">
        <v>896</v>
      </c>
      <c r="E8" s="160" t="s">
        <v>894</v>
      </c>
      <c r="F8" s="18" t="s">
        <v>845</v>
      </c>
      <c r="G8" s="18" t="s">
        <v>897</v>
      </c>
      <c r="H8" s="18" t="s">
        <v>845</v>
      </c>
      <c r="I8" s="161" t="s">
        <v>209</v>
      </c>
      <c r="J8" s="18" t="s">
        <v>867</v>
      </c>
      <c r="K8" s="157" t="s">
        <v>106</v>
      </c>
      <c r="L8" s="153">
        <v>297</v>
      </c>
      <c r="M8" s="153">
        <v>35</v>
      </c>
      <c r="N8" s="153">
        <v>6</v>
      </c>
      <c r="O8" s="153">
        <v>3</v>
      </c>
      <c r="P8" s="153">
        <v>0</v>
      </c>
      <c r="Q8" s="153"/>
      <c r="R8" s="154">
        <f t="shared" ref="R8:R9" si="5">M8/L8</f>
        <v>0.11784511784511785</v>
      </c>
      <c r="S8" s="154">
        <f t="shared" ref="S8:S9" si="6">N8/M8</f>
        <v>0.17142857142857143</v>
      </c>
    </row>
    <row r="9" spans="1:19">
      <c r="A9" s="6">
        <v>46141</v>
      </c>
      <c r="B9" s="50" t="s">
        <v>124</v>
      </c>
      <c r="C9" s="142" t="s">
        <v>487</v>
      </c>
      <c r="D9" s="142" t="s">
        <v>896</v>
      </c>
      <c r="E9" s="160" t="s">
        <v>895</v>
      </c>
      <c r="F9" s="18" t="s">
        <v>845</v>
      </c>
      <c r="G9" s="18" t="s">
        <v>897</v>
      </c>
      <c r="H9" s="18" t="s">
        <v>845</v>
      </c>
      <c r="I9" s="161" t="s">
        <v>209</v>
      </c>
      <c r="J9" s="18" t="s">
        <v>867</v>
      </c>
      <c r="K9" s="18" t="s">
        <v>186</v>
      </c>
      <c r="L9" s="153">
        <v>840</v>
      </c>
      <c r="M9" s="153">
        <v>6</v>
      </c>
      <c r="N9" s="153">
        <v>2</v>
      </c>
      <c r="O9" s="153">
        <v>0</v>
      </c>
      <c r="P9" s="153">
        <v>1</v>
      </c>
      <c r="Q9" s="153"/>
      <c r="R9" s="154">
        <f t="shared" si="5"/>
        <v>7.1428571428571426E-3</v>
      </c>
      <c r="S9" s="154">
        <f t="shared" si="6"/>
        <v>0.33333333333333331</v>
      </c>
    </row>
    <row r="10" spans="1:19" s="147" customFormat="1" ht="16.8">
      <c r="A10" s="6">
        <v>46141</v>
      </c>
      <c r="B10" s="50" t="s">
        <v>124</v>
      </c>
      <c r="C10" s="142" t="s">
        <v>486</v>
      </c>
      <c r="D10" s="162">
        <v>0.8125</v>
      </c>
      <c r="E10" s="100" t="s">
        <v>898</v>
      </c>
      <c r="F10" s="100" t="s">
        <v>845</v>
      </c>
      <c r="G10" s="100" t="s">
        <v>899</v>
      </c>
      <c r="H10" s="100" t="s">
        <v>845</v>
      </c>
      <c r="I10" s="163" t="s">
        <v>209</v>
      </c>
      <c r="J10" s="100" t="s">
        <v>830</v>
      </c>
      <c r="K10" s="52" t="s">
        <v>157</v>
      </c>
      <c r="L10" s="155">
        <v>793</v>
      </c>
      <c r="M10" s="155">
        <v>157</v>
      </c>
      <c r="N10" s="155">
        <v>25</v>
      </c>
      <c r="O10" s="155">
        <v>4</v>
      </c>
      <c r="P10" s="155">
        <v>0</v>
      </c>
      <c r="Q10" s="155"/>
      <c r="R10" s="154">
        <f t="shared" si="1"/>
        <v>0.19798234552332913</v>
      </c>
      <c r="S10" s="154">
        <f t="shared" si="2"/>
        <v>0.15923566878980891</v>
      </c>
    </row>
    <row r="11" spans="1:19" s="147" customFormat="1">
      <c r="A11" s="6">
        <v>46141</v>
      </c>
      <c r="B11" s="50" t="s">
        <v>124</v>
      </c>
      <c r="C11" s="142" t="s">
        <v>486</v>
      </c>
      <c r="D11" s="162">
        <v>0.79166666666666663</v>
      </c>
      <c r="E11" s="100" t="s">
        <v>900</v>
      </c>
      <c r="F11" s="100" t="s">
        <v>845</v>
      </c>
      <c r="G11" s="100" t="s">
        <v>901</v>
      </c>
      <c r="H11" s="100" t="s">
        <v>845</v>
      </c>
      <c r="I11" s="163" t="s">
        <v>209</v>
      </c>
      <c r="J11" s="100" t="s">
        <v>830</v>
      </c>
      <c r="K11" s="143" t="s">
        <v>149</v>
      </c>
      <c r="L11" s="155">
        <v>447</v>
      </c>
      <c r="M11" s="155">
        <v>130</v>
      </c>
      <c r="N11" s="155">
        <v>39</v>
      </c>
      <c r="O11" s="155">
        <v>8</v>
      </c>
      <c r="P11" s="155">
        <v>0</v>
      </c>
      <c r="Q11" s="155"/>
      <c r="R11" s="154">
        <f t="shared" si="1"/>
        <v>0.29082774049217003</v>
      </c>
      <c r="S11" s="154">
        <f t="shared" si="2"/>
        <v>0.3</v>
      </c>
    </row>
    <row r="12" spans="1:19" s="147" customFormat="1" ht="16.8">
      <c r="A12" s="6">
        <v>46141</v>
      </c>
      <c r="B12" s="50" t="s">
        <v>124</v>
      </c>
      <c r="C12" s="142" t="s">
        <v>487</v>
      </c>
      <c r="D12" s="162">
        <v>0.82291666666666663</v>
      </c>
      <c r="E12" s="65" t="s">
        <v>902</v>
      </c>
      <c r="F12" s="100" t="s">
        <v>845</v>
      </c>
      <c r="G12" s="100" t="s">
        <v>899</v>
      </c>
      <c r="H12" s="100" t="s">
        <v>845</v>
      </c>
      <c r="I12" s="163" t="s">
        <v>209</v>
      </c>
      <c r="J12" s="100" t="s">
        <v>830</v>
      </c>
      <c r="K12" s="52" t="s">
        <v>210</v>
      </c>
      <c r="L12" s="155">
        <v>1013</v>
      </c>
      <c r="M12" s="155">
        <v>13</v>
      </c>
      <c r="N12" s="155">
        <v>5</v>
      </c>
      <c r="O12" s="155">
        <v>0</v>
      </c>
      <c r="P12" s="155">
        <v>0</v>
      </c>
      <c r="Q12" s="155"/>
      <c r="R12" s="154">
        <f t="shared" ref="R12:R13" si="7">M12/L12</f>
        <v>1.2833168805528134E-2</v>
      </c>
      <c r="S12" s="154">
        <f t="shared" ref="S12:S13" si="8">N12/M12</f>
        <v>0.38461538461538464</v>
      </c>
    </row>
    <row r="13" spans="1:19" s="147" customFormat="1">
      <c r="A13" s="6">
        <v>46141</v>
      </c>
      <c r="B13" s="50" t="s">
        <v>124</v>
      </c>
      <c r="C13" s="142" t="s">
        <v>487</v>
      </c>
      <c r="D13" s="162">
        <v>0.8125</v>
      </c>
      <c r="E13" s="65" t="s">
        <v>903</v>
      </c>
      <c r="F13" s="100" t="s">
        <v>845</v>
      </c>
      <c r="G13" s="100" t="s">
        <v>901</v>
      </c>
      <c r="H13" s="100" t="s">
        <v>845</v>
      </c>
      <c r="I13" s="163" t="s">
        <v>209</v>
      </c>
      <c r="J13" s="100" t="s">
        <v>830</v>
      </c>
      <c r="K13" s="7" t="s">
        <v>121</v>
      </c>
      <c r="L13" s="155">
        <v>411</v>
      </c>
      <c r="M13" s="155">
        <v>12</v>
      </c>
      <c r="N13" s="155">
        <v>7</v>
      </c>
      <c r="O13" s="155">
        <v>1</v>
      </c>
      <c r="P13" s="155">
        <v>0</v>
      </c>
      <c r="Q13" s="155"/>
      <c r="R13" s="154">
        <f t="shared" si="7"/>
        <v>2.9197080291970802E-2</v>
      </c>
      <c r="S13" s="154">
        <f t="shared" si="8"/>
        <v>0.58333333333333337</v>
      </c>
    </row>
    <row r="14" spans="1:19" ht="7.8" customHeight="1">
      <c r="A14" s="8"/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58"/>
    </row>
    <row r="15" spans="1:19">
      <c r="A15" s="6">
        <v>46142</v>
      </c>
      <c r="B15" s="50" t="s">
        <v>166</v>
      </c>
      <c r="C15" s="142" t="s">
        <v>486</v>
      </c>
      <c r="D15" s="142"/>
      <c r="E15" s="65" t="s">
        <v>1008</v>
      </c>
      <c r="F15" s="100" t="s">
        <v>845</v>
      </c>
      <c r="G15" s="7" t="s">
        <v>846</v>
      </c>
      <c r="H15" s="100" t="s">
        <v>845</v>
      </c>
      <c r="I15" s="163">
        <v>3000</v>
      </c>
      <c r="J15" s="100" t="s">
        <v>830</v>
      </c>
      <c r="K15" s="143" t="s">
        <v>686</v>
      </c>
      <c r="L15" s="153">
        <v>2999</v>
      </c>
      <c r="M15" s="153">
        <v>2132</v>
      </c>
      <c r="N15" s="153">
        <v>1428</v>
      </c>
      <c r="O15" s="153">
        <v>0</v>
      </c>
      <c r="P15" s="153">
        <v>0</v>
      </c>
      <c r="Q15" s="153"/>
      <c r="R15" s="154">
        <f t="shared" ref="R15:R24" si="9">M15/L15</f>
        <v>0.71090363454484828</v>
      </c>
      <c r="S15" s="154">
        <f t="shared" ref="S15:S24" si="10">N15/M15</f>
        <v>0.66979362101313322</v>
      </c>
    </row>
    <row r="16" spans="1:19">
      <c r="A16" s="6">
        <v>46142</v>
      </c>
      <c r="B16" s="50" t="s">
        <v>166</v>
      </c>
      <c r="C16" s="142" t="s">
        <v>486</v>
      </c>
      <c r="D16" s="142"/>
      <c r="E16" s="65" t="s">
        <v>1009</v>
      </c>
      <c r="F16" s="100" t="s">
        <v>845</v>
      </c>
      <c r="G16" s="7" t="s">
        <v>846</v>
      </c>
      <c r="H16" s="100" t="s">
        <v>845</v>
      </c>
      <c r="I16" s="163">
        <v>3000</v>
      </c>
      <c r="J16" s="100" t="s">
        <v>830</v>
      </c>
      <c r="K16" s="143" t="s">
        <v>686</v>
      </c>
      <c r="L16" s="153">
        <v>2999</v>
      </c>
      <c r="M16" s="153">
        <v>2099</v>
      </c>
      <c r="N16" s="153">
        <v>1313</v>
      </c>
      <c r="O16" s="153">
        <v>0</v>
      </c>
      <c r="P16" s="153">
        <v>1</v>
      </c>
      <c r="Q16" s="153"/>
      <c r="R16" s="154">
        <f t="shared" ref="R16:R18" si="11">M16/L16</f>
        <v>0.69989996665555188</v>
      </c>
      <c r="S16" s="154">
        <f t="shared" ref="S16:S18" si="12">N16/M16</f>
        <v>0.62553596950929014</v>
      </c>
    </row>
    <row r="17" spans="1:23">
      <c r="A17" s="6">
        <v>46142</v>
      </c>
      <c r="B17" s="50" t="s">
        <v>166</v>
      </c>
      <c r="C17" s="142" t="s">
        <v>487</v>
      </c>
      <c r="D17" s="142"/>
      <c r="E17" s="65" t="s">
        <v>1010</v>
      </c>
      <c r="F17" s="100" t="s">
        <v>845</v>
      </c>
      <c r="G17" s="7" t="s">
        <v>846</v>
      </c>
      <c r="H17" s="100" t="s">
        <v>845</v>
      </c>
      <c r="I17" s="163">
        <v>500</v>
      </c>
      <c r="J17" s="100" t="s">
        <v>830</v>
      </c>
      <c r="K17" s="143" t="s">
        <v>905</v>
      </c>
      <c r="L17" s="153">
        <v>499</v>
      </c>
      <c r="M17" s="153">
        <v>409</v>
      </c>
      <c r="N17" s="153">
        <v>249</v>
      </c>
      <c r="O17" s="153">
        <v>0</v>
      </c>
      <c r="P17" s="153">
        <v>0</v>
      </c>
      <c r="Q17" s="153"/>
      <c r="R17" s="154">
        <f t="shared" si="11"/>
        <v>0.81963927855711427</v>
      </c>
      <c r="S17" s="154">
        <f t="shared" si="12"/>
        <v>0.60880195599022002</v>
      </c>
    </row>
    <row r="18" spans="1:23">
      <c r="A18" s="6">
        <v>46142</v>
      </c>
      <c r="B18" s="50" t="s">
        <v>166</v>
      </c>
      <c r="C18" s="142" t="s">
        <v>487</v>
      </c>
      <c r="D18" s="142"/>
      <c r="E18" s="65" t="s">
        <v>1011</v>
      </c>
      <c r="F18" s="100" t="s">
        <v>845</v>
      </c>
      <c r="G18" s="7" t="s">
        <v>846</v>
      </c>
      <c r="H18" s="100" t="s">
        <v>845</v>
      </c>
      <c r="I18" s="163">
        <v>500</v>
      </c>
      <c r="J18" s="100" t="s">
        <v>830</v>
      </c>
      <c r="K18" s="143" t="s">
        <v>905</v>
      </c>
      <c r="L18" s="153">
        <v>499</v>
      </c>
      <c r="M18" s="153">
        <v>432</v>
      </c>
      <c r="N18" s="153">
        <v>289</v>
      </c>
      <c r="O18" s="153">
        <v>0</v>
      </c>
      <c r="P18" s="153">
        <v>0</v>
      </c>
      <c r="Q18" s="153"/>
      <c r="R18" s="154">
        <f t="shared" si="11"/>
        <v>0.86573146292585168</v>
      </c>
      <c r="S18" s="154">
        <f t="shared" si="12"/>
        <v>0.66898148148148151</v>
      </c>
    </row>
    <row r="19" spans="1:23">
      <c r="A19" s="6">
        <v>46142</v>
      </c>
      <c r="B19" s="50" t="s">
        <v>166</v>
      </c>
      <c r="C19" s="142" t="s">
        <v>486</v>
      </c>
      <c r="D19" s="142" t="s">
        <v>896</v>
      </c>
      <c r="E19" s="160" t="s">
        <v>894</v>
      </c>
      <c r="F19" s="18" t="s">
        <v>845</v>
      </c>
      <c r="G19" s="18" t="s">
        <v>897</v>
      </c>
      <c r="H19" s="18" t="s">
        <v>845</v>
      </c>
      <c r="I19" s="161"/>
      <c r="J19" s="18" t="s">
        <v>867</v>
      </c>
      <c r="K19" s="157" t="s">
        <v>106</v>
      </c>
      <c r="L19" s="153">
        <v>491</v>
      </c>
      <c r="M19" s="153">
        <v>61</v>
      </c>
      <c r="N19" s="153">
        <v>15</v>
      </c>
      <c r="O19" s="153">
        <v>2</v>
      </c>
      <c r="P19" s="153">
        <v>1</v>
      </c>
      <c r="Q19" s="153"/>
      <c r="R19" s="154">
        <f t="shared" si="9"/>
        <v>0.12423625254582485</v>
      </c>
      <c r="S19" s="154">
        <f t="shared" si="10"/>
        <v>0.24590163934426229</v>
      </c>
    </row>
    <row r="20" spans="1:23">
      <c r="A20" s="6">
        <v>46142</v>
      </c>
      <c r="B20" s="50" t="s">
        <v>166</v>
      </c>
      <c r="C20" s="142" t="s">
        <v>487</v>
      </c>
      <c r="D20" s="142" t="s">
        <v>896</v>
      </c>
      <c r="E20" s="160" t="s">
        <v>895</v>
      </c>
      <c r="F20" s="18" t="s">
        <v>845</v>
      </c>
      <c r="G20" s="18" t="s">
        <v>897</v>
      </c>
      <c r="H20" s="18" t="s">
        <v>845</v>
      </c>
      <c r="I20" s="161"/>
      <c r="J20" s="18" t="s">
        <v>867</v>
      </c>
      <c r="K20" s="18" t="s">
        <v>186</v>
      </c>
      <c r="L20" s="153">
        <v>1044</v>
      </c>
      <c r="M20" s="153">
        <v>3</v>
      </c>
      <c r="N20" s="153">
        <v>3</v>
      </c>
      <c r="O20" s="153">
        <v>0</v>
      </c>
      <c r="P20" s="153">
        <v>1</v>
      </c>
      <c r="Q20" s="153"/>
      <c r="R20" s="154">
        <f t="shared" si="9"/>
        <v>2.8735632183908046E-3</v>
      </c>
      <c r="S20" s="154">
        <f t="shared" si="10"/>
        <v>1</v>
      </c>
    </row>
    <row r="21" spans="1:23" s="147" customFormat="1" ht="16.8">
      <c r="A21" s="6">
        <v>46142</v>
      </c>
      <c r="B21" s="50" t="s">
        <v>166</v>
      </c>
      <c r="C21" s="142" t="s">
        <v>486</v>
      </c>
      <c r="D21" s="162">
        <v>0.8125</v>
      </c>
      <c r="E21" s="100" t="s">
        <v>1028</v>
      </c>
      <c r="F21" s="100" t="s">
        <v>845</v>
      </c>
      <c r="G21" s="100" t="s">
        <v>1027</v>
      </c>
      <c r="H21" s="100" t="s">
        <v>845</v>
      </c>
      <c r="I21" s="163" t="s">
        <v>209</v>
      </c>
      <c r="J21" s="100" t="s">
        <v>830</v>
      </c>
      <c r="K21" s="52" t="s">
        <v>157</v>
      </c>
      <c r="L21" s="155">
        <v>997</v>
      </c>
      <c r="M21" s="155">
        <v>159</v>
      </c>
      <c r="N21" s="155">
        <v>16</v>
      </c>
      <c r="O21" s="155">
        <v>3</v>
      </c>
      <c r="P21" s="155">
        <v>1</v>
      </c>
      <c r="Q21" s="155"/>
      <c r="R21" s="154">
        <f t="shared" si="9"/>
        <v>0.15947843530591777</v>
      </c>
      <c r="S21" s="154">
        <f t="shared" si="10"/>
        <v>0.10062893081761007</v>
      </c>
    </row>
    <row r="22" spans="1:23" s="147" customFormat="1">
      <c r="A22" s="6">
        <v>46142</v>
      </c>
      <c r="B22" s="50" t="s">
        <v>166</v>
      </c>
      <c r="C22" s="142" t="s">
        <v>486</v>
      </c>
      <c r="D22" s="162">
        <v>0.79166666666666663</v>
      </c>
      <c r="E22" s="100" t="s">
        <v>1029</v>
      </c>
      <c r="F22" s="100" t="s">
        <v>845</v>
      </c>
      <c r="G22" s="100" t="s">
        <v>1030</v>
      </c>
      <c r="H22" s="100" t="s">
        <v>845</v>
      </c>
      <c r="I22" s="163" t="s">
        <v>209</v>
      </c>
      <c r="J22" s="100" t="s">
        <v>830</v>
      </c>
      <c r="K22" s="143" t="s">
        <v>149</v>
      </c>
      <c r="L22" s="155">
        <v>531</v>
      </c>
      <c r="M22" s="155">
        <v>99</v>
      </c>
      <c r="N22" s="155">
        <v>22</v>
      </c>
      <c r="O22" s="155">
        <v>3</v>
      </c>
      <c r="P22" s="155">
        <v>1</v>
      </c>
      <c r="Q22" s="155"/>
      <c r="R22" s="154">
        <f t="shared" si="9"/>
        <v>0.1864406779661017</v>
      </c>
      <c r="S22" s="154">
        <f t="shared" si="10"/>
        <v>0.22222222222222221</v>
      </c>
    </row>
    <row r="23" spans="1:23" s="147" customFormat="1" ht="16.8">
      <c r="A23" s="6">
        <v>46142</v>
      </c>
      <c r="B23" s="50" t="s">
        <v>166</v>
      </c>
      <c r="C23" s="142" t="s">
        <v>487</v>
      </c>
      <c r="D23" s="162">
        <v>0.82291666666666663</v>
      </c>
      <c r="E23" s="65" t="s">
        <v>1031</v>
      </c>
      <c r="F23" s="100" t="s">
        <v>845</v>
      </c>
      <c r="G23" s="100" t="s">
        <v>1027</v>
      </c>
      <c r="H23" s="100" t="s">
        <v>845</v>
      </c>
      <c r="I23" s="163" t="s">
        <v>209</v>
      </c>
      <c r="J23" s="100" t="s">
        <v>830</v>
      </c>
      <c r="K23" s="52" t="s">
        <v>210</v>
      </c>
      <c r="L23" s="155">
        <v>1082</v>
      </c>
      <c r="M23" s="155">
        <v>27</v>
      </c>
      <c r="N23" s="155">
        <v>13</v>
      </c>
      <c r="O23" s="155">
        <v>0</v>
      </c>
      <c r="P23" s="155">
        <v>0</v>
      </c>
      <c r="Q23" s="155"/>
      <c r="R23" s="154">
        <f t="shared" si="9"/>
        <v>2.4953789279112754E-2</v>
      </c>
      <c r="S23" s="154">
        <f t="shared" si="10"/>
        <v>0.48148148148148145</v>
      </c>
    </row>
    <row r="24" spans="1:23" s="147" customFormat="1">
      <c r="A24" s="6">
        <v>46142</v>
      </c>
      <c r="B24" s="50" t="s">
        <v>166</v>
      </c>
      <c r="C24" s="142" t="s">
        <v>487</v>
      </c>
      <c r="D24" s="162">
        <v>0.8125</v>
      </c>
      <c r="E24" s="65" t="s">
        <v>1032</v>
      </c>
      <c r="F24" s="100" t="s">
        <v>845</v>
      </c>
      <c r="G24" s="100" t="s">
        <v>1030</v>
      </c>
      <c r="H24" s="100" t="s">
        <v>845</v>
      </c>
      <c r="I24" s="163" t="s">
        <v>209</v>
      </c>
      <c r="J24" s="100" t="s">
        <v>830</v>
      </c>
      <c r="K24" s="7" t="s">
        <v>121</v>
      </c>
      <c r="L24" s="155">
        <v>432</v>
      </c>
      <c r="M24" s="155">
        <v>21</v>
      </c>
      <c r="N24" s="155">
        <v>9</v>
      </c>
      <c r="O24" s="155">
        <v>0</v>
      </c>
      <c r="P24" s="155">
        <v>0</v>
      </c>
      <c r="Q24" s="155"/>
      <c r="R24" s="154">
        <f t="shared" si="9"/>
        <v>4.8611111111111112E-2</v>
      </c>
      <c r="S24" s="154">
        <f t="shared" si="10"/>
        <v>0.42857142857142855</v>
      </c>
    </row>
    <row r="25" spans="1:23" ht="7.8" customHeight="1">
      <c r="A25" s="8"/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58"/>
    </row>
    <row r="26" spans="1:23">
      <c r="A26" s="6">
        <v>46143</v>
      </c>
      <c r="B26" s="50" t="s">
        <v>206</v>
      </c>
      <c r="C26" s="142" t="s">
        <v>486</v>
      </c>
      <c r="D26" s="142"/>
      <c r="E26" s="65" t="s">
        <v>1150</v>
      </c>
      <c r="F26" s="100" t="s">
        <v>845</v>
      </c>
      <c r="G26" s="7" t="s">
        <v>846</v>
      </c>
      <c r="H26" s="100" t="s">
        <v>845</v>
      </c>
      <c r="I26" s="163">
        <v>3000</v>
      </c>
      <c r="J26" s="100" t="s">
        <v>830</v>
      </c>
      <c r="K26" s="143" t="s">
        <v>686</v>
      </c>
      <c r="L26" s="153">
        <v>2999</v>
      </c>
      <c r="M26" s="153">
        <v>2121</v>
      </c>
      <c r="N26" s="153">
        <v>1433</v>
      </c>
      <c r="O26" s="153">
        <v>0</v>
      </c>
      <c r="P26" s="153">
        <v>0</v>
      </c>
      <c r="Q26" s="153"/>
      <c r="R26" s="154">
        <f t="shared" ref="R26:R38" si="13">M26/L26</f>
        <v>0.70723574524841615</v>
      </c>
      <c r="S26" s="154">
        <f t="shared" ref="S26:S38" si="14">N26/M26</f>
        <v>0.6756247053276756</v>
      </c>
      <c r="U26" s="153">
        <v>2999</v>
      </c>
      <c r="V26" s="153">
        <v>2121</v>
      </c>
      <c r="W26" s="153">
        <v>1433</v>
      </c>
    </row>
    <row r="27" spans="1:23">
      <c r="A27" s="6">
        <v>46143</v>
      </c>
      <c r="B27" s="50" t="s">
        <v>206</v>
      </c>
      <c r="C27" s="142" t="s">
        <v>486</v>
      </c>
      <c r="D27" s="142"/>
      <c r="E27" s="65" t="s">
        <v>1151</v>
      </c>
      <c r="F27" s="100" t="s">
        <v>845</v>
      </c>
      <c r="G27" s="7" t="s">
        <v>846</v>
      </c>
      <c r="H27" s="100" t="s">
        <v>845</v>
      </c>
      <c r="I27" s="163">
        <v>3000</v>
      </c>
      <c r="J27" s="100" t="s">
        <v>830</v>
      </c>
      <c r="K27" s="143" t="s">
        <v>686</v>
      </c>
      <c r="L27" s="153">
        <v>2999</v>
      </c>
      <c r="M27" s="153">
        <v>2127</v>
      </c>
      <c r="N27" s="153">
        <v>1402</v>
      </c>
      <c r="O27" s="153">
        <v>0</v>
      </c>
      <c r="P27" s="153">
        <v>0</v>
      </c>
      <c r="Q27" s="153"/>
      <c r="R27" s="154">
        <f t="shared" si="13"/>
        <v>0.70923641213737909</v>
      </c>
      <c r="S27" s="154">
        <f t="shared" si="14"/>
        <v>0.65914433474377054</v>
      </c>
      <c r="U27" s="153">
        <v>2999</v>
      </c>
      <c r="V27" s="153">
        <v>2127</v>
      </c>
      <c r="W27" s="153">
        <v>1402</v>
      </c>
    </row>
    <row r="28" spans="1:23">
      <c r="A28" s="6">
        <v>46143</v>
      </c>
      <c r="B28" s="50" t="s">
        <v>206</v>
      </c>
      <c r="C28" s="142" t="s">
        <v>487</v>
      </c>
      <c r="D28" s="142"/>
      <c r="E28" s="65" t="s">
        <v>1152</v>
      </c>
      <c r="F28" s="100" t="s">
        <v>845</v>
      </c>
      <c r="G28" s="7" t="s">
        <v>846</v>
      </c>
      <c r="H28" s="100" t="s">
        <v>845</v>
      </c>
      <c r="I28" s="163">
        <v>500</v>
      </c>
      <c r="J28" s="100" t="s">
        <v>830</v>
      </c>
      <c r="K28" s="143" t="s">
        <v>905</v>
      </c>
      <c r="L28" s="153">
        <v>499</v>
      </c>
      <c r="M28" s="153">
        <v>442</v>
      </c>
      <c r="N28" s="153">
        <v>265</v>
      </c>
      <c r="O28" s="153">
        <v>0</v>
      </c>
      <c r="P28" s="153">
        <v>0</v>
      </c>
      <c r="Q28" s="153"/>
      <c r="R28" s="154">
        <f t="shared" si="13"/>
        <v>0.88577154308617234</v>
      </c>
      <c r="S28" s="154">
        <f t="shared" si="14"/>
        <v>0.59954751131221717</v>
      </c>
      <c r="U28">
        <f>SUM(U26:U27)</f>
        <v>5998</v>
      </c>
      <c r="V28">
        <f>SUM(V26:V27)</f>
        <v>4248</v>
      </c>
      <c r="W28">
        <f>SUM(W26:W27)</f>
        <v>2835</v>
      </c>
    </row>
    <row r="29" spans="1:23">
      <c r="A29" s="6">
        <v>46143</v>
      </c>
      <c r="B29" s="50" t="s">
        <v>206</v>
      </c>
      <c r="C29" s="142" t="s">
        <v>487</v>
      </c>
      <c r="D29" s="142"/>
      <c r="E29" s="65" t="s">
        <v>1153</v>
      </c>
      <c r="F29" s="100" t="s">
        <v>845</v>
      </c>
      <c r="G29" s="7" t="s">
        <v>846</v>
      </c>
      <c r="H29" s="100" t="s">
        <v>845</v>
      </c>
      <c r="I29" s="163">
        <v>500</v>
      </c>
      <c r="J29" s="100" t="s">
        <v>830</v>
      </c>
      <c r="K29" s="143" t="s">
        <v>905</v>
      </c>
      <c r="L29" s="153">
        <v>499</v>
      </c>
      <c r="M29" s="153">
        <v>438</v>
      </c>
      <c r="N29" s="153">
        <v>286</v>
      </c>
      <c r="O29" s="153">
        <v>0</v>
      </c>
      <c r="P29" s="153">
        <v>0</v>
      </c>
      <c r="Q29" s="153"/>
      <c r="R29" s="154">
        <f t="shared" si="13"/>
        <v>0.87775551102204408</v>
      </c>
      <c r="S29" s="154">
        <f t="shared" si="14"/>
        <v>0.65296803652968038</v>
      </c>
    </row>
    <row r="30" spans="1:23">
      <c r="A30" s="6">
        <v>46143</v>
      </c>
      <c r="B30" s="50" t="s">
        <v>206</v>
      </c>
      <c r="C30" s="142" t="s">
        <v>487</v>
      </c>
      <c r="D30" s="142"/>
      <c r="E30" s="65" t="s">
        <v>1154</v>
      </c>
      <c r="F30" s="100" t="s">
        <v>845</v>
      </c>
      <c r="G30" s="7" t="s">
        <v>846</v>
      </c>
      <c r="H30" s="100" t="s">
        <v>845</v>
      </c>
      <c r="I30" s="163">
        <v>500</v>
      </c>
      <c r="J30" s="100" t="s">
        <v>830</v>
      </c>
      <c r="K30" s="143" t="s">
        <v>905</v>
      </c>
      <c r="L30" s="153">
        <v>499</v>
      </c>
      <c r="M30" s="153">
        <v>439</v>
      </c>
      <c r="N30" s="153">
        <v>278</v>
      </c>
      <c r="O30" s="153">
        <v>0</v>
      </c>
      <c r="P30" s="153">
        <v>0</v>
      </c>
      <c r="Q30" s="153"/>
      <c r="R30" s="154">
        <f t="shared" ref="R30" si="15">M30/L30</f>
        <v>0.87975951903807614</v>
      </c>
      <c r="S30" s="154">
        <f t="shared" ref="S30" si="16">N30/M30</f>
        <v>0.63325740318906609</v>
      </c>
    </row>
    <row r="31" spans="1:23">
      <c r="A31" s="6">
        <v>46143</v>
      </c>
      <c r="B31" s="50" t="s">
        <v>206</v>
      </c>
      <c r="C31" s="142" t="s">
        <v>486</v>
      </c>
      <c r="D31" s="142" t="s">
        <v>896</v>
      </c>
      <c r="E31" s="160" t="s">
        <v>894</v>
      </c>
      <c r="F31" s="18" t="s">
        <v>845</v>
      </c>
      <c r="G31" s="18" t="s">
        <v>897</v>
      </c>
      <c r="H31" s="18" t="s">
        <v>845</v>
      </c>
      <c r="I31" s="161"/>
      <c r="J31" s="18" t="s">
        <v>867</v>
      </c>
      <c r="K31" s="157" t="s">
        <v>106</v>
      </c>
      <c r="L31" s="153">
        <v>501</v>
      </c>
      <c r="M31" s="153">
        <v>95</v>
      </c>
      <c r="N31" s="153">
        <v>32</v>
      </c>
      <c r="O31" s="153">
        <v>8</v>
      </c>
      <c r="P31" s="153">
        <v>0</v>
      </c>
      <c r="Q31" s="153"/>
      <c r="R31" s="154">
        <f t="shared" si="13"/>
        <v>0.18962075848303392</v>
      </c>
      <c r="S31" s="154">
        <f t="shared" si="14"/>
        <v>0.33684210526315789</v>
      </c>
    </row>
    <row r="32" spans="1:23">
      <c r="A32" s="6">
        <v>46143</v>
      </c>
      <c r="B32" s="50" t="s">
        <v>206</v>
      </c>
      <c r="C32" s="142" t="s">
        <v>487</v>
      </c>
      <c r="D32" s="142" t="s">
        <v>896</v>
      </c>
      <c r="E32" s="160" t="s">
        <v>895</v>
      </c>
      <c r="F32" s="18" t="s">
        <v>845</v>
      </c>
      <c r="G32" s="18" t="s">
        <v>897</v>
      </c>
      <c r="H32" s="18" t="s">
        <v>845</v>
      </c>
      <c r="I32" s="161"/>
      <c r="J32" s="18" t="s">
        <v>867</v>
      </c>
      <c r="K32" s="18" t="s">
        <v>186</v>
      </c>
      <c r="L32" s="153">
        <v>1068</v>
      </c>
      <c r="M32" s="153">
        <v>10</v>
      </c>
      <c r="N32" s="153">
        <v>3</v>
      </c>
      <c r="O32" s="153">
        <v>0</v>
      </c>
      <c r="P32" s="153">
        <v>3</v>
      </c>
      <c r="Q32" s="153"/>
      <c r="R32" s="154">
        <f t="shared" si="13"/>
        <v>9.3632958801498131E-3</v>
      </c>
      <c r="S32" s="154">
        <f t="shared" si="14"/>
        <v>0.3</v>
      </c>
    </row>
    <row r="33" spans="1:24">
      <c r="A33" s="6">
        <v>46143</v>
      </c>
      <c r="B33" s="50" t="s">
        <v>206</v>
      </c>
      <c r="C33" s="142" t="s">
        <v>486</v>
      </c>
      <c r="D33" s="142" t="s">
        <v>590</v>
      </c>
      <c r="E33" s="160" t="s">
        <v>1177</v>
      </c>
      <c r="F33" s="18" t="s">
        <v>845</v>
      </c>
      <c r="G33" s="18" t="s">
        <v>1178</v>
      </c>
      <c r="H33" s="18" t="s">
        <v>845</v>
      </c>
      <c r="I33" s="161"/>
      <c r="J33" s="18" t="s">
        <v>867</v>
      </c>
      <c r="K33" s="18" t="s">
        <v>1134</v>
      </c>
      <c r="L33" s="153">
        <v>615</v>
      </c>
      <c r="M33" s="153">
        <v>207</v>
      </c>
      <c r="N33" s="153">
        <v>65</v>
      </c>
      <c r="O33" s="153">
        <v>12</v>
      </c>
      <c r="P33" s="153">
        <v>1</v>
      </c>
      <c r="Q33" s="153"/>
      <c r="R33" s="154">
        <f t="shared" ref="R33:R34" si="17">M33/L33</f>
        <v>0.33658536585365856</v>
      </c>
      <c r="S33" s="154">
        <f t="shared" ref="S33:S34" si="18">N33/M33</f>
        <v>0.3140096618357488</v>
      </c>
    </row>
    <row r="34" spans="1:24">
      <c r="A34" s="6">
        <v>46143</v>
      </c>
      <c r="B34" s="50" t="s">
        <v>206</v>
      </c>
      <c r="C34" s="142" t="s">
        <v>487</v>
      </c>
      <c r="D34" s="142" t="s">
        <v>590</v>
      </c>
      <c r="E34" s="160" t="s">
        <v>1179</v>
      </c>
      <c r="F34" s="18" t="s">
        <v>845</v>
      </c>
      <c r="G34" s="18" t="s">
        <v>1178</v>
      </c>
      <c r="H34" s="18" t="s">
        <v>845</v>
      </c>
      <c r="I34" s="161"/>
      <c r="J34" s="18" t="s">
        <v>867</v>
      </c>
      <c r="K34" s="18" t="s">
        <v>1135</v>
      </c>
      <c r="L34" s="153">
        <v>134</v>
      </c>
      <c r="M34" s="153">
        <v>1</v>
      </c>
      <c r="N34" s="153">
        <v>1</v>
      </c>
      <c r="O34" s="153">
        <v>0</v>
      </c>
      <c r="P34" s="153">
        <v>0</v>
      </c>
      <c r="Q34" s="153"/>
      <c r="R34" s="154">
        <f t="shared" si="17"/>
        <v>7.462686567164179E-3</v>
      </c>
      <c r="S34" s="154">
        <f t="shared" si="18"/>
        <v>1</v>
      </c>
    </row>
    <row r="35" spans="1:24" s="147" customFormat="1" ht="16.8">
      <c r="A35" s="6">
        <v>46143</v>
      </c>
      <c r="B35" s="50" t="s">
        <v>206</v>
      </c>
      <c r="C35" s="142" t="s">
        <v>486</v>
      </c>
      <c r="D35" s="162">
        <v>0.8125</v>
      </c>
      <c r="E35" s="100" t="s">
        <v>1155</v>
      </c>
      <c r="F35" s="100" t="s">
        <v>845</v>
      </c>
      <c r="G35" s="100" t="s">
        <v>899</v>
      </c>
      <c r="H35" s="100" t="s">
        <v>845</v>
      </c>
      <c r="I35" s="163"/>
      <c r="J35" s="100" t="s">
        <v>830</v>
      </c>
      <c r="K35" s="52" t="s">
        <v>157</v>
      </c>
      <c r="L35" s="155">
        <v>1691</v>
      </c>
      <c r="M35" s="155">
        <v>313</v>
      </c>
      <c r="N35" s="155">
        <v>60</v>
      </c>
      <c r="O35" s="155">
        <v>5</v>
      </c>
      <c r="P35" s="155">
        <v>3</v>
      </c>
      <c r="Q35" s="155"/>
      <c r="R35" s="154">
        <f t="shared" si="13"/>
        <v>0.1850975753991721</v>
      </c>
      <c r="S35" s="154">
        <f t="shared" si="14"/>
        <v>0.19169329073482427</v>
      </c>
    </row>
    <row r="36" spans="1:24" s="147" customFormat="1">
      <c r="A36" s="6">
        <v>46143</v>
      </c>
      <c r="B36" s="50" t="s">
        <v>206</v>
      </c>
      <c r="C36" s="142" t="s">
        <v>486</v>
      </c>
      <c r="D36" s="162">
        <v>0.79166666666666663</v>
      </c>
      <c r="E36" s="100" t="s">
        <v>1156</v>
      </c>
      <c r="F36" s="100" t="s">
        <v>845</v>
      </c>
      <c r="G36" s="100" t="s">
        <v>901</v>
      </c>
      <c r="H36" s="100" t="s">
        <v>845</v>
      </c>
      <c r="I36" s="163"/>
      <c r="J36" s="100" t="s">
        <v>830</v>
      </c>
      <c r="K36" s="143" t="s">
        <v>149</v>
      </c>
      <c r="L36" s="155">
        <v>857</v>
      </c>
      <c r="M36" s="155">
        <v>237</v>
      </c>
      <c r="N36" s="155">
        <v>64</v>
      </c>
      <c r="O36" s="155">
        <v>10</v>
      </c>
      <c r="P36" s="155">
        <v>1</v>
      </c>
      <c r="Q36" s="155"/>
      <c r="R36" s="154">
        <f t="shared" si="13"/>
        <v>0.27654609101516919</v>
      </c>
      <c r="S36" s="154">
        <f t="shared" si="14"/>
        <v>0.27004219409282698</v>
      </c>
    </row>
    <row r="37" spans="1:24" s="147" customFormat="1" ht="16.8">
      <c r="A37" s="6">
        <v>46143</v>
      </c>
      <c r="B37" s="50" t="s">
        <v>206</v>
      </c>
      <c r="C37" s="142" t="s">
        <v>487</v>
      </c>
      <c r="D37" s="162">
        <v>0.82291666666666663</v>
      </c>
      <c r="E37" s="65" t="s">
        <v>1157</v>
      </c>
      <c r="F37" s="100" t="s">
        <v>845</v>
      </c>
      <c r="G37" s="100" t="s">
        <v>899</v>
      </c>
      <c r="H37" s="100" t="s">
        <v>845</v>
      </c>
      <c r="I37" s="163"/>
      <c r="J37" s="100" t="s">
        <v>830</v>
      </c>
      <c r="K37" s="52" t="s">
        <v>210</v>
      </c>
      <c r="L37" s="155">
        <v>1694</v>
      </c>
      <c r="M37" s="155">
        <v>464</v>
      </c>
      <c r="N37" s="155">
        <v>271</v>
      </c>
      <c r="O37" s="155">
        <v>1</v>
      </c>
      <c r="P37" s="155">
        <v>0</v>
      </c>
      <c r="Q37" s="155"/>
      <c r="R37" s="154">
        <f t="shared" si="13"/>
        <v>0.27390791027154665</v>
      </c>
      <c r="S37" s="154">
        <f t="shared" si="14"/>
        <v>0.58405172413793105</v>
      </c>
    </row>
    <row r="38" spans="1:24" s="147" customFormat="1">
      <c r="A38" s="6">
        <v>46143</v>
      </c>
      <c r="B38" s="50" t="s">
        <v>206</v>
      </c>
      <c r="C38" s="142" t="s">
        <v>487</v>
      </c>
      <c r="D38" s="162">
        <v>0.8125</v>
      </c>
      <c r="E38" s="65" t="s">
        <v>1158</v>
      </c>
      <c r="F38" s="100" t="s">
        <v>845</v>
      </c>
      <c r="G38" s="100" t="s">
        <v>901</v>
      </c>
      <c r="H38" s="100" t="s">
        <v>845</v>
      </c>
      <c r="I38" s="163"/>
      <c r="J38" s="100" t="s">
        <v>830</v>
      </c>
      <c r="K38" s="7" t="s">
        <v>121</v>
      </c>
      <c r="L38" s="155">
        <v>898</v>
      </c>
      <c r="M38" s="155">
        <v>374</v>
      </c>
      <c r="N38" s="155">
        <v>257</v>
      </c>
      <c r="O38" s="155">
        <v>0</v>
      </c>
      <c r="P38" s="155">
        <v>0</v>
      </c>
      <c r="Q38" s="155"/>
      <c r="R38" s="154">
        <f t="shared" si="13"/>
        <v>0.41648106904231624</v>
      </c>
      <c r="S38" s="154">
        <f t="shared" si="14"/>
        <v>0.68716577540106949</v>
      </c>
    </row>
    <row r="39" spans="1:24" ht="7.8" customHeight="1">
      <c r="A39" s="8"/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58"/>
    </row>
    <row r="40" spans="1:24">
      <c r="A40" s="6">
        <v>46144</v>
      </c>
      <c r="B40" s="50" t="s">
        <v>26</v>
      </c>
      <c r="C40" s="142" t="s">
        <v>486</v>
      </c>
      <c r="D40" s="142"/>
      <c r="E40" s="65" t="s">
        <v>1198</v>
      </c>
      <c r="F40" s="100" t="s">
        <v>845</v>
      </c>
      <c r="G40" s="7" t="s">
        <v>846</v>
      </c>
      <c r="H40" s="100" t="s">
        <v>845</v>
      </c>
      <c r="I40" s="163">
        <v>3000</v>
      </c>
      <c r="J40" s="100" t="s">
        <v>830</v>
      </c>
      <c r="K40" s="143" t="s">
        <v>686</v>
      </c>
      <c r="L40" s="153">
        <v>2999</v>
      </c>
      <c r="M40" s="153">
        <v>2127</v>
      </c>
      <c r="N40" s="153">
        <v>1369</v>
      </c>
      <c r="O40" s="153">
        <v>0</v>
      </c>
      <c r="P40" s="153">
        <v>0</v>
      </c>
      <c r="Q40" s="153"/>
      <c r="R40" s="154">
        <f t="shared" ref="R40:R53" si="19">M40/L40</f>
        <v>0.70923641213737909</v>
      </c>
      <c r="S40" s="154">
        <f t="shared" ref="S40:S53" si="20">N40/M40</f>
        <v>0.64362952515279737</v>
      </c>
      <c r="V40" s="153">
        <v>1032</v>
      </c>
      <c r="W40" s="153">
        <v>3</v>
      </c>
      <c r="X40" s="153">
        <v>0</v>
      </c>
    </row>
    <row r="41" spans="1:24">
      <c r="A41" s="6">
        <v>46144</v>
      </c>
      <c r="B41" s="50" t="s">
        <v>26</v>
      </c>
      <c r="C41" s="142" t="s">
        <v>486</v>
      </c>
      <c r="D41" s="142"/>
      <c r="E41" s="65" t="s">
        <v>1199</v>
      </c>
      <c r="F41" s="100" t="s">
        <v>845</v>
      </c>
      <c r="G41" s="7" t="s">
        <v>846</v>
      </c>
      <c r="H41" s="100" t="s">
        <v>845</v>
      </c>
      <c r="I41" s="163">
        <v>3000</v>
      </c>
      <c r="J41" s="100" t="s">
        <v>830</v>
      </c>
      <c r="K41" s="143" t="s">
        <v>686</v>
      </c>
      <c r="L41" s="153">
        <v>2999</v>
      </c>
      <c r="M41" s="153">
        <v>2128</v>
      </c>
      <c r="N41" s="153">
        <v>1411</v>
      </c>
      <c r="O41" s="153">
        <v>0</v>
      </c>
      <c r="P41" s="153">
        <v>0</v>
      </c>
      <c r="Q41" s="153"/>
      <c r="R41" s="154">
        <f t="shared" si="19"/>
        <v>0.70956985661887295</v>
      </c>
      <c r="S41" s="154">
        <f t="shared" si="20"/>
        <v>0.66306390977443608</v>
      </c>
      <c r="V41" s="153">
        <v>165</v>
      </c>
      <c r="W41" s="153">
        <v>1</v>
      </c>
      <c r="X41" s="153">
        <v>0</v>
      </c>
    </row>
    <row r="42" spans="1:24">
      <c r="A42" s="6">
        <v>46144</v>
      </c>
      <c r="B42" s="50" t="s">
        <v>26</v>
      </c>
      <c r="C42" s="142" t="s">
        <v>487</v>
      </c>
      <c r="D42" s="142"/>
      <c r="E42" s="65" t="s">
        <v>1200</v>
      </c>
      <c r="F42" s="100" t="s">
        <v>845</v>
      </c>
      <c r="G42" s="7" t="s">
        <v>846</v>
      </c>
      <c r="H42" s="100" t="s">
        <v>845</v>
      </c>
      <c r="I42" s="163">
        <v>500</v>
      </c>
      <c r="J42" s="100" t="s">
        <v>830</v>
      </c>
      <c r="K42" s="143" t="s">
        <v>905</v>
      </c>
      <c r="L42" s="153">
        <v>380</v>
      </c>
      <c r="M42" s="153">
        <v>344</v>
      </c>
      <c r="N42" s="153">
        <v>233</v>
      </c>
      <c r="O42" s="153">
        <v>0</v>
      </c>
      <c r="P42" s="153">
        <v>0</v>
      </c>
      <c r="Q42" s="153"/>
      <c r="R42" s="154">
        <f t="shared" si="19"/>
        <v>0.90526315789473688</v>
      </c>
      <c r="S42" s="154">
        <f t="shared" si="20"/>
        <v>0.67732558139534882</v>
      </c>
      <c r="V42" s="155">
        <v>1757</v>
      </c>
      <c r="W42" s="155">
        <v>514</v>
      </c>
      <c r="X42" s="155">
        <v>329</v>
      </c>
    </row>
    <row r="43" spans="1:24">
      <c r="A43" s="6">
        <v>46144</v>
      </c>
      <c r="B43" s="50" t="s">
        <v>26</v>
      </c>
      <c r="C43" s="142" t="s">
        <v>487</v>
      </c>
      <c r="D43" s="142"/>
      <c r="E43" s="65" t="s">
        <v>1201</v>
      </c>
      <c r="F43" s="100" t="s">
        <v>845</v>
      </c>
      <c r="G43" s="7" t="s">
        <v>846</v>
      </c>
      <c r="H43" s="100" t="s">
        <v>845</v>
      </c>
      <c r="I43" s="163">
        <v>500</v>
      </c>
      <c r="J43" s="100" t="s">
        <v>830</v>
      </c>
      <c r="K43" s="143" t="s">
        <v>905</v>
      </c>
      <c r="L43" s="153">
        <v>380</v>
      </c>
      <c r="M43" s="153">
        <v>341</v>
      </c>
      <c r="N43" s="153">
        <v>234</v>
      </c>
      <c r="O43" s="153">
        <v>0</v>
      </c>
      <c r="P43" s="153">
        <v>0</v>
      </c>
      <c r="Q43" s="153"/>
      <c r="R43" s="154">
        <f t="shared" si="19"/>
        <v>0.89736842105263159</v>
      </c>
      <c r="S43" s="154">
        <f t="shared" si="20"/>
        <v>0.6862170087976539</v>
      </c>
      <c r="V43" s="155">
        <v>1042</v>
      </c>
      <c r="W43" s="155">
        <v>519</v>
      </c>
      <c r="X43" s="155">
        <v>339</v>
      </c>
    </row>
    <row r="44" spans="1:24">
      <c r="A44" s="6">
        <v>46144</v>
      </c>
      <c r="B44" s="50" t="s">
        <v>26</v>
      </c>
      <c r="C44" s="142" t="s">
        <v>487</v>
      </c>
      <c r="D44" s="142"/>
      <c r="E44" s="65" t="s">
        <v>1202</v>
      </c>
      <c r="F44" s="100" t="s">
        <v>845</v>
      </c>
      <c r="G44" s="7" t="s">
        <v>846</v>
      </c>
      <c r="H44" s="100" t="s">
        <v>845</v>
      </c>
      <c r="I44" s="163">
        <v>500</v>
      </c>
      <c r="J44" s="100" t="s">
        <v>830</v>
      </c>
      <c r="K44" s="143" t="s">
        <v>905</v>
      </c>
      <c r="L44" s="153">
        <v>380</v>
      </c>
      <c r="M44" s="153">
        <v>344</v>
      </c>
      <c r="N44" s="153">
        <v>223</v>
      </c>
      <c r="O44" s="153">
        <v>0</v>
      </c>
      <c r="P44" s="153">
        <v>0</v>
      </c>
      <c r="Q44" s="153"/>
      <c r="R44" s="154">
        <f t="shared" si="19"/>
        <v>0.90526315789473688</v>
      </c>
      <c r="S44" s="154">
        <f t="shared" si="20"/>
        <v>0.64825581395348841</v>
      </c>
      <c r="V44">
        <f>SUM(V40:V43)</f>
        <v>3996</v>
      </c>
      <c r="W44">
        <f>SUM(W40:W43)</f>
        <v>1037</v>
      </c>
      <c r="X44">
        <f>SUM(X40:X43)</f>
        <v>668</v>
      </c>
    </row>
    <row r="45" spans="1:24">
      <c r="A45" s="6">
        <v>46144</v>
      </c>
      <c r="B45" s="50" t="s">
        <v>26</v>
      </c>
      <c r="C45" s="142" t="s">
        <v>487</v>
      </c>
      <c r="D45" s="142"/>
      <c r="E45" s="65" t="s">
        <v>1203</v>
      </c>
      <c r="F45" s="100" t="s">
        <v>845</v>
      </c>
      <c r="G45" s="7" t="s">
        <v>846</v>
      </c>
      <c r="H45" s="100" t="s">
        <v>845</v>
      </c>
      <c r="I45" s="163">
        <v>500</v>
      </c>
      <c r="J45" s="100" t="s">
        <v>830</v>
      </c>
      <c r="K45" s="143" t="s">
        <v>905</v>
      </c>
      <c r="L45" s="153">
        <v>380</v>
      </c>
      <c r="M45" s="153">
        <v>344</v>
      </c>
      <c r="N45" s="153">
        <v>226</v>
      </c>
      <c r="O45" s="153">
        <v>0</v>
      </c>
      <c r="P45" s="153">
        <v>0</v>
      </c>
      <c r="Q45" s="153"/>
      <c r="R45" s="154">
        <f t="shared" si="19"/>
        <v>0.90526315789473688</v>
      </c>
      <c r="S45" s="154">
        <f t="shared" si="20"/>
        <v>0.65697674418604646</v>
      </c>
    </row>
    <row r="46" spans="1:24">
      <c r="A46" s="6">
        <v>46144</v>
      </c>
      <c r="B46" s="50" t="s">
        <v>26</v>
      </c>
      <c r="C46" s="142" t="s">
        <v>486</v>
      </c>
      <c r="D46" s="142" t="s">
        <v>896</v>
      </c>
      <c r="E46" s="160" t="s">
        <v>894</v>
      </c>
      <c r="F46" s="18" t="s">
        <v>845</v>
      </c>
      <c r="G46" s="18" t="s">
        <v>897</v>
      </c>
      <c r="H46" s="18" t="s">
        <v>845</v>
      </c>
      <c r="I46" s="161"/>
      <c r="J46" s="18" t="s">
        <v>867</v>
      </c>
      <c r="K46" s="157" t="s">
        <v>106</v>
      </c>
      <c r="L46" s="153">
        <v>473</v>
      </c>
      <c r="M46" s="153">
        <v>89</v>
      </c>
      <c r="N46" s="153">
        <v>21</v>
      </c>
      <c r="O46" s="153">
        <v>8</v>
      </c>
      <c r="P46" s="153">
        <v>3</v>
      </c>
      <c r="Q46" s="153"/>
      <c r="R46" s="154">
        <f t="shared" si="19"/>
        <v>0.18816067653276955</v>
      </c>
      <c r="S46" s="154">
        <f t="shared" si="20"/>
        <v>0.23595505617977527</v>
      </c>
    </row>
    <row r="47" spans="1:24">
      <c r="A47" s="6">
        <v>46144</v>
      </c>
      <c r="B47" s="50" t="s">
        <v>26</v>
      </c>
      <c r="C47" s="142" t="s">
        <v>487</v>
      </c>
      <c r="D47" s="142" t="s">
        <v>896</v>
      </c>
      <c r="E47" s="160" t="s">
        <v>895</v>
      </c>
      <c r="F47" s="18" t="s">
        <v>845</v>
      </c>
      <c r="G47" s="18" t="s">
        <v>897</v>
      </c>
      <c r="H47" s="18" t="s">
        <v>845</v>
      </c>
      <c r="I47" s="161"/>
      <c r="J47" s="18" t="s">
        <v>867</v>
      </c>
      <c r="K47" s="18" t="s">
        <v>186</v>
      </c>
      <c r="L47" s="153">
        <v>1032</v>
      </c>
      <c r="M47" s="153">
        <v>3</v>
      </c>
      <c r="N47" s="153">
        <v>0</v>
      </c>
      <c r="O47" s="153">
        <v>0</v>
      </c>
      <c r="P47" s="153">
        <v>2</v>
      </c>
      <c r="Q47" s="153"/>
      <c r="R47" s="154">
        <f t="shared" si="19"/>
        <v>2.9069767441860465E-3</v>
      </c>
      <c r="S47" s="154">
        <f t="shared" si="20"/>
        <v>0</v>
      </c>
    </row>
    <row r="48" spans="1:24">
      <c r="A48" s="6">
        <v>46144</v>
      </c>
      <c r="B48" s="50" t="s">
        <v>26</v>
      </c>
      <c r="C48" s="142" t="s">
        <v>486</v>
      </c>
      <c r="D48" s="142" t="s">
        <v>590</v>
      </c>
      <c r="E48" s="160" t="s">
        <v>1177</v>
      </c>
      <c r="F48" s="18" t="s">
        <v>845</v>
      </c>
      <c r="G48" s="18" t="s">
        <v>1178</v>
      </c>
      <c r="H48" s="18" t="s">
        <v>845</v>
      </c>
      <c r="I48" s="161"/>
      <c r="J48" s="18" t="s">
        <v>867</v>
      </c>
      <c r="K48" s="18" t="s">
        <v>1134</v>
      </c>
      <c r="L48" s="153">
        <v>777</v>
      </c>
      <c r="M48" s="153">
        <v>165</v>
      </c>
      <c r="N48" s="153">
        <v>65</v>
      </c>
      <c r="O48" s="153">
        <v>14</v>
      </c>
      <c r="P48" s="153">
        <v>1</v>
      </c>
      <c r="Q48" s="153"/>
      <c r="R48" s="154">
        <f t="shared" si="19"/>
        <v>0.21235521235521235</v>
      </c>
      <c r="S48" s="154">
        <f t="shared" si="20"/>
        <v>0.39393939393939392</v>
      </c>
    </row>
    <row r="49" spans="1:25">
      <c r="A49" s="6">
        <v>46144</v>
      </c>
      <c r="B49" s="50" t="s">
        <v>26</v>
      </c>
      <c r="C49" s="142" t="s">
        <v>487</v>
      </c>
      <c r="D49" s="142" t="s">
        <v>590</v>
      </c>
      <c r="E49" s="160" t="s">
        <v>1179</v>
      </c>
      <c r="F49" s="18" t="s">
        <v>845</v>
      </c>
      <c r="G49" s="18" t="s">
        <v>1178</v>
      </c>
      <c r="H49" s="18" t="s">
        <v>845</v>
      </c>
      <c r="I49" s="161"/>
      <c r="J49" s="18" t="s">
        <v>867</v>
      </c>
      <c r="K49" s="18" t="s">
        <v>1135</v>
      </c>
      <c r="L49" s="153">
        <v>165</v>
      </c>
      <c r="M49" s="153">
        <v>1</v>
      </c>
      <c r="N49" s="153">
        <v>0</v>
      </c>
      <c r="O49" s="153">
        <v>0</v>
      </c>
      <c r="P49" s="153">
        <v>0</v>
      </c>
      <c r="Q49" s="153"/>
      <c r="R49" s="154">
        <f t="shared" si="19"/>
        <v>6.0606060606060606E-3</v>
      </c>
      <c r="S49" s="154">
        <f t="shared" si="20"/>
        <v>0</v>
      </c>
    </row>
    <row r="50" spans="1:25" s="147" customFormat="1" ht="16.8">
      <c r="A50" s="6">
        <v>46144</v>
      </c>
      <c r="B50" s="50" t="s">
        <v>26</v>
      </c>
      <c r="C50" s="142" t="s">
        <v>486</v>
      </c>
      <c r="D50" s="162">
        <v>0.8125</v>
      </c>
      <c r="E50" s="65" t="s">
        <v>1204</v>
      </c>
      <c r="F50" s="100" t="s">
        <v>845</v>
      </c>
      <c r="G50" s="100" t="s">
        <v>1027</v>
      </c>
      <c r="H50" s="100" t="s">
        <v>845</v>
      </c>
      <c r="I50" s="163"/>
      <c r="J50" s="100" t="s">
        <v>830</v>
      </c>
      <c r="K50" s="52" t="s">
        <v>157</v>
      </c>
      <c r="L50" s="155">
        <v>2033</v>
      </c>
      <c r="M50" s="155">
        <v>284</v>
      </c>
      <c r="N50" s="155">
        <v>37</v>
      </c>
      <c r="O50" s="155">
        <v>7</v>
      </c>
      <c r="P50" s="155">
        <v>0</v>
      </c>
      <c r="Q50" s="155"/>
      <c r="R50" s="154">
        <f t="shared" si="19"/>
        <v>0.1396950319724545</v>
      </c>
      <c r="S50" s="154">
        <f t="shared" si="20"/>
        <v>0.13028169014084506</v>
      </c>
    </row>
    <row r="51" spans="1:25" s="147" customFormat="1">
      <c r="A51" s="6">
        <v>46144</v>
      </c>
      <c r="B51" s="50" t="s">
        <v>26</v>
      </c>
      <c r="C51" s="142" t="s">
        <v>486</v>
      </c>
      <c r="D51" s="162">
        <v>0.79166666666666663</v>
      </c>
      <c r="E51" s="65" t="s">
        <v>1205</v>
      </c>
      <c r="F51" s="100" t="s">
        <v>845</v>
      </c>
      <c r="G51" s="100" t="s">
        <v>1030</v>
      </c>
      <c r="H51" s="100" t="s">
        <v>845</v>
      </c>
      <c r="I51" s="163"/>
      <c r="J51" s="100" t="s">
        <v>830</v>
      </c>
      <c r="K51" s="143" t="s">
        <v>149</v>
      </c>
      <c r="L51" s="155">
        <v>1080</v>
      </c>
      <c r="M51" s="155">
        <v>157</v>
      </c>
      <c r="N51" s="155">
        <v>33</v>
      </c>
      <c r="O51" s="155">
        <v>6</v>
      </c>
      <c r="P51" s="155">
        <v>0</v>
      </c>
      <c r="Q51" s="155"/>
      <c r="R51" s="154">
        <f t="shared" si="19"/>
        <v>0.14537037037037037</v>
      </c>
      <c r="S51" s="154">
        <f t="shared" si="20"/>
        <v>0.21019108280254778</v>
      </c>
    </row>
    <row r="52" spans="1:25" s="147" customFormat="1" ht="16.8">
      <c r="A52" s="6">
        <v>46144</v>
      </c>
      <c r="B52" s="50" t="s">
        <v>26</v>
      </c>
      <c r="C52" s="142" t="s">
        <v>487</v>
      </c>
      <c r="D52" s="162">
        <v>0.82291666666666663</v>
      </c>
      <c r="E52" s="65" t="s">
        <v>1206</v>
      </c>
      <c r="F52" s="100" t="s">
        <v>845</v>
      </c>
      <c r="G52" s="100" t="s">
        <v>1027</v>
      </c>
      <c r="H52" s="100" t="s">
        <v>845</v>
      </c>
      <c r="I52" s="163"/>
      <c r="J52" s="100" t="s">
        <v>830</v>
      </c>
      <c r="K52" s="52" t="s">
        <v>210</v>
      </c>
      <c r="L52" s="155">
        <v>1757</v>
      </c>
      <c r="M52" s="155">
        <v>514</v>
      </c>
      <c r="N52" s="155">
        <v>329</v>
      </c>
      <c r="O52" s="155">
        <v>1</v>
      </c>
      <c r="P52" s="155">
        <v>0</v>
      </c>
      <c r="Q52" s="155"/>
      <c r="R52" s="154">
        <f t="shared" si="19"/>
        <v>0.292544109277177</v>
      </c>
      <c r="S52" s="154">
        <f t="shared" si="20"/>
        <v>0.6400778210116731</v>
      </c>
    </row>
    <row r="53" spans="1:25" s="147" customFormat="1">
      <c r="A53" s="6">
        <v>46144</v>
      </c>
      <c r="B53" s="50" t="s">
        <v>26</v>
      </c>
      <c r="C53" s="142" t="s">
        <v>487</v>
      </c>
      <c r="D53" s="162">
        <v>0.8125</v>
      </c>
      <c r="E53" s="65" t="s">
        <v>1207</v>
      </c>
      <c r="F53" s="100" t="s">
        <v>845</v>
      </c>
      <c r="G53" s="100" t="s">
        <v>1030</v>
      </c>
      <c r="H53" s="100" t="s">
        <v>845</v>
      </c>
      <c r="I53" s="163"/>
      <c r="J53" s="100" t="s">
        <v>830</v>
      </c>
      <c r="K53" s="7" t="s">
        <v>121</v>
      </c>
      <c r="L53" s="155">
        <v>1042</v>
      </c>
      <c r="M53" s="155">
        <v>519</v>
      </c>
      <c r="N53" s="155">
        <v>339</v>
      </c>
      <c r="O53" s="155">
        <v>1</v>
      </c>
      <c r="P53" s="155">
        <v>0</v>
      </c>
      <c r="Q53" s="155"/>
      <c r="R53" s="154">
        <f t="shared" si="19"/>
        <v>0.4980806142034549</v>
      </c>
      <c r="S53" s="154">
        <f t="shared" si="20"/>
        <v>0.65317919075144504</v>
      </c>
    </row>
    <row r="54" spans="1:25" ht="7.8" customHeight="1">
      <c r="A54" s="8"/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58"/>
    </row>
    <row r="55" spans="1:25">
      <c r="A55" s="6">
        <v>46145</v>
      </c>
      <c r="B55" s="50" t="s">
        <v>33</v>
      </c>
      <c r="C55" s="142" t="s">
        <v>486</v>
      </c>
      <c r="D55" s="142"/>
      <c r="E55" s="65" t="s">
        <v>1240</v>
      </c>
      <c r="F55" s="100" t="s">
        <v>845</v>
      </c>
      <c r="G55" s="7" t="s">
        <v>846</v>
      </c>
      <c r="H55" s="100" t="s">
        <v>845</v>
      </c>
      <c r="I55" s="163">
        <v>3000</v>
      </c>
      <c r="J55" s="100" t="s">
        <v>830</v>
      </c>
      <c r="K55" s="143" t="s">
        <v>1274</v>
      </c>
      <c r="L55" s="153">
        <v>2999</v>
      </c>
      <c r="M55" s="153">
        <v>2119</v>
      </c>
      <c r="N55" s="153">
        <v>1376</v>
      </c>
      <c r="O55" s="153">
        <v>0</v>
      </c>
      <c r="P55" s="153">
        <v>0</v>
      </c>
      <c r="Q55" s="153"/>
      <c r="R55" s="154">
        <f t="shared" ref="R55:R59" si="21">M55/L55</f>
        <v>0.70656885628542843</v>
      </c>
      <c r="S55" s="154">
        <f t="shared" ref="S55:S59" si="22">N55/M55</f>
        <v>0.6493629070316187</v>
      </c>
    </row>
    <row r="56" spans="1:25">
      <c r="A56" s="6">
        <v>46145</v>
      </c>
      <c r="B56" s="50" t="s">
        <v>33</v>
      </c>
      <c r="C56" s="142" t="s">
        <v>486</v>
      </c>
      <c r="D56" s="142"/>
      <c r="E56" s="65" t="s">
        <v>1241</v>
      </c>
      <c r="F56" s="100" t="s">
        <v>845</v>
      </c>
      <c r="G56" s="7" t="s">
        <v>846</v>
      </c>
      <c r="H56" s="100" t="s">
        <v>845</v>
      </c>
      <c r="I56" s="163">
        <v>3000</v>
      </c>
      <c r="J56" s="100" t="s">
        <v>830</v>
      </c>
      <c r="K56" s="143" t="s">
        <v>1274</v>
      </c>
      <c r="L56" s="153">
        <v>2999</v>
      </c>
      <c r="M56" s="153">
        <v>2120</v>
      </c>
      <c r="N56" s="153">
        <v>1402</v>
      </c>
      <c r="O56" s="153">
        <v>0</v>
      </c>
      <c r="P56" s="153">
        <v>0</v>
      </c>
      <c r="Q56" s="153"/>
      <c r="R56" s="154">
        <f t="shared" si="21"/>
        <v>0.70690230076692229</v>
      </c>
      <c r="S56" s="154">
        <f t="shared" si="22"/>
        <v>0.66132075471698115</v>
      </c>
      <c r="W56" s="153"/>
      <c r="X56" s="153"/>
      <c r="Y56" s="153"/>
    </row>
    <row r="57" spans="1:25">
      <c r="A57" s="6">
        <v>46145</v>
      </c>
      <c r="B57" s="50" t="s">
        <v>33</v>
      </c>
      <c r="C57" s="142" t="s">
        <v>487</v>
      </c>
      <c r="D57" s="142"/>
      <c r="E57" s="65" t="s">
        <v>1242</v>
      </c>
      <c r="F57" s="100" t="s">
        <v>845</v>
      </c>
      <c r="G57" s="7" t="s">
        <v>846</v>
      </c>
      <c r="H57" s="100" t="s">
        <v>845</v>
      </c>
      <c r="I57" s="163">
        <v>500</v>
      </c>
      <c r="J57" s="100" t="s">
        <v>830</v>
      </c>
      <c r="K57" s="143" t="s">
        <v>905</v>
      </c>
      <c r="L57" s="153">
        <v>380</v>
      </c>
      <c r="M57" s="153">
        <v>331</v>
      </c>
      <c r="N57" s="153">
        <v>223</v>
      </c>
      <c r="O57" s="153">
        <v>0</v>
      </c>
      <c r="P57" s="153">
        <v>0</v>
      </c>
      <c r="Q57" s="153"/>
      <c r="R57" s="154">
        <f t="shared" si="21"/>
        <v>0.87105263157894741</v>
      </c>
      <c r="S57" s="154">
        <f t="shared" si="22"/>
        <v>0.6737160120845922</v>
      </c>
      <c r="W57" s="153"/>
      <c r="X57" s="153"/>
      <c r="Y57" s="153"/>
    </row>
    <row r="58" spans="1:25">
      <c r="A58" s="6">
        <v>46145</v>
      </c>
      <c r="B58" s="50" t="s">
        <v>33</v>
      </c>
      <c r="C58" s="142" t="s">
        <v>487</v>
      </c>
      <c r="D58" s="142"/>
      <c r="E58" s="65" t="s">
        <v>1243</v>
      </c>
      <c r="F58" s="100" t="s">
        <v>845</v>
      </c>
      <c r="G58" s="7" t="s">
        <v>846</v>
      </c>
      <c r="H58" s="100" t="s">
        <v>845</v>
      </c>
      <c r="I58" s="163">
        <v>500</v>
      </c>
      <c r="J58" s="100" t="s">
        <v>830</v>
      </c>
      <c r="K58" s="143" t="s">
        <v>905</v>
      </c>
      <c r="L58" s="153">
        <v>380</v>
      </c>
      <c r="M58" s="153">
        <v>333</v>
      </c>
      <c r="N58" s="153">
        <v>214</v>
      </c>
      <c r="O58" s="153">
        <v>0</v>
      </c>
      <c r="P58" s="153">
        <v>0</v>
      </c>
      <c r="Q58" s="153"/>
      <c r="R58" s="154">
        <f t="shared" si="21"/>
        <v>0.87631578947368416</v>
      </c>
      <c r="S58" s="154">
        <f t="shared" si="22"/>
        <v>0.64264264264264259</v>
      </c>
      <c r="W58" s="155"/>
      <c r="X58" s="155"/>
      <c r="Y58" s="155"/>
    </row>
    <row r="59" spans="1:25">
      <c r="A59" s="6">
        <v>46145</v>
      </c>
      <c r="B59" s="50" t="s">
        <v>33</v>
      </c>
      <c r="C59" s="142" t="s">
        <v>487</v>
      </c>
      <c r="D59" s="142"/>
      <c r="E59" s="65" t="s">
        <v>1244</v>
      </c>
      <c r="F59" s="100" t="s">
        <v>845</v>
      </c>
      <c r="G59" s="7" t="s">
        <v>846</v>
      </c>
      <c r="H59" s="100" t="s">
        <v>845</v>
      </c>
      <c r="I59" s="163">
        <v>500</v>
      </c>
      <c r="J59" s="100" t="s">
        <v>830</v>
      </c>
      <c r="K59" s="143" t="s">
        <v>905</v>
      </c>
      <c r="L59" s="153">
        <v>380</v>
      </c>
      <c r="M59" s="153">
        <v>330</v>
      </c>
      <c r="N59" s="153">
        <v>232</v>
      </c>
      <c r="O59" s="153">
        <v>0</v>
      </c>
      <c r="P59" s="153">
        <v>0</v>
      </c>
      <c r="Q59" s="153"/>
      <c r="R59" s="154">
        <f t="shared" si="21"/>
        <v>0.86842105263157898</v>
      </c>
      <c r="S59" s="154">
        <f t="shared" si="22"/>
        <v>0.70303030303030301</v>
      </c>
      <c r="W59" s="155"/>
      <c r="X59" s="155"/>
      <c r="Y59" s="155"/>
    </row>
    <row r="60" spans="1:25">
      <c r="A60" s="6">
        <v>46145</v>
      </c>
      <c r="B60" s="50" t="s">
        <v>33</v>
      </c>
      <c r="C60" s="142" t="s">
        <v>487</v>
      </c>
      <c r="D60" s="142"/>
      <c r="E60" s="65" t="s">
        <v>1245</v>
      </c>
      <c r="F60" s="100" t="s">
        <v>845</v>
      </c>
      <c r="G60" s="7" t="s">
        <v>846</v>
      </c>
      <c r="H60" s="100" t="s">
        <v>845</v>
      </c>
      <c r="I60" s="163">
        <v>500</v>
      </c>
      <c r="J60" s="100" t="s">
        <v>830</v>
      </c>
      <c r="K60" s="143" t="s">
        <v>905</v>
      </c>
      <c r="L60" s="153">
        <v>380</v>
      </c>
      <c r="M60" s="153">
        <v>330</v>
      </c>
      <c r="N60" s="153">
        <v>217</v>
      </c>
      <c r="O60" s="153">
        <v>0</v>
      </c>
      <c r="P60" s="153">
        <v>0</v>
      </c>
      <c r="Q60" s="153"/>
      <c r="R60" s="154">
        <f t="shared" ref="R60:R61" si="23">M60/L60</f>
        <v>0.86842105263157898</v>
      </c>
      <c r="S60" s="154">
        <f t="shared" ref="S60:S61" si="24">N60/M60</f>
        <v>0.65757575757575759</v>
      </c>
    </row>
    <row r="61" spans="1:25">
      <c r="A61" s="6">
        <v>46145</v>
      </c>
      <c r="B61" s="50" t="s">
        <v>33</v>
      </c>
      <c r="C61" s="142" t="s">
        <v>487</v>
      </c>
      <c r="D61" s="142"/>
      <c r="E61" s="65" t="s">
        <v>1246</v>
      </c>
      <c r="F61" s="100" t="s">
        <v>845</v>
      </c>
      <c r="G61" s="7" t="s">
        <v>846</v>
      </c>
      <c r="H61" s="100" t="s">
        <v>845</v>
      </c>
      <c r="I61" s="163">
        <v>500</v>
      </c>
      <c r="J61" s="100" t="s">
        <v>830</v>
      </c>
      <c r="K61" s="143" t="s">
        <v>905</v>
      </c>
      <c r="L61" s="153">
        <v>380</v>
      </c>
      <c r="M61" s="153">
        <v>330</v>
      </c>
      <c r="N61" s="153">
        <v>216</v>
      </c>
      <c r="O61" s="153">
        <v>0</v>
      </c>
      <c r="P61" s="153">
        <v>0</v>
      </c>
      <c r="Q61" s="153"/>
      <c r="R61" s="154">
        <f t="shared" si="23"/>
        <v>0.86842105263157898</v>
      </c>
      <c r="S61" s="154">
        <f t="shared" si="24"/>
        <v>0.65454545454545454</v>
      </c>
    </row>
    <row r="62" spans="1:25">
      <c r="A62" s="6">
        <v>46145</v>
      </c>
      <c r="B62" s="50" t="s">
        <v>33</v>
      </c>
      <c r="C62" s="142" t="s">
        <v>486</v>
      </c>
      <c r="D62" s="142" t="s">
        <v>896</v>
      </c>
      <c r="E62" s="160" t="s">
        <v>894</v>
      </c>
      <c r="F62" s="18" t="s">
        <v>845</v>
      </c>
      <c r="G62" s="18" t="s">
        <v>897</v>
      </c>
      <c r="H62" s="18" t="s">
        <v>845</v>
      </c>
      <c r="I62" s="161"/>
      <c r="J62" s="18" t="s">
        <v>867</v>
      </c>
      <c r="K62" s="157" t="s">
        <v>106</v>
      </c>
      <c r="L62" s="153">
        <v>470</v>
      </c>
      <c r="M62" s="153">
        <v>86</v>
      </c>
      <c r="N62" s="153">
        <v>26</v>
      </c>
      <c r="O62" s="153">
        <v>2</v>
      </c>
      <c r="P62" s="153">
        <v>1</v>
      </c>
      <c r="Q62" s="153"/>
      <c r="R62" s="154">
        <f t="shared" ref="R62:R69" si="25">M62/L62</f>
        <v>0.18297872340425531</v>
      </c>
      <c r="S62" s="154">
        <f t="shared" ref="S62:S69" si="26">N62/M62</f>
        <v>0.30232558139534882</v>
      </c>
    </row>
    <row r="63" spans="1:25">
      <c r="A63" s="6">
        <v>46145</v>
      </c>
      <c r="B63" s="50" t="s">
        <v>33</v>
      </c>
      <c r="C63" s="142" t="s">
        <v>487</v>
      </c>
      <c r="D63" s="142" t="s">
        <v>896</v>
      </c>
      <c r="E63" s="160" t="s">
        <v>895</v>
      </c>
      <c r="F63" s="18" t="s">
        <v>845</v>
      </c>
      <c r="G63" s="18" t="s">
        <v>897</v>
      </c>
      <c r="H63" s="18" t="s">
        <v>845</v>
      </c>
      <c r="I63" s="161"/>
      <c r="J63" s="18" t="s">
        <v>867</v>
      </c>
      <c r="K63" s="18" t="s">
        <v>186</v>
      </c>
      <c r="L63" s="153">
        <v>993</v>
      </c>
      <c r="M63" s="153">
        <v>6</v>
      </c>
      <c r="N63" s="153">
        <v>1</v>
      </c>
      <c r="O63" s="153">
        <v>0</v>
      </c>
      <c r="P63" s="153">
        <v>2</v>
      </c>
      <c r="Q63" s="153"/>
      <c r="R63" s="154">
        <f t="shared" si="25"/>
        <v>6.0422960725075529E-3</v>
      </c>
      <c r="S63" s="154">
        <f t="shared" si="26"/>
        <v>0.16666666666666666</v>
      </c>
      <c r="W63" s="153"/>
      <c r="X63" s="153"/>
      <c r="Y63" s="153"/>
    </row>
    <row r="64" spans="1:25">
      <c r="A64" s="6">
        <v>46145</v>
      </c>
      <c r="B64" s="50" t="s">
        <v>33</v>
      </c>
      <c r="C64" s="142" t="s">
        <v>486</v>
      </c>
      <c r="D64" s="142" t="s">
        <v>590</v>
      </c>
      <c r="E64" s="160" t="s">
        <v>1177</v>
      </c>
      <c r="F64" s="18" t="s">
        <v>845</v>
      </c>
      <c r="G64" s="18" t="s">
        <v>1178</v>
      </c>
      <c r="H64" s="18" t="s">
        <v>845</v>
      </c>
      <c r="I64" s="161"/>
      <c r="J64" s="18" t="s">
        <v>867</v>
      </c>
      <c r="K64" s="18" t="s">
        <v>1134</v>
      </c>
      <c r="L64" s="153">
        <v>788</v>
      </c>
      <c r="M64" s="153">
        <v>189</v>
      </c>
      <c r="N64" s="153">
        <v>63</v>
      </c>
      <c r="O64" s="153">
        <v>8</v>
      </c>
      <c r="P64" s="153">
        <v>4</v>
      </c>
      <c r="Q64" s="153"/>
      <c r="R64" s="154">
        <f t="shared" si="25"/>
        <v>0.23984771573604061</v>
      </c>
      <c r="S64" s="154">
        <f t="shared" si="26"/>
        <v>0.33333333333333331</v>
      </c>
      <c r="W64" s="153"/>
      <c r="X64" s="153"/>
      <c r="Y64" s="153"/>
    </row>
    <row r="65" spans="1:25">
      <c r="A65" s="6">
        <v>46145</v>
      </c>
      <c r="B65" s="50" t="s">
        <v>33</v>
      </c>
      <c r="C65" s="142" t="s">
        <v>487</v>
      </c>
      <c r="D65" s="142" t="s">
        <v>590</v>
      </c>
      <c r="E65" s="160" t="s">
        <v>1179</v>
      </c>
      <c r="F65" s="18" t="s">
        <v>845</v>
      </c>
      <c r="G65" s="18" t="s">
        <v>1178</v>
      </c>
      <c r="H65" s="18" t="s">
        <v>845</v>
      </c>
      <c r="I65" s="161"/>
      <c r="J65" s="18" t="s">
        <v>867</v>
      </c>
      <c r="K65" s="18" t="s">
        <v>1135</v>
      </c>
      <c r="L65" s="153">
        <v>142</v>
      </c>
      <c r="M65" s="153">
        <v>2</v>
      </c>
      <c r="N65" s="153">
        <v>1</v>
      </c>
      <c r="O65" s="153">
        <v>0</v>
      </c>
      <c r="P65" s="153">
        <v>0</v>
      </c>
      <c r="Q65" s="153"/>
      <c r="R65" s="154">
        <f t="shared" si="25"/>
        <v>1.4084507042253521E-2</v>
      </c>
      <c r="S65" s="154">
        <f t="shared" si="26"/>
        <v>0.5</v>
      </c>
      <c r="W65" s="155"/>
      <c r="X65" s="155"/>
      <c r="Y65" s="155"/>
    </row>
    <row r="66" spans="1:25" s="147" customFormat="1" ht="16.8">
      <c r="A66" s="6">
        <v>46145</v>
      </c>
      <c r="B66" s="50" t="s">
        <v>33</v>
      </c>
      <c r="C66" s="142" t="s">
        <v>486</v>
      </c>
      <c r="D66" s="162">
        <v>0.8125</v>
      </c>
      <c r="E66" s="100" t="s">
        <v>1247</v>
      </c>
      <c r="F66" s="100" t="s">
        <v>845</v>
      </c>
      <c r="G66" s="100" t="s">
        <v>899</v>
      </c>
      <c r="H66" s="100" t="s">
        <v>845</v>
      </c>
      <c r="I66" s="163"/>
      <c r="J66" s="100" t="s">
        <v>830</v>
      </c>
      <c r="K66" s="52" t="s">
        <v>157</v>
      </c>
      <c r="L66" s="155">
        <v>2304</v>
      </c>
      <c r="M66" s="155">
        <v>383</v>
      </c>
      <c r="N66" s="155">
        <v>60</v>
      </c>
      <c r="O66" s="155">
        <v>6</v>
      </c>
      <c r="P66" s="155">
        <v>1</v>
      </c>
      <c r="Q66" s="155"/>
      <c r="R66" s="154">
        <f t="shared" si="25"/>
        <v>0.1662326388888889</v>
      </c>
      <c r="S66" s="154">
        <f t="shared" si="26"/>
        <v>0.1566579634464752</v>
      </c>
      <c r="W66" s="155"/>
      <c r="X66" s="155"/>
      <c r="Y66" s="155"/>
    </row>
    <row r="67" spans="1:25" s="147" customFormat="1">
      <c r="A67" s="6">
        <v>46145</v>
      </c>
      <c r="B67" s="50" t="s">
        <v>33</v>
      </c>
      <c r="C67" s="142" t="s">
        <v>486</v>
      </c>
      <c r="D67" s="162">
        <v>0.79166666666666663</v>
      </c>
      <c r="E67" s="100" t="s">
        <v>1248</v>
      </c>
      <c r="F67" s="100" t="s">
        <v>845</v>
      </c>
      <c r="G67" s="100" t="s">
        <v>901</v>
      </c>
      <c r="H67" s="100" t="s">
        <v>845</v>
      </c>
      <c r="I67" s="163"/>
      <c r="J67" s="100" t="s">
        <v>830</v>
      </c>
      <c r="K67" s="143" t="s">
        <v>149</v>
      </c>
      <c r="L67" s="155">
        <v>1252</v>
      </c>
      <c r="M67" s="155">
        <v>341</v>
      </c>
      <c r="N67" s="155">
        <v>68</v>
      </c>
      <c r="O67" s="155">
        <v>9</v>
      </c>
      <c r="P67" s="155">
        <v>1</v>
      </c>
      <c r="Q67" s="155"/>
      <c r="R67" s="154">
        <f t="shared" si="25"/>
        <v>0.27236421725239618</v>
      </c>
      <c r="S67" s="154">
        <f t="shared" si="26"/>
        <v>0.19941348973607037</v>
      </c>
    </row>
    <row r="68" spans="1:25" s="147" customFormat="1" ht="16.8">
      <c r="A68" s="6">
        <v>46145</v>
      </c>
      <c r="B68" s="50" t="s">
        <v>33</v>
      </c>
      <c r="C68" s="142" t="s">
        <v>487</v>
      </c>
      <c r="D68" s="162">
        <v>0.82291666666666663</v>
      </c>
      <c r="E68" s="65" t="s">
        <v>1249</v>
      </c>
      <c r="F68" s="100" t="s">
        <v>845</v>
      </c>
      <c r="G68" s="100" t="s">
        <v>899</v>
      </c>
      <c r="H68" s="100" t="s">
        <v>845</v>
      </c>
      <c r="I68" s="163"/>
      <c r="J68" s="100" t="s">
        <v>830</v>
      </c>
      <c r="K68" s="52" t="s">
        <v>210</v>
      </c>
      <c r="L68" s="155">
        <v>1797</v>
      </c>
      <c r="M68" s="155">
        <v>509</v>
      </c>
      <c r="N68" s="155">
        <v>335</v>
      </c>
      <c r="O68" s="155">
        <v>1</v>
      </c>
      <c r="P68" s="155">
        <v>0</v>
      </c>
      <c r="Q68" s="155"/>
      <c r="R68" s="154">
        <f t="shared" si="25"/>
        <v>0.2832498608792432</v>
      </c>
      <c r="S68" s="154">
        <f t="shared" si="26"/>
        <v>0.65815324165029465</v>
      </c>
    </row>
    <row r="69" spans="1:25" s="147" customFormat="1">
      <c r="A69" s="6">
        <v>46145</v>
      </c>
      <c r="B69" s="50" t="s">
        <v>33</v>
      </c>
      <c r="C69" s="142" t="s">
        <v>487</v>
      </c>
      <c r="D69" s="162">
        <v>0.8125</v>
      </c>
      <c r="E69" s="65" t="s">
        <v>1250</v>
      </c>
      <c r="F69" s="100" t="s">
        <v>845</v>
      </c>
      <c r="G69" s="100" t="s">
        <v>901</v>
      </c>
      <c r="H69" s="100" t="s">
        <v>845</v>
      </c>
      <c r="I69" s="163"/>
      <c r="J69" s="100" t="s">
        <v>830</v>
      </c>
      <c r="K69" s="7" t="s">
        <v>121</v>
      </c>
      <c r="L69" s="155">
        <v>1068</v>
      </c>
      <c r="M69" s="155">
        <v>503</v>
      </c>
      <c r="N69" s="155">
        <v>324</v>
      </c>
      <c r="O69" s="155">
        <v>0</v>
      </c>
      <c r="P69" s="155">
        <v>0</v>
      </c>
      <c r="Q69" s="155"/>
      <c r="R69" s="154">
        <f t="shared" si="25"/>
        <v>0.47097378277153557</v>
      </c>
      <c r="S69" s="154">
        <f t="shared" si="26"/>
        <v>0.64413518886679921</v>
      </c>
    </row>
    <row r="70" spans="1:25" ht="7.8" customHeight="1">
      <c r="A70" s="8"/>
      <c r="B70" s="9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58"/>
    </row>
    <row r="71" spans="1:25">
      <c r="A71" s="6">
        <v>46146</v>
      </c>
      <c r="B71" s="50" t="s">
        <v>36</v>
      </c>
      <c r="C71" s="142" t="s">
        <v>486</v>
      </c>
      <c r="D71" s="142"/>
      <c r="E71" s="65" t="s">
        <v>1240</v>
      </c>
      <c r="F71" s="100" t="s">
        <v>845</v>
      </c>
      <c r="G71" s="7" t="s">
        <v>846</v>
      </c>
      <c r="H71" s="100" t="s">
        <v>845</v>
      </c>
      <c r="I71" s="163">
        <v>3000</v>
      </c>
      <c r="J71" s="100" t="s">
        <v>830</v>
      </c>
      <c r="K71" s="143" t="s">
        <v>1274</v>
      </c>
      <c r="L71" s="153"/>
      <c r="M71" s="153"/>
      <c r="N71" s="153"/>
      <c r="O71" s="153"/>
      <c r="P71" s="153"/>
      <c r="Q71" s="153"/>
      <c r="R71" s="154" t="e">
        <f t="shared" ref="R71:R85" si="27">M71/L71</f>
        <v>#DIV/0!</v>
      </c>
      <c r="S71" s="154" t="e">
        <f t="shared" ref="S71:S85" si="28">N71/M71</f>
        <v>#DIV/0!</v>
      </c>
    </row>
    <row r="72" spans="1:25">
      <c r="A72" s="6">
        <v>46146</v>
      </c>
      <c r="B72" s="50" t="s">
        <v>36</v>
      </c>
      <c r="C72" s="142" t="s">
        <v>486</v>
      </c>
      <c r="D72" s="142"/>
      <c r="E72" s="65" t="s">
        <v>1241</v>
      </c>
      <c r="F72" s="100" t="s">
        <v>845</v>
      </c>
      <c r="G72" s="7" t="s">
        <v>846</v>
      </c>
      <c r="H72" s="100" t="s">
        <v>845</v>
      </c>
      <c r="I72" s="163">
        <v>3000</v>
      </c>
      <c r="J72" s="100" t="s">
        <v>830</v>
      </c>
      <c r="K72" s="143" t="s">
        <v>1274</v>
      </c>
      <c r="L72" s="153"/>
      <c r="M72" s="153"/>
      <c r="N72" s="153"/>
      <c r="O72" s="153"/>
      <c r="P72" s="153"/>
      <c r="Q72" s="153"/>
      <c r="R72" s="154" t="e">
        <f t="shared" si="27"/>
        <v>#DIV/0!</v>
      </c>
      <c r="S72" s="154" t="e">
        <f t="shared" si="28"/>
        <v>#DIV/0!</v>
      </c>
      <c r="W72" s="153"/>
      <c r="X72" s="153"/>
      <c r="Y72" s="153"/>
    </row>
    <row r="73" spans="1:25">
      <c r="A73" s="6">
        <v>46146</v>
      </c>
      <c r="B73" s="50" t="s">
        <v>36</v>
      </c>
      <c r="C73" s="142" t="s">
        <v>487</v>
      </c>
      <c r="D73" s="142"/>
      <c r="E73" s="65" t="s">
        <v>1242</v>
      </c>
      <c r="F73" s="100" t="s">
        <v>845</v>
      </c>
      <c r="G73" s="7" t="s">
        <v>846</v>
      </c>
      <c r="H73" s="100" t="s">
        <v>845</v>
      </c>
      <c r="I73" s="163">
        <v>500</v>
      </c>
      <c r="J73" s="100" t="s">
        <v>830</v>
      </c>
      <c r="K73" s="143" t="s">
        <v>905</v>
      </c>
      <c r="L73" s="153"/>
      <c r="M73" s="153"/>
      <c r="N73" s="153"/>
      <c r="O73" s="153"/>
      <c r="P73" s="153"/>
      <c r="Q73" s="153"/>
      <c r="R73" s="154" t="e">
        <f t="shared" si="27"/>
        <v>#DIV/0!</v>
      </c>
      <c r="S73" s="154" t="e">
        <f t="shared" si="28"/>
        <v>#DIV/0!</v>
      </c>
      <c r="W73" s="153"/>
      <c r="X73" s="153"/>
      <c r="Y73" s="153"/>
    </row>
    <row r="74" spans="1:25">
      <c r="A74" s="6">
        <v>46146</v>
      </c>
      <c r="B74" s="50" t="s">
        <v>36</v>
      </c>
      <c r="C74" s="142" t="s">
        <v>487</v>
      </c>
      <c r="D74" s="142"/>
      <c r="E74" s="65" t="s">
        <v>1243</v>
      </c>
      <c r="F74" s="100" t="s">
        <v>845</v>
      </c>
      <c r="G74" s="7" t="s">
        <v>846</v>
      </c>
      <c r="H74" s="100" t="s">
        <v>845</v>
      </c>
      <c r="I74" s="163">
        <v>500</v>
      </c>
      <c r="J74" s="100" t="s">
        <v>830</v>
      </c>
      <c r="K74" s="143" t="s">
        <v>905</v>
      </c>
      <c r="L74" s="153"/>
      <c r="M74" s="153"/>
      <c r="N74" s="153"/>
      <c r="O74" s="153"/>
      <c r="P74" s="153"/>
      <c r="Q74" s="153"/>
      <c r="R74" s="154" t="e">
        <f t="shared" si="27"/>
        <v>#DIV/0!</v>
      </c>
      <c r="S74" s="154" t="e">
        <f t="shared" si="28"/>
        <v>#DIV/0!</v>
      </c>
      <c r="W74" s="155"/>
      <c r="X74" s="155"/>
      <c r="Y74" s="155"/>
    </row>
    <row r="75" spans="1:25">
      <c r="A75" s="6">
        <v>46146</v>
      </c>
      <c r="B75" s="50" t="s">
        <v>36</v>
      </c>
      <c r="C75" s="142" t="s">
        <v>487</v>
      </c>
      <c r="D75" s="142"/>
      <c r="E75" s="65" t="s">
        <v>1244</v>
      </c>
      <c r="F75" s="100" t="s">
        <v>845</v>
      </c>
      <c r="G75" s="7" t="s">
        <v>846</v>
      </c>
      <c r="H75" s="100" t="s">
        <v>845</v>
      </c>
      <c r="I75" s="163">
        <v>500</v>
      </c>
      <c r="J75" s="100" t="s">
        <v>830</v>
      </c>
      <c r="K75" s="143" t="s">
        <v>905</v>
      </c>
      <c r="L75" s="153"/>
      <c r="M75" s="153"/>
      <c r="N75" s="153"/>
      <c r="O75" s="153"/>
      <c r="P75" s="153"/>
      <c r="Q75" s="153"/>
      <c r="R75" s="154" t="e">
        <f t="shared" si="27"/>
        <v>#DIV/0!</v>
      </c>
      <c r="S75" s="154" t="e">
        <f t="shared" si="28"/>
        <v>#DIV/0!</v>
      </c>
      <c r="W75" s="155"/>
      <c r="X75" s="155"/>
      <c r="Y75" s="155"/>
    </row>
    <row r="76" spans="1:25">
      <c r="A76" s="6">
        <v>46146</v>
      </c>
      <c r="B76" s="50" t="s">
        <v>36</v>
      </c>
      <c r="C76" s="142" t="s">
        <v>487</v>
      </c>
      <c r="D76" s="142"/>
      <c r="E76" s="65" t="s">
        <v>1245</v>
      </c>
      <c r="F76" s="100" t="s">
        <v>845</v>
      </c>
      <c r="G76" s="7" t="s">
        <v>846</v>
      </c>
      <c r="H76" s="100" t="s">
        <v>845</v>
      </c>
      <c r="I76" s="163">
        <v>500</v>
      </c>
      <c r="J76" s="100" t="s">
        <v>830</v>
      </c>
      <c r="K76" s="143" t="s">
        <v>905</v>
      </c>
      <c r="L76" s="153"/>
      <c r="M76" s="153"/>
      <c r="N76" s="153"/>
      <c r="O76" s="153"/>
      <c r="P76" s="153"/>
      <c r="Q76" s="153"/>
      <c r="R76" s="154" t="e">
        <f t="shared" si="27"/>
        <v>#DIV/0!</v>
      </c>
      <c r="S76" s="154" t="e">
        <f t="shared" si="28"/>
        <v>#DIV/0!</v>
      </c>
    </row>
    <row r="77" spans="1:25">
      <c r="A77" s="6">
        <v>46146</v>
      </c>
      <c r="B77" s="50" t="s">
        <v>36</v>
      </c>
      <c r="C77" s="142" t="s">
        <v>487</v>
      </c>
      <c r="D77" s="142"/>
      <c r="E77" s="65" t="s">
        <v>1246</v>
      </c>
      <c r="F77" s="100" t="s">
        <v>845</v>
      </c>
      <c r="G77" s="7" t="s">
        <v>846</v>
      </c>
      <c r="H77" s="100" t="s">
        <v>845</v>
      </c>
      <c r="I77" s="163">
        <v>500</v>
      </c>
      <c r="J77" s="100" t="s">
        <v>830</v>
      </c>
      <c r="K77" s="143" t="s">
        <v>905</v>
      </c>
      <c r="L77" s="153"/>
      <c r="M77" s="153"/>
      <c r="N77" s="153"/>
      <c r="O77" s="153"/>
      <c r="P77" s="153"/>
      <c r="Q77" s="153"/>
      <c r="R77" s="154" t="e">
        <f t="shared" si="27"/>
        <v>#DIV/0!</v>
      </c>
      <c r="S77" s="154" t="e">
        <f t="shared" si="28"/>
        <v>#DIV/0!</v>
      </c>
    </row>
    <row r="78" spans="1:25">
      <c r="A78" s="6">
        <v>46146</v>
      </c>
      <c r="B78" s="50" t="s">
        <v>36</v>
      </c>
      <c r="C78" s="142" t="s">
        <v>486</v>
      </c>
      <c r="D78" s="142" t="s">
        <v>896</v>
      </c>
      <c r="E78" s="160" t="s">
        <v>894</v>
      </c>
      <c r="F78" s="18" t="s">
        <v>845</v>
      </c>
      <c r="G78" s="18" t="s">
        <v>897</v>
      </c>
      <c r="H78" s="18" t="s">
        <v>845</v>
      </c>
      <c r="I78" s="161"/>
      <c r="J78" s="18" t="s">
        <v>867</v>
      </c>
      <c r="K78" s="157" t="s">
        <v>106</v>
      </c>
      <c r="L78" s="153"/>
      <c r="M78" s="153"/>
      <c r="N78" s="153"/>
      <c r="O78" s="153"/>
      <c r="P78" s="153"/>
      <c r="Q78" s="153"/>
      <c r="R78" s="154" t="e">
        <f t="shared" si="27"/>
        <v>#DIV/0!</v>
      </c>
      <c r="S78" s="154" t="e">
        <f t="shared" si="28"/>
        <v>#DIV/0!</v>
      </c>
    </row>
    <row r="79" spans="1:25">
      <c r="A79" s="6">
        <v>46146</v>
      </c>
      <c r="B79" s="50" t="s">
        <v>36</v>
      </c>
      <c r="C79" s="142" t="s">
        <v>487</v>
      </c>
      <c r="D79" s="142" t="s">
        <v>896</v>
      </c>
      <c r="E79" s="160" t="s">
        <v>895</v>
      </c>
      <c r="F79" s="18" t="s">
        <v>845</v>
      </c>
      <c r="G79" s="18" t="s">
        <v>897</v>
      </c>
      <c r="H79" s="18" t="s">
        <v>845</v>
      </c>
      <c r="I79" s="161"/>
      <c r="J79" s="18" t="s">
        <v>867</v>
      </c>
      <c r="K79" s="18" t="s">
        <v>186</v>
      </c>
      <c r="L79" s="153"/>
      <c r="M79" s="153"/>
      <c r="N79" s="153"/>
      <c r="O79" s="153"/>
      <c r="P79" s="153"/>
      <c r="Q79" s="153"/>
      <c r="R79" s="154" t="e">
        <f t="shared" si="27"/>
        <v>#DIV/0!</v>
      </c>
      <c r="S79" s="154" t="e">
        <f t="shared" si="28"/>
        <v>#DIV/0!</v>
      </c>
      <c r="W79" s="153"/>
      <c r="X79" s="153"/>
      <c r="Y79" s="153"/>
    </row>
    <row r="80" spans="1:25">
      <c r="A80" s="6">
        <v>46146</v>
      </c>
      <c r="B80" s="50" t="s">
        <v>36</v>
      </c>
      <c r="C80" s="142" t="s">
        <v>486</v>
      </c>
      <c r="D80" s="142" t="s">
        <v>590</v>
      </c>
      <c r="E80" s="160" t="s">
        <v>1177</v>
      </c>
      <c r="F80" s="18" t="s">
        <v>845</v>
      </c>
      <c r="G80" s="18" t="s">
        <v>1178</v>
      </c>
      <c r="H80" s="18" t="s">
        <v>845</v>
      </c>
      <c r="I80" s="161"/>
      <c r="J80" s="18" t="s">
        <v>867</v>
      </c>
      <c r="K80" s="18" t="s">
        <v>1134</v>
      </c>
      <c r="L80" s="153"/>
      <c r="M80" s="153"/>
      <c r="N80" s="153"/>
      <c r="O80" s="153"/>
      <c r="P80" s="153"/>
      <c r="Q80" s="153"/>
      <c r="R80" s="154" t="e">
        <f t="shared" si="27"/>
        <v>#DIV/0!</v>
      </c>
      <c r="S80" s="154" t="e">
        <f t="shared" si="28"/>
        <v>#DIV/0!</v>
      </c>
      <c r="W80" s="153"/>
      <c r="X80" s="153"/>
      <c r="Y80" s="153"/>
    </row>
    <row r="81" spans="1:25">
      <c r="A81" s="6">
        <v>46146</v>
      </c>
      <c r="B81" s="50" t="s">
        <v>36</v>
      </c>
      <c r="C81" s="142" t="s">
        <v>487</v>
      </c>
      <c r="D81" s="142" t="s">
        <v>590</v>
      </c>
      <c r="E81" s="160" t="s">
        <v>1179</v>
      </c>
      <c r="F81" s="18" t="s">
        <v>845</v>
      </c>
      <c r="G81" s="18" t="s">
        <v>1178</v>
      </c>
      <c r="H81" s="18" t="s">
        <v>845</v>
      </c>
      <c r="I81" s="161"/>
      <c r="J81" s="18" t="s">
        <v>867</v>
      </c>
      <c r="K81" s="18" t="s">
        <v>1135</v>
      </c>
      <c r="L81" s="153"/>
      <c r="M81" s="153"/>
      <c r="N81" s="153"/>
      <c r="O81" s="153"/>
      <c r="P81" s="153"/>
      <c r="Q81" s="153"/>
      <c r="R81" s="154" t="e">
        <f t="shared" si="27"/>
        <v>#DIV/0!</v>
      </c>
      <c r="S81" s="154" t="e">
        <f t="shared" si="28"/>
        <v>#DIV/0!</v>
      </c>
      <c r="W81" s="155"/>
      <c r="X81" s="155"/>
      <c r="Y81" s="155"/>
    </row>
    <row r="82" spans="1:25" s="147" customFormat="1" ht="16.8">
      <c r="A82" s="6">
        <v>46146</v>
      </c>
      <c r="B82" s="50" t="s">
        <v>36</v>
      </c>
      <c r="C82" s="142" t="s">
        <v>486</v>
      </c>
      <c r="D82" s="162">
        <v>0.8125</v>
      </c>
      <c r="E82" s="100"/>
      <c r="F82" s="100"/>
      <c r="G82" s="100"/>
      <c r="H82" s="100" t="s">
        <v>845</v>
      </c>
      <c r="I82" s="186" t="s">
        <v>228</v>
      </c>
      <c r="J82" s="100" t="s">
        <v>830</v>
      </c>
      <c r="K82" s="52" t="s">
        <v>157</v>
      </c>
      <c r="L82" s="155"/>
      <c r="M82" s="155"/>
      <c r="N82" s="155"/>
      <c r="O82" s="155"/>
      <c r="P82" s="155"/>
      <c r="Q82" s="155"/>
      <c r="R82" s="154" t="e">
        <f t="shared" si="27"/>
        <v>#DIV/0!</v>
      </c>
      <c r="S82" s="154" t="e">
        <f t="shared" si="28"/>
        <v>#DIV/0!</v>
      </c>
      <c r="W82" s="155"/>
      <c r="X82" s="155"/>
      <c r="Y82" s="155"/>
    </row>
    <row r="83" spans="1:25" s="147" customFormat="1">
      <c r="A83" s="6">
        <v>46146</v>
      </c>
      <c r="B83" s="50" t="s">
        <v>36</v>
      </c>
      <c r="C83" s="142" t="s">
        <v>486</v>
      </c>
      <c r="D83" s="162">
        <v>0.79166666666666663</v>
      </c>
      <c r="E83" s="100"/>
      <c r="F83" s="100"/>
      <c r="G83" s="100"/>
      <c r="H83" s="100" t="s">
        <v>845</v>
      </c>
      <c r="I83" s="186" t="s">
        <v>228</v>
      </c>
      <c r="J83" s="100" t="s">
        <v>830</v>
      </c>
      <c r="K83" s="143" t="s">
        <v>149</v>
      </c>
      <c r="L83" s="155"/>
      <c r="M83" s="155"/>
      <c r="N83" s="155"/>
      <c r="O83" s="155"/>
      <c r="P83" s="155"/>
      <c r="Q83" s="155"/>
      <c r="R83" s="154" t="e">
        <f t="shared" si="27"/>
        <v>#DIV/0!</v>
      </c>
      <c r="S83" s="154" t="e">
        <f t="shared" si="28"/>
        <v>#DIV/0!</v>
      </c>
    </row>
    <row r="84" spans="1:25" s="147" customFormat="1" ht="16.8">
      <c r="A84" s="6">
        <v>46146</v>
      </c>
      <c r="B84" s="50" t="s">
        <v>36</v>
      </c>
      <c r="C84" s="142" t="s">
        <v>487</v>
      </c>
      <c r="D84" s="162">
        <v>0.82291666666666663</v>
      </c>
      <c r="E84" s="65"/>
      <c r="F84" s="100"/>
      <c r="G84" s="100"/>
      <c r="H84" s="100" t="s">
        <v>845</v>
      </c>
      <c r="I84" s="186" t="s">
        <v>1491</v>
      </c>
      <c r="J84" s="100" t="s">
        <v>830</v>
      </c>
      <c r="K84" s="52" t="s">
        <v>210</v>
      </c>
      <c r="L84" s="155"/>
      <c r="M84" s="155"/>
      <c r="N84" s="155"/>
      <c r="O84" s="155"/>
      <c r="P84" s="155"/>
      <c r="Q84" s="155"/>
      <c r="R84" s="154" t="e">
        <f t="shared" si="27"/>
        <v>#DIV/0!</v>
      </c>
      <c r="S84" s="154" t="e">
        <f t="shared" si="28"/>
        <v>#DIV/0!</v>
      </c>
    </row>
    <row r="85" spans="1:25" s="147" customFormat="1">
      <c r="A85" s="6">
        <v>46146</v>
      </c>
      <c r="B85" s="50" t="s">
        <v>36</v>
      </c>
      <c r="C85" s="142" t="s">
        <v>487</v>
      </c>
      <c r="D85" s="162">
        <v>0.8125</v>
      </c>
      <c r="E85" s="65"/>
      <c r="F85" s="100"/>
      <c r="G85" s="100"/>
      <c r="H85" s="100" t="s">
        <v>845</v>
      </c>
      <c r="I85" s="186" t="s">
        <v>1491</v>
      </c>
      <c r="J85" s="100" t="s">
        <v>830</v>
      </c>
      <c r="K85" s="7" t="s">
        <v>121</v>
      </c>
      <c r="L85" s="155"/>
      <c r="M85" s="155"/>
      <c r="N85" s="155"/>
      <c r="O85" s="155"/>
      <c r="P85" s="155"/>
      <c r="Q85" s="155"/>
      <c r="R85" s="154" t="e">
        <f t="shared" si="27"/>
        <v>#DIV/0!</v>
      </c>
      <c r="S85" s="154" t="e">
        <f t="shared" si="28"/>
        <v>#DIV/0!</v>
      </c>
    </row>
    <row r="86" spans="1:25" ht="7.8" customHeight="1">
      <c r="A86" s="8"/>
      <c r="B86" s="9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58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BA2F4-57E0-4683-BA44-4B604EEE7DA3}">
  <dimension ref="A1:X86"/>
  <sheetViews>
    <sheetView topLeftCell="F64" workbookViewId="0">
      <selection activeCell="I85" sqref="I85"/>
    </sheetView>
  </sheetViews>
  <sheetFormatPr defaultRowHeight="14.4"/>
  <cols>
    <col min="1" max="1" width="10.33203125" bestFit="1" customWidth="1"/>
    <col min="2" max="2" width="4.21875" bestFit="1" customWidth="1"/>
    <col min="3" max="3" width="7.5546875" bestFit="1" customWidth="1"/>
    <col min="4" max="4" width="7.5546875" customWidth="1"/>
    <col min="5" max="5" width="47" bestFit="1" customWidth="1"/>
    <col min="6" max="6" width="10.77734375" bestFit="1" customWidth="1"/>
    <col min="7" max="7" width="67.77734375" bestFit="1" customWidth="1"/>
    <col min="8" max="8" width="14.88671875" bestFit="1" customWidth="1"/>
    <col min="9" max="9" width="12.21875" bestFit="1" customWidth="1"/>
    <col min="10" max="10" width="10.6640625" bestFit="1" customWidth="1"/>
    <col min="11" max="11" width="25.21875" bestFit="1" customWidth="1"/>
    <col min="12" max="12" width="6" bestFit="1" customWidth="1"/>
    <col min="13" max="13" width="5.5546875" bestFit="1" customWidth="1"/>
    <col min="14" max="14" width="5" bestFit="1" customWidth="1"/>
    <col min="15" max="15" width="6.44140625" bestFit="1" customWidth="1"/>
    <col min="16" max="16" width="8.44140625" bestFit="1" customWidth="1"/>
    <col min="17" max="17" width="5.6640625" bestFit="1" customWidth="1"/>
    <col min="18" max="19" width="7.33203125" bestFit="1" customWidth="1"/>
  </cols>
  <sheetData>
    <row r="1" spans="1:19">
      <c r="A1" s="148" t="s">
        <v>0</v>
      </c>
      <c r="B1" s="149" t="s">
        <v>1</v>
      </c>
      <c r="C1" s="150" t="s">
        <v>11</v>
      </c>
      <c r="D1" s="150"/>
      <c r="E1" s="148" t="s">
        <v>831</v>
      </c>
      <c r="F1" s="148" t="s">
        <v>832</v>
      </c>
      <c r="G1" s="148" t="s">
        <v>6</v>
      </c>
      <c r="H1" s="148" t="s">
        <v>833</v>
      </c>
      <c r="I1" s="150" t="s">
        <v>834</v>
      </c>
      <c r="J1" s="151" t="s">
        <v>835</v>
      </c>
      <c r="K1" s="150" t="s">
        <v>12</v>
      </c>
      <c r="L1" s="144" t="s">
        <v>837</v>
      </c>
      <c r="M1" s="144" t="s">
        <v>15</v>
      </c>
      <c r="N1" s="144" t="s">
        <v>838</v>
      </c>
      <c r="O1" s="144" t="s">
        <v>17</v>
      </c>
      <c r="P1" s="144" t="s">
        <v>839</v>
      </c>
      <c r="Q1" s="144" t="s">
        <v>840</v>
      </c>
      <c r="R1" s="144" t="s">
        <v>19</v>
      </c>
      <c r="S1" s="144" t="s">
        <v>20</v>
      </c>
    </row>
    <row r="2" spans="1:19">
      <c r="A2" s="6">
        <v>46140</v>
      </c>
      <c r="B2" s="50" t="s">
        <v>78</v>
      </c>
      <c r="C2" s="142" t="s">
        <v>486</v>
      </c>
      <c r="D2" s="142"/>
      <c r="E2" s="152" t="s">
        <v>851</v>
      </c>
      <c r="F2" s="100" t="s">
        <v>852</v>
      </c>
      <c r="G2" s="100"/>
      <c r="H2" s="100" t="s">
        <v>853</v>
      </c>
      <c r="I2" s="142">
        <v>4800</v>
      </c>
      <c r="J2" s="100" t="s">
        <v>830</v>
      </c>
      <c r="K2" s="143" t="s">
        <v>686</v>
      </c>
      <c r="L2" s="153">
        <v>4502</v>
      </c>
      <c r="M2" s="153">
        <v>4200</v>
      </c>
      <c r="N2" s="153">
        <v>3148</v>
      </c>
      <c r="O2" s="153">
        <v>0</v>
      </c>
      <c r="P2" s="153">
        <v>1</v>
      </c>
      <c r="Q2" s="153"/>
      <c r="R2" s="154">
        <f t="shared" ref="R2:S4" si="0">M2/L2</f>
        <v>0.93291870279875611</v>
      </c>
      <c r="S2" s="154">
        <f t="shared" si="0"/>
        <v>0.74952380952380948</v>
      </c>
    </row>
    <row r="3" spans="1:19" s="147" customFormat="1">
      <c r="A3" s="145">
        <v>46140</v>
      </c>
      <c r="B3" s="146" t="s">
        <v>78</v>
      </c>
      <c r="C3" s="142" t="s">
        <v>486</v>
      </c>
      <c r="D3" s="142"/>
      <c r="E3" s="65" t="s">
        <v>854</v>
      </c>
      <c r="F3" s="100"/>
      <c r="G3" s="100"/>
      <c r="H3" s="100" t="s">
        <v>853</v>
      </c>
      <c r="I3" s="142">
        <v>3000</v>
      </c>
      <c r="J3" s="100" t="s">
        <v>830</v>
      </c>
      <c r="K3" s="143" t="s">
        <v>106</v>
      </c>
      <c r="L3" s="155">
        <v>5463</v>
      </c>
      <c r="M3" s="155">
        <v>3543</v>
      </c>
      <c r="N3" s="155">
        <v>2468</v>
      </c>
      <c r="O3" s="155">
        <v>1</v>
      </c>
      <c r="P3" s="155">
        <v>1</v>
      </c>
      <c r="Q3" s="155"/>
      <c r="R3" s="154">
        <f t="shared" si="0"/>
        <v>0.64854475562877545</v>
      </c>
      <c r="S3" s="154">
        <f t="shared" si="0"/>
        <v>0.69658481512842219</v>
      </c>
    </row>
    <row r="4" spans="1:19" s="147" customFormat="1">
      <c r="A4" s="145">
        <v>46140</v>
      </c>
      <c r="B4" s="146" t="s">
        <v>78</v>
      </c>
      <c r="C4" s="142" t="s">
        <v>486</v>
      </c>
      <c r="D4" s="142"/>
      <c r="E4" s="65" t="s">
        <v>855</v>
      </c>
      <c r="F4" s="100"/>
      <c r="G4" s="100" t="s">
        <v>856</v>
      </c>
      <c r="H4" s="100" t="s">
        <v>853</v>
      </c>
      <c r="I4" s="142"/>
      <c r="J4" s="100" t="s">
        <v>830</v>
      </c>
      <c r="K4" s="143"/>
      <c r="L4" s="155">
        <v>2761</v>
      </c>
      <c r="M4" s="155">
        <v>564</v>
      </c>
      <c r="N4" s="155">
        <v>289</v>
      </c>
      <c r="O4" s="155">
        <v>4</v>
      </c>
      <c r="P4" s="155">
        <v>5</v>
      </c>
      <c r="Q4" s="155"/>
      <c r="R4" s="154">
        <f t="shared" si="0"/>
        <v>0.20427381383556684</v>
      </c>
      <c r="S4" s="154">
        <f t="shared" si="0"/>
        <v>0.51241134751773054</v>
      </c>
    </row>
    <row r="5" spans="1:19" ht="7.8" customHeight="1">
      <c r="A5" s="8"/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58"/>
    </row>
    <row r="6" spans="1:19">
      <c r="A6" s="6">
        <v>46141</v>
      </c>
      <c r="B6" s="50" t="s">
        <v>124</v>
      </c>
      <c r="C6" s="142" t="s">
        <v>486</v>
      </c>
      <c r="D6" s="142"/>
      <c r="E6" s="65" t="s">
        <v>917</v>
      </c>
      <c r="F6" s="100" t="s">
        <v>852</v>
      </c>
      <c r="G6" s="100"/>
      <c r="H6" s="100" t="s">
        <v>853</v>
      </c>
      <c r="I6" s="142">
        <v>6000</v>
      </c>
      <c r="J6" s="100" t="s">
        <v>830</v>
      </c>
      <c r="K6" s="143" t="s">
        <v>686</v>
      </c>
      <c r="L6" s="153">
        <v>5999</v>
      </c>
      <c r="M6" s="153">
        <v>5605</v>
      </c>
      <c r="N6" s="153">
        <v>4196</v>
      </c>
      <c r="O6" s="153">
        <v>0</v>
      </c>
      <c r="P6" s="153">
        <v>1</v>
      </c>
      <c r="Q6" s="153"/>
      <c r="R6" s="154">
        <f t="shared" ref="R6" si="1">M6/L6</f>
        <v>0.93432238706451076</v>
      </c>
      <c r="S6" s="154">
        <f t="shared" ref="S6" si="2">N6/M6</f>
        <v>0.74861730597680642</v>
      </c>
    </row>
    <row r="7" spans="1:19">
      <c r="A7" s="6">
        <v>46141</v>
      </c>
      <c r="B7" s="50" t="s">
        <v>124</v>
      </c>
      <c r="C7" s="142" t="s">
        <v>487</v>
      </c>
      <c r="D7" s="142"/>
      <c r="E7" s="65" t="s">
        <v>919</v>
      </c>
      <c r="F7" s="100" t="s">
        <v>852</v>
      </c>
      <c r="G7" s="100"/>
      <c r="H7" s="100" t="s">
        <v>853</v>
      </c>
      <c r="I7" s="142"/>
      <c r="J7" s="100" t="s">
        <v>830</v>
      </c>
      <c r="K7" s="143" t="s">
        <v>918</v>
      </c>
      <c r="L7" s="153">
        <v>305</v>
      </c>
      <c r="M7" s="153">
        <v>210</v>
      </c>
      <c r="N7" s="153">
        <v>164</v>
      </c>
      <c r="O7" s="153">
        <v>0</v>
      </c>
      <c r="P7" s="153">
        <v>0</v>
      </c>
      <c r="Q7" s="153"/>
      <c r="R7" s="154">
        <f t="shared" ref="R7" si="3">M7/L7</f>
        <v>0.68852459016393441</v>
      </c>
      <c r="S7" s="154">
        <f t="shared" ref="S7" si="4">N7/M7</f>
        <v>0.78095238095238095</v>
      </c>
    </row>
    <row r="8" spans="1:19">
      <c r="A8" s="6">
        <v>46141</v>
      </c>
      <c r="B8" s="50" t="s">
        <v>124</v>
      </c>
      <c r="C8" s="156" t="s">
        <v>486</v>
      </c>
      <c r="D8" s="156" t="s">
        <v>909</v>
      </c>
      <c r="E8" s="18" t="s">
        <v>907</v>
      </c>
      <c r="F8" s="18" t="s">
        <v>853</v>
      </c>
      <c r="G8" s="18" t="s">
        <v>908</v>
      </c>
      <c r="H8" s="18" t="s">
        <v>853</v>
      </c>
      <c r="I8" s="161" t="s">
        <v>228</v>
      </c>
      <c r="J8" s="18" t="s">
        <v>867</v>
      </c>
      <c r="K8" s="157" t="s">
        <v>106</v>
      </c>
      <c r="L8" s="153">
        <v>270</v>
      </c>
      <c r="M8" s="153">
        <v>46</v>
      </c>
      <c r="N8" s="153">
        <v>5</v>
      </c>
      <c r="O8" s="153">
        <v>5</v>
      </c>
      <c r="P8" s="153">
        <v>0</v>
      </c>
      <c r="Q8" s="153"/>
      <c r="R8" s="154">
        <f t="shared" ref="R8:R13" si="5">M8/L8</f>
        <v>0.17037037037037037</v>
      </c>
      <c r="S8" s="154">
        <f t="shared" ref="S8:S13" si="6">N8/M8</f>
        <v>0.10869565217391304</v>
      </c>
    </row>
    <row r="9" spans="1:19">
      <c r="A9" s="6">
        <v>46141</v>
      </c>
      <c r="B9" s="50" t="s">
        <v>124</v>
      </c>
      <c r="C9" s="156" t="s">
        <v>487</v>
      </c>
      <c r="D9" s="156" t="s">
        <v>909</v>
      </c>
      <c r="E9" s="18" t="s">
        <v>910</v>
      </c>
      <c r="F9" s="18" t="s">
        <v>853</v>
      </c>
      <c r="G9" s="18" t="s">
        <v>908</v>
      </c>
      <c r="H9" s="18" t="s">
        <v>853</v>
      </c>
      <c r="I9" s="161" t="s">
        <v>228</v>
      </c>
      <c r="J9" s="18" t="s">
        <v>867</v>
      </c>
      <c r="K9" s="18" t="s">
        <v>186</v>
      </c>
      <c r="L9" s="153">
        <v>817</v>
      </c>
      <c r="M9" s="153">
        <v>10</v>
      </c>
      <c r="N9" s="153">
        <v>4</v>
      </c>
      <c r="O9" s="153">
        <v>0</v>
      </c>
      <c r="P9" s="153">
        <v>1</v>
      </c>
      <c r="Q9" s="153"/>
      <c r="R9" s="154">
        <f t="shared" si="5"/>
        <v>1.2239902080783354E-2</v>
      </c>
      <c r="S9" s="154">
        <f t="shared" si="6"/>
        <v>0.4</v>
      </c>
    </row>
    <row r="10" spans="1:19" s="147" customFormat="1">
      <c r="A10" s="6">
        <v>46141</v>
      </c>
      <c r="B10" s="50" t="s">
        <v>124</v>
      </c>
      <c r="C10" s="142" t="s">
        <v>486</v>
      </c>
      <c r="D10" s="162">
        <v>0.85416666666666663</v>
      </c>
      <c r="E10" s="65" t="s">
        <v>911</v>
      </c>
      <c r="F10" s="100" t="s">
        <v>853</v>
      </c>
      <c r="G10" s="100" t="s">
        <v>912</v>
      </c>
      <c r="H10" s="100" t="s">
        <v>853</v>
      </c>
      <c r="I10" s="163" t="s">
        <v>228</v>
      </c>
      <c r="J10" s="100" t="s">
        <v>830</v>
      </c>
      <c r="K10" s="143" t="s">
        <v>848</v>
      </c>
      <c r="L10" s="155">
        <v>795</v>
      </c>
      <c r="M10" s="155">
        <v>171</v>
      </c>
      <c r="N10" s="155">
        <v>23</v>
      </c>
      <c r="O10" s="155">
        <v>4</v>
      </c>
      <c r="P10" s="155">
        <v>0</v>
      </c>
      <c r="Q10" s="155"/>
      <c r="R10" s="154">
        <f t="shared" si="5"/>
        <v>0.21509433962264152</v>
      </c>
      <c r="S10" s="154">
        <f t="shared" si="6"/>
        <v>0.13450292397660818</v>
      </c>
    </row>
    <row r="11" spans="1:19" s="147" customFormat="1">
      <c r="A11" s="6">
        <v>46141</v>
      </c>
      <c r="B11" s="50" t="s">
        <v>124</v>
      </c>
      <c r="C11" s="142" t="s">
        <v>486</v>
      </c>
      <c r="D11" s="162">
        <v>0.83333333333333337</v>
      </c>
      <c r="E11" s="65" t="s">
        <v>913</v>
      </c>
      <c r="F11" s="100" t="s">
        <v>853</v>
      </c>
      <c r="G11" s="100" t="s">
        <v>914</v>
      </c>
      <c r="H11" s="100" t="s">
        <v>853</v>
      </c>
      <c r="I11" s="163" t="s">
        <v>228</v>
      </c>
      <c r="J11" s="100" t="s">
        <v>830</v>
      </c>
      <c r="K11" s="143" t="s">
        <v>149</v>
      </c>
      <c r="L11" s="155">
        <v>446</v>
      </c>
      <c r="M11" s="155">
        <v>49</v>
      </c>
      <c r="N11" s="155">
        <v>3</v>
      </c>
      <c r="O11" s="155">
        <v>1</v>
      </c>
      <c r="P11" s="155">
        <v>0</v>
      </c>
      <c r="Q11" s="155"/>
      <c r="R11" s="154">
        <f t="shared" si="5"/>
        <v>0.10986547085201794</v>
      </c>
      <c r="S11" s="154">
        <f t="shared" si="6"/>
        <v>6.1224489795918366E-2</v>
      </c>
    </row>
    <row r="12" spans="1:19" ht="16.8">
      <c r="A12" s="6">
        <v>46141</v>
      </c>
      <c r="B12" s="50" t="s">
        <v>124</v>
      </c>
      <c r="C12" s="142" t="s">
        <v>487</v>
      </c>
      <c r="D12" s="162">
        <v>0.86458333333333337</v>
      </c>
      <c r="E12" s="65" t="s">
        <v>915</v>
      </c>
      <c r="F12" s="7" t="s">
        <v>853</v>
      </c>
      <c r="G12" s="100" t="s">
        <v>912</v>
      </c>
      <c r="H12" s="100" t="s">
        <v>853</v>
      </c>
      <c r="I12" s="163" t="s">
        <v>228</v>
      </c>
      <c r="J12" s="100" t="s">
        <v>830</v>
      </c>
      <c r="K12" s="52" t="s">
        <v>210</v>
      </c>
      <c r="L12" s="7">
        <v>1021</v>
      </c>
      <c r="M12" s="7">
        <v>9</v>
      </c>
      <c r="N12" s="7">
        <v>4</v>
      </c>
      <c r="O12" s="7">
        <v>0</v>
      </c>
      <c r="P12" s="7">
        <v>0</v>
      </c>
      <c r="Q12" s="7"/>
      <c r="R12" s="154">
        <f t="shared" si="5"/>
        <v>8.8148873653281102E-3</v>
      </c>
      <c r="S12" s="154">
        <f t="shared" si="6"/>
        <v>0.44444444444444442</v>
      </c>
    </row>
    <row r="13" spans="1:19">
      <c r="A13" s="6">
        <v>46141</v>
      </c>
      <c r="B13" s="50" t="s">
        <v>124</v>
      </c>
      <c r="C13" s="142" t="s">
        <v>487</v>
      </c>
      <c r="D13" s="162">
        <v>0.85416666666666663</v>
      </c>
      <c r="E13" s="65" t="s">
        <v>916</v>
      </c>
      <c r="F13" s="7" t="s">
        <v>853</v>
      </c>
      <c r="G13" s="100" t="s">
        <v>914</v>
      </c>
      <c r="H13" s="100" t="s">
        <v>853</v>
      </c>
      <c r="I13" s="163" t="s">
        <v>228</v>
      </c>
      <c r="J13" s="100" t="s">
        <v>830</v>
      </c>
      <c r="K13" s="7" t="s">
        <v>121</v>
      </c>
      <c r="L13" s="7">
        <v>412</v>
      </c>
      <c r="M13" s="7">
        <v>7</v>
      </c>
      <c r="N13" s="7">
        <v>0</v>
      </c>
      <c r="O13" s="7">
        <v>0</v>
      </c>
      <c r="P13" s="7">
        <v>0</v>
      </c>
      <c r="Q13" s="7"/>
      <c r="R13" s="154">
        <f t="shared" si="5"/>
        <v>1.6990291262135922E-2</v>
      </c>
      <c r="S13" s="154">
        <f t="shared" si="6"/>
        <v>0</v>
      </c>
    </row>
    <row r="14" spans="1:19" ht="7.8" customHeight="1">
      <c r="A14" s="8"/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58"/>
    </row>
    <row r="15" spans="1:19">
      <c r="A15" s="6">
        <v>46142</v>
      </c>
      <c r="B15" s="50" t="s">
        <v>166</v>
      </c>
      <c r="C15" s="142" t="s">
        <v>486</v>
      </c>
      <c r="D15" s="142"/>
      <c r="E15" s="65" t="s">
        <v>1012</v>
      </c>
      <c r="F15" s="100" t="s">
        <v>852</v>
      </c>
      <c r="G15" s="100"/>
      <c r="H15" s="100" t="s">
        <v>853</v>
      </c>
      <c r="I15" s="142">
        <v>3000</v>
      </c>
      <c r="J15" s="100" t="s">
        <v>830</v>
      </c>
      <c r="K15" s="143" t="s">
        <v>686</v>
      </c>
      <c r="L15" s="153">
        <v>2997</v>
      </c>
      <c r="M15" s="153">
        <v>1867</v>
      </c>
      <c r="N15" s="153">
        <v>1403</v>
      </c>
      <c r="O15" s="153">
        <v>0</v>
      </c>
      <c r="P15" s="153">
        <v>3</v>
      </c>
      <c r="Q15" s="153"/>
      <c r="R15" s="154">
        <f t="shared" ref="R15:R24" si="7">M15/L15</f>
        <v>0.62295628962295624</v>
      </c>
      <c r="S15" s="154">
        <f t="shared" ref="S15:S24" si="8">N15/M15</f>
        <v>0.75147295125870384</v>
      </c>
    </row>
    <row r="16" spans="1:19">
      <c r="A16" s="6">
        <v>46142</v>
      </c>
      <c r="B16" s="50" t="s">
        <v>166</v>
      </c>
      <c r="C16" s="142" t="s">
        <v>486</v>
      </c>
      <c r="D16" s="142"/>
      <c r="E16" s="65" t="s">
        <v>1013</v>
      </c>
      <c r="F16" s="100" t="s">
        <v>852</v>
      </c>
      <c r="G16" s="100"/>
      <c r="H16" s="100" t="s">
        <v>853</v>
      </c>
      <c r="I16" s="142">
        <v>3000</v>
      </c>
      <c r="J16" s="100" t="s">
        <v>830</v>
      </c>
      <c r="K16" s="143" t="s">
        <v>686</v>
      </c>
      <c r="L16" s="153">
        <v>2997</v>
      </c>
      <c r="M16" s="153">
        <v>1854</v>
      </c>
      <c r="N16" s="153">
        <v>1388</v>
      </c>
      <c r="O16" s="153">
        <v>0</v>
      </c>
      <c r="P16" s="153">
        <v>3</v>
      </c>
      <c r="Q16" s="153"/>
      <c r="R16" s="154">
        <f t="shared" ref="R16" si="9">M16/L16</f>
        <v>0.61861861861861867</v>
      </c>
      <c r="S16" s="154">
        <f t="shared" ref="S16" si="10">N16/M16</f>
        <v>0.74865156418554479</v>
      </c>
    </row>
    <row r="17" spans="1:23">
      <c r="A17" s="6">
        <v>46142</v>
      </c>
      <c r="B17" s="50" t="s">
        <v>166</v>
      </c>
      <c r="C17" s="142" t="s">
        <v>487</v>
      </c>
      <c r="D17" s="142"/>
      <c r="E17" s="65" t="s">
        <v>1014</v>
      </c>
      <c r="F17" s="100" t="s">
        <v>852</v>
      </c>
      <c r="G17" s="100"/>
      <c r="H17" s="100" t="s">
        <v>853</v>
      </c>
      <c r="I17" s="142">
        <v>500</v>
      </c>
      <c r="J17" s="100" t="s">
        <v>830</v>
      </c>
      <c r="K17" s="143" t="s">
        <v>918</v>
      </c>
      <c r="L17" s="153">
        <v>499</v>
      </c>
      <c r="M17" s="153">
        <v>445</v>
      </c>
      <c r="N17" s="153">
        <v>329</v>
      </c>
      <c r="O17" s="153">
        <v>0</v>
      </c>
      <c r="P17" s="153">
        <v>0</v>
      </c>
      <c r="Q17" s="153"/>
      <c r="R17" s="154">
        <f t="shared" si="7"/>
        <v>0.89178356713426854</v>
      </c>
      <c r="S17" s="154">
        <f t="shared" si="8"/>
        <v>0.73932584269662927</v>
      </c>
    </row>
    <row r="18" spans="1:23">
      <c r="A18" s="6">
        <v>46142</v>
      </c>
      <c r="B18" s="50" t="s">
        <v>166</v>
      </c>
      <c r="C18" s="142" t="s">
        <v>487</v>
      </c>
      <c r="D18" s="142"/>
      <c r="E18" s="65" t="s">
        <v>1015</v>
      </c>
      <c r="F18" s="100" t="s">
        <v>852</v>
      </c>
      <c r="G18" s="100"/>
      <c r="H18" s="100" t="s">
        <v>853</v>
      </c>
      <c r="I18" s="142">
        <v>500</v>
      </c>
      <c r="J18" s="100" t="s">
        <v>830</v>
      </c>
      <c r="K18" s="143" t="s">
        <v>918</v>
      </c>
      <c r="L18" s="153">
        <v>499</v>
      </c>
      <c r="M18" s="153">
        <v>429</v>
      </c>
      <c r="N18" s="153">
        <v>324</v>
      </c>
      <c r="O18" s="153">
        <v>0</v>
      </c>
      <c r="P18" s="153">
        <v>0</v>
      </c>
      <c r="Q18" s="153"/>
      <c r="R18" s="154">
        <f t="shared" ref="R18" si="11">M18/L18</f>
        <v>0.85971943887775548</v>
      </c>
      <c r="S18" s="154">
        <f t="shared" ref="S18" si="12">N18/M18</f>
        <v>0.75524475524475521</v>
      </c>
    </row>
    <row r="19" spans="1:23">
      <c r="A19" s="6">
        <v>46142</v>
      </c>
      <c r="B19" s="50" t="s">
        <v>166</v>
      </c>
      <c r="C19" s="156" t="s">
        <v>486</v>
      </c>
      <c r="D19" s="156" t="s">
        <v>909</v>
      </c>
      <c r="E19" s="18" t="s">
        <v>907</v>
      </c>
      <c r="F19" s="18" t="s">
        <v>853</v>
      </c>
      <c r="G19" s="18" t="s">
        <v>908</v>
      </c>
      <c r="H19" s="18" t="s">
        <v>853</v>
      </c>
      <c r="I19" s="161"/>
      <c r="J19" s="18" t="s">
        <v>867</v>
      </c>
      <c r="K19" s="157" t="s">
        <v>106</v>
      </c>
      <c r="L19" s="153">
        <v>489</v>
      </c>
      <c r="M19" s="153">
        <v>46</v>
      </c>
      <c r="N19" s="153">
        <v>14</v>
      </c>
      <c r="O19" s="153">
        <v>2</v>
      </c>
      <c r="P19" s="153">
        <v>1</v>
      </c>
      <c r="Q19" s="153"/>
      <c r="R19" s="154">
        <f t="shared" si="7"/>
        <v>9.4069529652351741E-2</v>
      </c>
      <c r="S19" s="154">
        <f t="shared" si="8"/>
        <v>0.30434782608695654</v>
      </c>
    </row>
    <row r="20" spans="1:23">
      <c r="A20" s="6">
        <v>46142</v>
      </c>
      <c r="B20" s="50" t="s">
        <v>166</v>
      </c>
      <c r="C20" s="156" t="s">
        <v>487</v>
      </c>
      <c r="D20" s="156" t="s">
        <v>909</v>
      </c>
      <c r="E20" s="18" t="s">
        <v>910</v>
      </c>
      <c r="F20" s="18" t="s">
        <v>853</v>
      </c>
      <c r="G20" s="18" t="s">
        <v>908</v>
      </c>
      <c r="H20" s="18" t="s">
        <v>853</v>
      </c>
      <c r="I20" s="161"/>
      <c r="J20" s="18" t="s">
        <v>867</v>
      </c>
      <c r="K20" s="18" t="s">
        <v>186</v>
      </c>
      <c r="L20" s="153">
        <v>1042</v>
      </c>
      <c r="M20" s="153">
        <v>2</v>
      </c>
      <c r="N20" s="153">
        <v>0</v>
      </c>
      <c r="O20" s="153">
        <v>0</v>
      </c>
      <c r="P20" s="153">
        <v>0</v>
      </c>
      <c r="Q20" s="153"/>
      <c r="R20" s="154">
        <f t="shared" si="7"/>
        <v>1.9193857965451055E-3</v>
      </c>
      <c r="S20" s="154">
        <f t="shared" si="8"/>
        <v>0</v>
      </c>
    </row>
    <row r="21" spans="1:23" s="147" customFormat="1">
      <c r="A21" s="6">
        <v>46142</v>
      </c>
      <c r="B21" s="50" t="s">
        <v>166</v>
      </c>
      <c r="C21" s="142" t="s">
        <v>486</v>
      </c>
      <c r="D21" s="162">
        <v>0.85416666666666663</v>
      </c>
      <c r="E21" s="65" t="s">
        <v>1033</v>
      </c>
      <c r="F21" s="100" t="s">
        <v>852</v>
      </c>
      <c r="G21" s="100" t="s">
        <v>1034</v>
      </c>
      <c r="H21" s="100" t="s">
        <v>853</v>
      </c>
      <c r="I21" s="163" t="s">
        <v>228</v>
      </c>
      <c r="J21" s="100" t="s">
        <v>830</v>
      </c>
      <c r="K21" s="143" t="s">
        <v>848</v>
      </c>
      <c r="L21" s="155">
        <v>1335</v>
      </c>
      <c r="M21" s="155">
        <v>438</v>
      </c>
      <c r="N21" s="155">
        <v>224</v>
      </c>
      <c r="O21" s="155">
        <v>2</v>
      </c>
      <c r="P21" s="155">
        <v>1</v>
      </c>
      <c r="Q21" s="155"/>
      <c r="R21" s="154">
        <f t="shared" si="7"/>
        <v>0.32808988764044944</v>
      </c>
      <c r="S21" s="154">
        <f t="shared" si="8"/>
        <v>0.51141552511415522</v>
      </c>
    </row>
    <row r="22" spans="1:23" s="147" customFormat="1">
      <c r="A22" s="6">
        <v>46142</v>
      </c>
      <c r="B22" s="50" t="s">
        <v>166</v>
      </c>
      <c r="C22" s="142" t="s">
        <v>486</v>
      </c>
      <c r="D22" s="162">
        <v>0.83333333333333337</v>
      </c>
      <c r="E22" s="65" t="s">
        <v>1035</v>
      </c>
      <c r="F22" s="100" t="s">
        <v>852</v>
      </c>
      <c r="G22" s="100" t="s">
        <v>1036</v>
      </c>
      <c r="H22" s="100" t="s">
        <v>853</v>
      </c>
      <c r="I22" s="163" t="s">
        <v>228</v>
      </c>
      <c r="J22" s="100" t="s">
        <v>830</v>
      </c>
      <c r="K22" s="143" t="s">
        <v>149</v>
      </c>
      <c r="L22" s="155">
        <v>547</v>
      </c>
      <c r="M22" s="155">
        <v>144</v>
      </c>
      <c r="N22" s="155">
        <v>24</v>
      </c>
      <c r="O22" s="155">
        <v>3</v>
      </c>
      <c r="P22" s="155">
        <v>1</v>
      </c>
      <c r="Q22" s="155"/>
      <c r="R22" s="154">
        <f t="shared" si="7"/>
        <v>0.26325411334552101</v>
      </c>
      <c r="S22" s="154">
        <f t="shared" si="8"/>
        <v>0.16666666666666666</v>
      </c>
    </row>
    <row r="23" spans="1:23" ht="16.8">
      <c r="A23" s="6">
        <v>46142</v>
      </c>
      <c r="B23" s="50" t="s">
        <v>166</v>
      </c>
      <c r="C23" s="142" t="s">
        <v>487</v>
      </c>
      <c r="D23" s="162">
        <v>0.86458333333333337</v>
      </c>
      <c r="E23" s="65" t="s">
        <v>1037</v>
      </c>
      <c r="F23" s="100" t="s">
        <v>852</v>
      </c>
      <c r="G23" s="100" t="s">
        <v>1034</v>
      </c>
      <c r="H23" s="100" t="s">
        <v>853</v>
      </c>
      <c r="I23" s="163" t="s">
        <v>228</v>
      </c>
      <c r="J23" s="100" t="s">
        <v>830</v>
      </c>
      <c r="K23" s="52" t="s">
        <v>210</v>
      </c>
      <c r="L23" s="7">
        <v>1099</v>
      </c>
      <c r="M23" s="7">
        <v>26</v>
      </c>
      <c r="N23" s="7">
        <v>7</v>
      </c>
      <c r="O23" s="7">
        <v>0</v>
      </c>
      <c r="P23" s="7">
        <v>0</v>
      </c>
      <c r="Q23" s="7"/>
      <c r="R23" s="154">
        <f t="shared" si="7"/>
        <v>2.3657870791628753E-2</v>
      </c>
      <c r="S23" s="154">
        <f t="shared" si="8"/>
        <v>0.26923076923076922</v>
      </c>
    </row>
    <row r="24" spans="1:23">
      <c r="A24" s="6">
        <v>46142</v>
      </c>
      <c r="B24" s="50" t="s">
        <v>166</v>
      </c>
      <c r="C24" s="142" t="s">
        <v>487</v>
      </c>
      <c r="D24" s="162">
        <v>0.85416666666666663</v>
      </c>
      <c r="E24" s="65" t="s">
        <v>1038</v>
      </c>
      <c r="F24" s="100" t="s">
        <v>852</v>
      </c>
      <c r="G24" s="100" t="s">
        <v>1036</v>
      </c>
      <c r="H24" s="100" t="s">
        <v>853</v>
      </c>
      <c r="I24" s="163" t="s">
        <v>228</v>
      </c>
      <c r="J24" s="100" t="s">
        <v>830</v>
      </c>
      <c r="K24" s="7" t="s">
        <v>121</v>
      </c>
      <c r="L24" s="7">
        <v>440</v>
      </c>
      <c r="M24" s="7">
        <v>19</v>
      </c>
      <c r="N24" s="7">
        <v>11</v>
      </c>
      <c r="O24" s="7">
        <v>0</v>
      </c>
      <c r="P24" s="7">
        <v>0</v>
      </c>
      <c r="Q24" s="7"/>
      <c r="R24" s="154">
        <f t="shared" si="7"/>
        <v>4.3181818181818182E-2</v>
      </c>
      <c r="S24" s="154">
        <f t="shared" si="8"/>
        <v>0.57894736842105265</v>
      </c>
    </row>
    <row r="25" spans="1:23" ht="7.8" customHeight="1">
      <c r="A25" s="8"/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58"/>
    </row>
    <row r="26" spans="1:23">
      <c r="A26" s="6">
        <v>46143</v>
      </c>
      <c r="B26" s="50" t="s">
        <v>206</v>
      </c>
      <c r="C26" s="142" t="s">
        <v>486</v>
      </c>
      <c r="D26" s="142"/>
      <c r="E26" s="65" t="s">
        <v>1159</v>
      </c>
      <c r="F26" s="100" t="s">
        <v>852</v>
      </c>
      <c r="G26" s="100"/>
      <c r="H26" s="100" t="s">
        <v>853</v>
      </c>
      <c r="I26" s="142">
        <v>3000</v>
      </c>
      <c r="J26" s="100" t="s">
        <v>830</v>
      </c>
      <c r="K26" s="143" t="s">
        <v>686</v>
      </c>
      <c r="L26" s="153">
        <v>2997</v>
      </c>
      <c r="M26" s="153">
        <v>1867</v>
      </c>
      <c r="N26" s="153">
        <v>1342</v>
      </c>
      <c r="O26" s="153">
        <v>0</v>
      </c>
      <c r="P26" s="153">
        <v>3</v>
      </c>
      <c r="Q26" s="153"/>
      <c r="R26" s="154">
        <f t="shared" ref="R26:R38" si="13">M26/L26</f>
        <v>0.62295628962295624</v>
      </c>
      <c r="S26" s="154">
        <f t="shared" ref="S26:S38" si="14">N26/M26</f>
        <v>0.71880021424745577</v>
      </c>
      <c r="U26" s="153">
        <v>2997</v>
      </c>
      <c r="V26" s="153">
        <v>1867</v>
      </c>
      <c r="W26" s="153">
        <v>1342</v>
      </c>
    </row>
    <row r="27" spans="1:23">
      <c r="A27" s="6">
        <v>46143</v>
      </c>
      <c r="B27" s="50" t="s">
        <v>206</v>
      </c>
      <c r="C27" s="142" t="s">
        <v>486</v>
      </c>
      <c r="D27" s="142"/>
      <c r="E27" s="65" t="s">
        <v>1160</v>
      </c>
      <c r="F27" s="100" t="s">
        <v>852</v>
      </c>
      <c r="G27" s="100"/>
      <c r="H27" s="100" t="s">
        <v>853</v>
      </c>
      <c r="I27" s="142">
        <v>3000</v>
      </c>
      <c r="J27" s="100" t="s">
        <v>830</v>
      </c>
      <c r="K27" s="143" t="s">
        <v>686</v>
      </c>
      <c r="L27" s="153">
        <v>2997</v>
      </c>
      <c r="M27" s="153">
        <v>1867</v>
      </c>
      <c r="N27" s="153">
        <v>1374</v>
      </c>
      <c r="O27" s="153">
        <v>0</v>
      </c>
      <c r="P27" s="153">
        <v>3</v>
      </c>
      <c r="Q27" s="153"/>
      <c r="R27" s="154">
        <f t="shared" si="13"/>
        <v>0.62295628962295624</v>
      </c>
      <c r="S27" s="154">
        <f t="shared" si="14"/>
        <v>0.73594001071237281</v>
      </c>
      <c r="U27" s="153">
        <v>2997</v>
      </c>
      <c r="V27" s="153">
        <v>1867</v>
      </c>
      <c r="W27" s="153">
        <v>1374</v>
      </c>
    </row>
    <row r="28" spans="1:23">
      <c r="A28" s="6">
        <v>46143</v>
      </c>
      <c r="B28" s="50" t="s">
        <v>206</v>
      </c>
      <c r="C28" s="142" t="s">
        <v>487</v>
      </c>
      <c r="D28" s="142"/>
      <c r="E28" s="65" t="s">
        <v>1161</v>
      </c>
      <c r="F28" s="100" t="s">
        <v>852</v>
      </c>
      <c r="G28" s="100"/>
      <c r="H28" s="100" t="s">
        <v>853</v>
      </c>
      <c r="I28" s="142">
        <v>500</v>
      </c>
      <c r="J28" s="100" t="s">
        <v>830</v>
      </c>
      <c r="K28" s="143" t="s">
        <v>918</v>
      </c>
      <c r="L28" s="153">
        <v>499</v>
      </c>
      <c r="M28" s="153">
        <v>444</v>
      </c>
      <c r="N28" s="153">
        <v>322</v>
      </c>
      <c r="O28" s="153">
        <v>0</v>
      </c>
      <c r="P28" s="153">
        <v>0</v>
      </c>
      <c r="Q28" s="153"/>
      <c r="R28" s="154">
        <f t="shared" si="13"/>
        <v>0.88977955911823647</v>
      </c>
      <c r="S28" s="154">
        <f t="shared" si="14"/>
        <v>0.72522522522522526</v>
      </c>
      <c r="U28">
        <f>SUM(U26:U27)</f>
        <v>5994</v>
      </c>
      <c r="V28">
        <f>SUM(V26:V27)</f>
        <v>3734</v>
      </c>
      <c r="W28">
        <f>SUM(W26:W27)</f>
        <v>2716</v>
      </c>
    </row>
    <row r="29" spans="1:23">
      <c r="A29" s="6">
        <v>46143</v>
      </c>
      <c r="B29" s="50" t="s">
        <v>206</v>
      </c>
      <c r="C29" s="142" t="s">
        <v>487</v>
      </c>
      <c r="D29" s="142"/>
      <c r="E29" s="65" t="s">
        <v>1162</v>
      </c>
      <c r="F29" s="100" t="s">
        <v>852</v>
      </c>
      <c r="G29" s="100"/>
      <c r="H29" s="100" t="s">
        <v>853</v>
      </c>
      <c r="I29" s="142">
        <v>500</v>
      </c>
      <c r="J29" s="100" t="s">
        <v>830</v>
      </c>
      <c r="K29" s="143" t="s">
        <v>918</v>
      </c>
      <c r="L29" s="153">
        <v>499</v>
      </c>
      <c r="M29" s="153">
        <v>448</v>
      </c>
      <c r="N29" s="153">
        <v>334</v>
      </c>
      <c r="O29" s="153">
        <v>0</v>
      </c>
      <c r="P29" s="153">
        <v>0</v>
      </c>
      <c r="Q29" s="153"/>
      <c r="R29" s="154">
        <f t="shared" si="13"/>
        <v>0.89779559118236474</v>
      </c>
      <c r="S29" s="154">
        <f t="shared" si="14"/>
        <v>0.7455357142857143</v>
      </c>
    </row>
    <row r="30" spans="1:23">
      <c r="A30" s="6">
        <v>46143</v>
      </c>
      <c r="B30" s="50" t="s">
        <v>206</v>
      </c>
      <c r="C30" s="142" t="s">
        <v>487</v>
      </c>
      <c r="D30" s="142"/>
      <c r="E30" s="65" t="s">
        <v>1163</v>
      </c>
      <c r="F30" s="100" t="s">
        <v>852</v>
      </c>
      <c r="G30" s="100"/>
      <c r="H30" s="100" t="s">
        <v>853</v>
      </c>
      <c r="I30" s="142">
        <v>500</v>
      </c>
      <c r="J30" s="100" t="s">
        <v>830</v>
      </c>
      <c r="K30" s="143" t="s">
        <v>918</v>
      </c>
      <c r="L30" s="153">
        <v>499</v>
      </c>
      <c r="M30" s="153">
        <v>442</v>
      </c>
      <c r="N30" s="153">
        <v>350</v>
      </c>
      <c r="O30" s="153">
        <v>0</v>
      </c>
      <c r="P30" s="153">
        <v>0</v>
      </c>
      <c r="Q30" s="153"/>
      <c r="R30" s="154">
        <f t="shared" ref="R30" si="15">M30/L30</f>
        <v>0.88577154308617234</v>
      </c>
      <c r="S30" s="154">
        <f t="shared" ref="S30" si="16">N30/M30</f>
        <v>0.79185520361990946</v>
      </c>
    </row>
    <row r="31" spans="1:23">
      <c r="A31" s="6">
        <v>46143</v>
      </c>
      <c r="B31" s="50" t="s">
        <v>206</v>
      </c>
      <c r="C31" s="156" t="s">
        <v>486</v>
      </c>
      <c r="D31" s="156" t="s">
        <v>909</v>
      </c>
      <c r="E31" s="18" t="s">
        <v>907</v>
      </c>
      <c r="F31" s="18" t="s">
        <v>853</v>
      </c>
      <c r="G31" s="18" t="s">
        <v>908</v>
      </c>
      <c r="H31" s="18" t="s">
        <v>853</v>
      </c>
      <c r="I31" s="161"/>
      <c r="J31" s="18" t="s">
        <v>867</v>
      </c>
      <c r="K31" s="157" t="s">
        <v>106</v>
      </c>
      <c r="L31" s="153">
        <v>493</v>
      </c>
      <c r="M31" s="153">
        <v>119</v>
      </c>
      <c r="N31" s="153">
        <v>44</v>
      </c>
      <c r="O31" s="153">
        <v>11</v>
      </c>
      <c r="P31" s="153">
        <v>0</v>
      </c>
      <c r="Q31" s="153"/>
      <c r="R31" s="154">
        <f t="shared" si="13"/>
        <v>0.2413793103448276</v>
      </c>
      <c r="S31" s="154">
        <f t="shared" si="14"/>
        <v>0.36974789915966388</v>
      </c>
    </row>
    <row r="32" spans="1:23">
      <c r="A32" s="6">
        <v>46143</v>
      </c>
      <c r="B32" s="50" t="s">
        <v>206</v>
      </c>
      <c r="C32" s="156" t="s">
        <v>487</v>
      </c>
      <c r="D32" s="156" t="s">
        <v>909</v>
      </c>
      <c r="E32" s="18" t="s">
        <v>910</v>
      </c>
      <c r="F32" s="18" t="s">
        <v>853</v>
      </c>
      <c r="G32" s="18" t="s">
        <v>908</v>
      </c>
      <c r="H32" s="18" t="s">
        <v>853</v>
      </c>
      <c r="I32" s="161"/>
      <c r="J32" s="18" t="s">
        <v>867</v>
      </c>
      <c r="K32" s="18" t="s">
        <v>186</v>
      </c>
      <c r="L32" s="153">
        <v>1058</v>
      </c>
      <c r="M32" s="153">
        <v>13</v>
      </c>
      <c r="N32" s="153">
        <v>3</v>
      </c>
      <c r="O32" s="153">
        <v>0</v>
      </c>
      <c r="P32" s="153">
        <v>3</v>
      </c>
      <c r="Q32" s="153"/>
      <c r="R32" s="154">
        <f t="shared" si="13"/>
        <v>1.2287334593572778E-2</v>
      </c>
      <c r="S32" s="154">
        <f t="shared" si="14"/>
        <v>0.23076923076923078</v>
      </c>
    </row>
    <row r="33" spans="1:24">
      <c r="A33" s="6">
        <v>46143</v>
      </c>
      <c r="B33" s="50" t="s">
        <v>206</v>
      </c>
      <c r="C33" s="156" t="s">
        <v>486</v>
      </c>
      <c r="D33" s="156" t="s">
        <v>923</v>
      </c>
      <c r="E33" s="18" t="s">
        <v>1180</v>
      </c>
      <c r="F33" s="18" t="s">
        <v>853</v>
      </c>
      <c r="G33" s="18" t="s">
        <v>1181</v>
      </c>
      <c r="H33" s="18" t="s">
        <v>853</v>
      </c>
      <c r="I33" s="161"/>
      <c r="J33" s="18" t="s">
        <v>867</v>
      </c>
      <c r="K33" s="18" t="s">
        <v>1047</v>
      </c>
      <c r="L33" s="153">
        <v>2350</v>
      </c>
      <c r="M33" s="153">
        <v>480</v>
      </c>
      <c r="N33" s="153">
        <v>68</v>
      </c>
      <c r="O33" s="153">
        <v>22</v>
      </c>
      <c r="P33" s="153">
        <v>4</v>
      </c>
      <c r="Q33" s="153"/>
      <c r="R33" s="154"/>
      <c r="S33" s="154"/>
    </row>
    <row r="34" spans="1:24">
      <c r="A34" s="6">
        <v>46143</v>
      </c>
      <c r="B34" s="50" t="s">
        <v>206</v>
      </c>
      <c r="C34" s="156" t="s">
        <v>487</v>
      </c>
      <c r="D34" s="156" t="s">
        <v>923</v>
      </c>
      <c r="E34" s="18" t="s">
        <v>1182</v>
      </c>
      <c r="F34" s="18" t="s">
        <v>853</v>
      </c>
      <c r="G34" s="18" t="s">
        <v>1181</v>
      </c>
      <c r="H34" s="18" t="s">
        <v>853</v>
      </c>
      <c r="I34" s="161"/>
      <c r="J34" s="18" t="s">
        <v>867</v>
      </c>
      <c r="K34" s="18" t="s">
        <v>1049</v>
      </c>
      <c r="L34" s="153">
        <v>486</v>
      </c>
      <c r="M34" s="153">
        <v>5</v>
      </c>
      <c r="N34" s="153">
        <v>0</v>
      </c>
      <c r="O34" s="153">
        <v>0</v>
      </c>
      <c r="P34" s="153">
        <v>2</v>
      </c>
      <c r="Q34" s="153"/>
      <c r="R34" s="154"/>
      <c r="S34" s="154"/>
    </row>
    <row r="35" spans="1:24" s="147" customFormat="1">
      <c r="A35" s="6">
        <v>46143</v>
      </c>
      <c r="B35" s="50" t="s">
        <v>206</v>
      </c>
      <c r="C35" s="142" t="s">
        <v>486</v>
      </c>
      <c r="D35" s="162">
        <v>0.85416666666666663</v>
      </c>
      <c r="E35" s="65" t="s">
        <v>1164</v>
      </c>
      <c r="F35" s="100" t="s">
        <v>853</v>
      </c>
      <c r="G35" s="100" t="s">
        <v>912</v>
      </c>
      <c r="H35" s="100" t="s">
        <v>853</v>
      </c>
      <c r="I35" s="163"/>
      <c r="J35" s="100" t="s">
        <v>830</v>
      </c>
      <c r="K35" s="143" t="s">
        <v>848</v>
      </c>
      <c r="L35" s="155">
        <v>2312</v>
      </c>
      <c r="M35" s="155">
        <v>644</v>
      </c>
      <c r="N35" s="155">
        <v>389</v>
      </c>
      <c r="O35" s="155">
        <v>0</v>
      </c>
      <c r="P35" s="155">
        <v>2</v>
      </c>
      <c r="Q35" s="155"/>
      <c r="R35" s="154">
        <f t="shared" si="13"/>
        <v>0.27854671280276816</v>
      </c>
      <c r="S35" s="154">
        <f t="shared" si="14"/>
        <v>0.60403726708074534</v>
      </c>
    </row>
    <row r="36" spans="1:24" s="147" customFormat="1">
      <c r="A36" s="6">
        <v>46143</v>
      </c>
      <c r="B36" s="50" t="s">
        <v>206</v>
      </c>
      <c r="C36" s="142" t="s">
        <v>486</v>
      </c>
      <c r="D36" s="162">
        <v>0.83333333333333337</v>
      </c>
      <c r="E36" s="65" t="s">
        <v>1165</v>
      </c>
      <c r="F36" s="100" t="s">
        <v>853</v>
      </c>
      <c r="G36" s="100" t="s">
        <v>914</v>
      </c>
      <c r="H36" s="100" t="s">
        <v>853</v>
      </c>
      <c r="I36" s="163"/>
      <c r="J36" s="100" t="s">
        <v>830</v>
      </c>
      <c r="K36" s="143" t="s">
        <v>149</v>
      </c>
      <c r="L36" s="155">
        <v>878</v>
      </c>
      <c r="M36" s="155">
        <v>36</v>
      </c>
      <c r="N36" s="155">
        <v>5</v>
      </c>
      <c r="O36" s="155">
        <v>0</v>
      </c>
      <c r="P36" s="155">
        <v>1</v>
      </c>
      <c r="Q36" s="155"/>
      <c r="R36" s="154">
        <f t="shared" si="13"/>
        <v>4.1002277904328019E-2</v>
      </c>
      <c r="S36" s="154">
        <f t="shared" si="14"/>
        <v>0.1388888888888889</v>
      </c>
    </row>
    <row r="37" spans="1:24" ht="16.8">
      <c r="A37" s="6">
        <v>46143</v>
      </c>
      <c r="B37" s="50" t="s">
        <v>206</v>
      </c>
      <c r="C37" s="142" t="s">
        <v>487</v>
      </c>
      <c r="D37" s="162">
        <v>0.86458333333333337</v>
      </c>
      <c r="E37" s="65" t="s">
        <v>1166</v>
      </c>
      <c r="F37" s="7" t="s">
        <v>853</v>
      </c>
      <c r="G37" s="100" t="s">
        <v>912</v>
      </c>
      <c r="H37" s="100" t="s">
        <v>853</v>
      </c>
      <c r="I37" s="163"/>
      <c r="J37" s="100" t="s">
        <v>830</v>
      </c>
      <c r="K37" s="52" t="s">
        <v>210</v>
      </c>
      <c r="L37" s="7">
        <v>1703</v>
      </c>
      <c r="M37" s="7">
        <v>425</v>
      </c>
      <c r="N37" s="7">
        <v>268</v>
      </c>
      <c r="O37" s="7">
        <v>0</v>
      </c>
      <c r="P37" s="7">
        <v>0</v>
      </c>
      <c r="Q37" s="7"/>
      <c r="R37" s="154">
        <f t="shared" si="13"/>
        <v>0.24955960070463887</v>
      </c>
      <c r="S37" s="154">
        <f t="shared" si="14"/>
        <v>0.63058823529411767</v>
      </c>
    </row>
    <row r="38" spans="1:24">
      <c r="A38" s="6">
        <v>46143</v>
      </c>
      <c r="B38" s="50" t="s">
        <v>206</v>
      </c>
      <c r="C38" s="142" t="s">
        <v>487</v>
      </c>
      <c r="D38" s="162">
        <v>0.85416666666666663</v>
      </c>
      <c r="E38" s="65" t="s">
        <v>1167</v>
      </c>
      <c r="F38" s="7" t="s">
        <v>853</v>
      </c>
      <c r="G38" s="100" t="s">
        <v>914</v>
      </c>
      <c r="H38" s="100" t="s">
        <v>853</v>
      </c>
      <c r="I38" s="163"/>
      <c r="J38" s="100" t="s">
        <v>830</v>
      </c>
      <c r="K38" s="7" t="s">
        <v>121</v>
      </c>
      <c r="L38" s="7">
        <v>905</v>
      </c>
      <c r="M38" s="7">
        <v>371</v>
      </c>
      <c r="N38" s="7">
        <v>251</v>
      </c>
      <c r="O38" s="7">
        <v>0</v>
      </c>
      <c r="P38" s="7">
        <v>0</v>
      </c>
      <c r="Q38" s="7"/>
      <c r="R38" s="154">
        <f t="shared" si="13"/>
        <v>0.40994475138121544</v>
      </c>
      <c r="S38" s="154">
        <f t="shared" si="14"/>
        <v>0.67654986522911054</v>
      </c>
    </row>
    <row r="39" spans="1:24" ht="7.8" customHeight="1">
      <c r="A39" s="8"/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58"/>
    </row>
    <row r="40" spans="1:24">
      <c r="A40" s="6">
        <v>46144</v>
      </c>
      <c r="B40" s="50" t="s">
        <v>26</v>
      </c>
      <c r="C40" s="142" t="s">
        <v>486</v>
      </c>
      <c r="D40" s="142"/>
      <c r="E40" s="100" t="s">
        <v>1208</v>
      </c>
      <c r="F40" s="100" t="s">
        <v>852</v>
      </c>
      <c r="G40" s="100"/>
      <c r="H40" s="100" t="s">
        <v>853</v>
      </c>
      <c r="I40" s="142">
        <v>3000</v>
      </c>
      <c r="J40" s="100" t="s">
        <v>830</v>
      </c>
      <c r="K40" s="143" t="s">
        <v>686</v>
      </c>
      <c r="L40" s="153">
        <v>2997</v>
      </c>
      <c r="M40" s="153">
        <v>1868</v>
      </c>
      <c r="N40" s="153">
        <v>1287</v>
      </c>
      <c r="O40" s="153">
        <v>0</v>
      </c>
      <c r="P40" s="153">
        <v>3</v>
      </c>
      <c r="Q40" s="153"/>
      <c r="R40" s="154">
        <f t="shared" ref="R40:R53" si="17">M40/L40</f>
        <v>0.62328995662329001</v>
      </c>
      <c r="S40" s="154">
        <f t="shared" ref="S40:S53" si="18">N40/M40</f>
        <v>0.68897216274089934</v>
      </c>
      <c r="V40" s="153"/>
      <c r="W40" s="153"/>
      <c r="X40" s="153"/>
    </row>
    <row r="41" spans="1:24">
      <c r="A41" s="6">
        <v>46144</v>
      </c>
      <c r="B41" s="50" t="s">
        <v>26</v>
      </c>
      <c r="C41" s="142" t="s">
        <v>486</v>
      </c>
      <c r="D41" s="142"/>
      <c r="E41" s="100" t="s">
        <v>1209</v>
      </c>
      <c r="F41" s="100" t="s">
        <v>852</v>
      </c>
      <c r="G41" s="100"/>
      <c r="H41" s="100" t="s">
        <v>853</v>
      </c>
      <c r="I41" s="142">
        <v>3000</v>
      </c>
      <c r="J41" s="100" t="s">
        <v>830</v>
      </c>
      <c r="K41" s="143" t="s">
        <v>686</v>
      </c>
      <c r="L41" s="153">
        <v>2997</v>
      </c>
      <c r="M41" s="153">
        <v>1867</v>
      </c>
      <c r="N41" s="153">
        <v>1405</v>
      </c>
      <c r="O41" s="153">
        <v>0</v>
      </c>
      <c r="P41" s="153">
        <v>3</v>
      </c>
      <c r="Q41" s="153"/>
      <c r="R41" s="154">
        <f t="shared" si="17"/>
        <v>0.62295628962295624</v>
      </c>
      <c r="S41" s="154">
        <f t="shared" si="18"/>
        <v>0.75254418853776106</v>
      </c>
      <c r="V41" s="153"/>
      <c r="W41" s="153"/>
      <c r="X41" s="153"/>
    </row>
    <row r="42" spans="1:24">
      <c r="A42" s="6">
        <v>46144</v>
      </c>
      <c r="B42" s="50" t="s">
        <v>26</v>
      </c>
      <c r="C42" s="142" t="s">
        <v>487</v>
      </c>
      <c r="D42" s="142"/>
      <c r="E42" s="100" t="s">
        <v>1210</v>
      </c>
      <c r="F42" s="100" t="s">
        <v>852</v>
      </c>
      <c r="G42" s="100"/>
      <c r="H42" s="100" t="s">
        <v>853</v>
      </c>
      <c r="I42" s="142">
        <v>500</v>
      </c>
      <c r="J42" s="100" t="s">
        <v>830</v>
      </c>
      <c r="K42" s="143" t="s">
        <v>918</v>
      </c>
      <c r="L42" s="153">
        <v>419</v>
      </c>
      <c r="M42" s="153">
        <v>376</v>
      </c>
      <c r="N42" s="153">
        <v>291</v>
      </c>
      <c r="O42" s="153">
        <v>0</v>
      </c>
      <c r="P42" s="153">
        <v>0</v>
      </c>
      <c r="Q42" s="153"/>
      <c r="R42" s="154">
        <f t="shared" si="17"/>
        <v>0.89737470167064437</v>
      </c>
      <c r="S42" s="154">
        <f t="shared" si="18"/>
        <v>0.77393617021276595</v>
      </c>
      <c r="V42" s="155"/>
      <c r="W42" s="155"/>
      <c r="X42" s="155"/>
    </row>
    <row r="43" spans="1:24">
      <c r="A43" s="6">
        <v>46144</v>
      </c>
      <c r="B43" s="50" t="s">
        <v>26</v>
      </c>
      <c r="C43" s="142" t="s">
        <v>487</v>
      </c>
      <c r="D43" s="142"/>
      <c r="E43" s="100" t="s">
        <v>1211</v>
      </c>
      <c r="F43" s="100" t="s">
        <v>852</v>
      </c>
      <c r="G43" s="100"/>
      <c r="H43" s="100" t="s">
        <v>853</v>
      </c>
      <c r="I43" s="142">
        <v>500</v>
      </c>
      <c r="J43" s="100" t="s">
        <v>830</v>
      </c>
      <c r="K43" s="143" t="s">
        <v>918</v>
      </c>
      <c r="L43" s="153">
        <v>418</v>
      </c>
      <c r="M43" s="153">
        <v>377</v>
      </c>
      <c r="N43" s="153">
        <v>281</v>
      </c>
      <c r="O43" s="153">
        <v>0</v>
      </c>
      <c r="P43" s="153">
        <v>1</v>
      </c>
      <c r="Q43" s="153"/>
      <c r="R43" s="154">
        <f t="shared" si="17"/>
        <v>0.90191387559808611</v>
      </c>
      <c r="S43" s="154">
        <f t="shared" si="18"/>
        <v>0.74535809018567645</v>
      </c>
      <c r="V43" s="155"/>
      <c r="W43" s="155"/>
      <c r="X43" s="155"/>
    </row>
    <row r="44" spans="1:24">
      <c r="A44" s="6">
        <v>46144</v>
      </c>
      <c r="B44" s="50" t="s">
        <v>26</v>
      </c>
      <c r="C44" s="142" t="s">
        <v>487</v>
      </c>
      <c r="D44" s="142"/>
      <c r="E44" s="100" t="s">
        <v>1212</v>
      </c>
      <c r="F44" s="100" t="s">
        <v>852</v>
      </c>
      <c r="G44" s="100"/>
      <c r="H44" s="100" t="s">
        <v>853</v>
      </c>
      <c r="I44" s="142">
        <v>500</v>
      </c>
      <c r="J44" s="100" t="s">
        <v>830</v>
      </c>
      <c r="K44" s="143" t="s">
        <v>918</v>
      </c>
      <c r="L44" s="153">
        <v>419</v>
      </c>
      <c r="M44" s="153">
        <v>379</v>
      </c>
      <c r="N44" s="153">
        <v>291</v>
      </c>
      <c r="O44" s="153">
        <v>0</v>
      </c>
      <c r="P44" s="153">
        <v>0</v>
      </c>
      <c r="Q44" s="153"/>
      <c r="R44" s="154">
        <f t="shared" si="17"/>
        <v>0.90453460620525061</v>
      </c>
      <c r="S44" s="154">
        <f t="shared" si="18"/>
        <v>0.76781002638522422</v>
      </c>
      <c r="V44" s="153">
        <v>1026</v>
      </c>
      <c r="W44" s="153">
        <v>4</v>
      </c>
      <c r="X44" s="153">
        <v>0</v>
      </c>
    </row>
    <row r="45" spans="1:24">
      <c r="A45" s="6">
        <v>46144</v>
      </c>
      <c r="B45" s="50" t="s">
        <v>26</v>
      </c>
      <c r="C45" s="142" t="s">
        <v>487</v>
      </c>
      <c r="D45" s="142"/>
      <c r="E45" s="100" t="s">
        <v>1213</v>
      </c>
      <c r="F45" s="100" t="s">
        <v>852</v>
      </c>
      <c r="G45" s="100"/>
      <c r="H45" s="100" t="s">
        <v>853</v>
      </c>
      <c r="I45" s="142">
        <v>500</v>
      </c>
      <c r="J45" s="100" t="s">
        <v>830</v>
      </c>
      <c r="K45" s="143" t="s">
        <v>918</v>
      </c>
      <c r="L45" s="153">
        <v>419</v>
      </c>
      <c r="M45" s="153">
        <v>378</v>
      </c>
      <c r="N45" s="153">
        <v>282</v>
      </c>
      <c r="O45" s="153">
        <v>0</v>
      </c>
      <c r="P45" s="153">
        <v>0</v>
      </c>
      <c r="Q45" s="153"/>
      <c r="R45" s="154">
        <f t="shared" ref="R45" si="19">M45/L45</f>
        <v>0.90214797136038183</v>
      </c>
      <c r="S45" s="154">
        <f t="shared" ref="S45" si="20">N45/M45</f>
        <v>0.74603174603174605</v>
      </c>
      <c r="V45" s="153">
        <v>558</v>
      </c>
      <c r="W45" s="153">
        <v>3</v>
      </c>
      <c r="X45" s="153">
        <v>1</v>
      </c>
    </row>
    <row r="46" spans="1:24">
      <c r="A46" s="6">
        <v>46144</v>
      </c>
      <c r="B46" s="50" t="s">
        <v>26</v>
      </c>
      <c r="C46" s="156" t="s">
        <v>486</v>
      </c>
      <c r="D46" s="156" t="s">
        <v>909</v>
      </c>
      <c r="E46" s="18" t="s">
        <v>907</v>
      </c>
      <c r="F46" s="18" t="s">
        <v>853</v>
      </c>
      <c r="G46" s="18" t="s">
        <v>908</v>
      </c>
      <c r="H46" s="18" t="s">
        <v>853</v>
      </c>
      <c r="I46" s="161"/>
      <c r="J46" s="18" t="s">
        <v>867</v>
      </c>
      <c r="K46" s="157" t="s">
        <v>106</v>
      </c>
      <c r="L46" s="153">
        <v>468</v>
      </c>
      <c r="M46" s="153">
        <v>123</v>
      </c>
      <c r="N46" s="153">
        <v>29</v>
      </c>
      <c r="O46" s="153">
        <v>8</v>
      </c>
      <c r="P46" s="153">
        <v>3</v>
      </c>
      <c r="Q46" s="153"/>
      <c r="R46" s="154">
        <f t="shared" si="17"/>
        <v>0.26282051282051283</v>
      </c>
      <c r="S46" s="154">
        <f t="shared" si="18"/>
        <v>0.23577235772357724</v>
      </c>
      <c r="V46" s="7">
        <v>1761</v>
      </c>
      <c r="W46" s="7">
        <v>523</v>
      </c>
      <c r="X46" s="7">
        <v>341</v>
      </c>
    </row>
    <row r="47" spans="1:24">
      <c r="A47" s="6">
        <v>46144</v>
      </c>
      <c r="B47" s="50" t="s">
        <v>26</v>
      </c>
      <c r="C47" s="156" t="s">
        <v>487</v>
      </c>
      <c r="D47" s="156" t="s">
        <v>909</v>
      </c>
      <c r="E47" s="18" t="s">
        <v>910</v>
      </c>
      <c r="F47" s="18" t="s">
        <v>853</v>
      </c>
      <c r="G47" s="18" t="s">
        <v>908</v>
      </c>
      <c r="H47" s="18" t="s">
        <v>853</v>
      </c>
      <c r="I47" s="161"/>
      <c r="J47" s="18" t="s">
        <v>867</v>
      </c>
      <c r="K47" s="18" t="s">
        <v>186</v>
      </c>
      <c r="L47" s="153">
        <v>1026</v>
      </c>
      <c r="M47" s="153">
        <v>4</v>
      </c>
      <c r="N47" s="153">
        <v>0</v>
      </c>
      <c r="O47" s="153">
        <v>0</v>
      </c>
      <c r="P47" s="153">
        <v>2</v>
      </c>
      <c r="Q47" s="153"/>
      <c r="R47" s="154">
        <f t="shared" si="17"/>
        <v>3.8986354775828458E-3</v>
      </c>
      <c r="S47" s="154">
        <f t="shared" si="18"/>
        <v>0</v>
      </c>
      <c r="V47" s="7">
        <v>1044</v>
      </c>
      <c r="W47" s="7">
        <v>511</v>
      </c>
      <c r="X47" s="7">
        <v>352</v>
      </c>
    </row>
    <row r="48" spans="1:24">
      <c r="A48" s="6">
        <v>46144</v>
      </c>
      <c r="B48" s="50" t="s">
        <v>26</v>
      </c>
      <c r="C48" s="156" t="s">
        <v>486</v>
      </c>
      <c r="D48" s="156" t="s">
        <v>923</v>
      </c>
      <c r="E48" s="18" t="s">
        <v>1180</v>
      </c>
      <c r="F48" s="18" t="s">
        <v>853</v>
      </c>
      <c r="G48" s="18" t="s">
        <v>1181</v>
      </c>
      <c r="H48" s="18" t="s">
        <v>853</v>
      </c>
      <c r="I48" s="161"/>
      <c r="J48" s="18" t="s">
        <v>867</v>
      </c>
      <c r="K48" s="18" t="s">
        <v>1047</v>
      </c>
      <c r="L48" s="153">
        <v>3171</v>
      </c>
      <c r="M48" s="153">
        <v>53</v>
      </c>
      <c r="N48" s="153">
        <v>11</v>
      </c>
      <c r="O48" s="153">
        <v>5</v>
      </c>
      <c r="P48" s="153">
        <v>11</v>
      </c>
      <c r="Q48" s="153"/>
      <c r="R48" s="154">
        <f t="shared" si="17"/>
        <v>1.6713970356354461E-2</v>
      </c>
      <c r="S48" s="154">
        <f t="shared" si="18"/>
        <v>0.20754716981132076</v>
      </c>
      <c r="V48">
        <f>SUM(V44:V47)</f>
        <v>4389</v>
      </c>
      <c r="W48">
        <f>SUM(W44:W47)</f>
        <v>1041</v>
      </c>
      <c r="X48">
        <f>SUM(X44:X47)</f>
        <v>694</v>
      </c>
    </row>
    <row r="49" spans="1:24">
      <c r="A49" s="6">
        <v>46144</v>
      </c>
      <c r="B49" s="50" t="s">
        <v>26</v>
      </c>
      <c r="C49" s="156" t="s">
        <v>487</v>
      </c>
      <c r="D49" s="156" t="s">
        <v>923</v>
      </c>
      <c r="E49" s="18" t="s">
        <v>1182</v>
      </c>
      <c r="F49" s="18" t="s">
        <v>853</v>
      </c>
      <c r="G49" s="18" t="s">
        <v>1181</v>
      </c>
      <c r="H49" s="18" t="s">
        <v>853</v>
      </c>
      <c r="I49" s="161"/>
      <c r="J49" s="18" t="s">
        <v>867</v>
      </c>
      <c r="K49" s="18" t="s">
        <v>1049</v>
      </c>
      <c r="L49" s="153">
        <v>558</v>
      </c>
      <c r="M49" s="153">
        <v>3</v>
      </c>
      <c r="N49" s="153">
        <v>1</v>
      </c>
      <c r="O49" s="153">
        <v>1</v>
      </c>
      <c r="P49" s="153">
        <v>2</v>
      </c>
      <c r="Q49" s="153"/>
      <c r="R49" s="154">
        <f t="shared" si="17"/>
        <v>5.3763440860215058E-3</v>
      </c>
      <c r="S49" s="154">
        <f t="shared" si="18"/>
        <v>0.33333333333333331</v>
      </c>
    </row>
    <row r="50" spans="1:24" s="147" customFormat="1">
      <c r="A50" s="6">
        <v>46144</v>
      </c>
      <c r="B50" s="50" t="s">
        <v>26</v>
      </c>
      <c r="C50" s="142" t="s">
        <v>486</v>
      </c>
      <c r="D50" s="162">
        <v>0.85416666666666663</v>
      </c>
      <c r="E50" s="65" t="s">
        <v>1214</v>
      </c>
      <c r="F50" s="100" t="s">
        <v>852</v>
      </c>
      <c r="G50" s="100" t="s">
        <v>1034</v>
      </c>
      <c r="H50" s="100" t="s">
        <v>853</v>
      </c>
      <c r="I50" s="163"/>
      <c r="J50" s="100" t="s">
        <v>830</v>
      </c>
      <c r="K50" s="143" t="s">
        <v>848</v>
      </c>
      <c r="L50" s="155">
        <v>3140</v>
      </c>
      <c r="M50" s="155">
        <v>1185</v>
      </c>
      <c r="N50" s="155">
        <v>710</v>
      </c>
      <c r="O50" s="155">
        <v>7</v>
      </c>
      <c r="P50" s="155">
        <v>0</v>
      </c>
      <c r="Q50" s="155"/>
      <c r="R50" s="154">
        <f t="shared" si="17"/>
        <v>0.37738853503184716</v>
      </c>
      <c r="S50" s="154">
        <f t="shared" si="18"/>
        <v>0.59915611814345993</v>
      </c>
    </row>
    <row r="51" spans="1:24" s="147" customFormat="1">
      <c r="A51" s="6">
        <v>46144</v>
      </c>
      <c r="B51" s="50" t="s">
        <v>26</v>
      </c>
      <c r="C51" s="142" t="s">
        <v>486</v>
      </c>
      <c r="D51" s="162">
        <v>0.83333333333333337</v>
      </c>
      <c r="E51" s="65" t="s">
        <v>1215</v>
      </c>
      <c r="F51" s="100" t="s">
        <v>852</v>
      </c>
      <c r="G51" s="100" t="s">
        <v>1036</v>
      </c>
      <c r="H51" s="100" t="s">
        <v>853</v>
      </c>
      <c r="I51" s="163"/>
      <c r="J51" s="100" t="s">
        <v>830</v>
      </c>
      <c r="K51" s="143" t="s">
        <v>149</v>
      </c>
      <c r="L51" s="155">
        <v>1090</v>
      </c>
      <c r="M51" s="155">
        <v>248</v>
      </c>
      <c r="N51" s="155">
        <v>51</v>
      </c>
      <c r="O51" s="155">
        <v>11</v>
      </c>
      <c r="P51" s="155">
        <v>0</v>
      </c>
      <c r="Q51" s="155"/>
      <c r="R51" s="154">
        <f t="shared" si="17"/>
        <v>0.22752293577981653</v>
      </c>
      <c r="S51" s="154">
        <f t="shared" si="18"/>
        <v>0.20564516129032259</v>
      </c>
    </row>
    <row r="52" spans="1:24" ht="16.8">
      <c r="A52" s="6">
        <v>46144</v>
      </c>
      <c r="B52" s="50" t="s">
        <v>26</v>
      </c>
      <c r="C52" s="142" t="s">
        <v>487</v>
      </c>
      <c r="D52" s="162">
        <v>0.86458333333333337</v>
      </c>
      <c r="E52" s="65" t="s">
        <v>1216</v>
      </c>
      <c r="F52" s="100" t="s">
        <v>852</v>
      </c>
      <c r="G52" s="100" t="s">
        <v>1034</v>
      </c>
      <c r="H52" s="100" t="s">
        <v>853</v>
      </c>
      <c r="I52" s="163"/>
      <c r="J52" s="100" t="s">
        <v>830</v>
      </c>
      <c r="K52" s="52" t="s">
        <v>210</v>
      </c>
      <c r="L52" s="7">
        <v>1761</v>
      </c>
      <c r="M52" s="7">
        <v>523</v>
      </c>
      <c r="N52" s="7">
        <v>341</v>
      </c>
      <c r="O52" s="7">
        <v>0</v>
      </c>
      <c r="P52" s="7">
        <v>0</v>
      </c>
      <c r="Q52" s="7"/>
      <c r="R52" s="154">
        <f t="shared" si="17"/>
        <v>0.29699034639409427</v>
      </c>
      <c r="S52" s="154">
        <f t="shared" si="18"/>
        <v>0.65200764818355639</v>
      </c>
    </row>
    <row r="53" spans="1:24">
      <c r="A53" s="6">
        <v>46144</v>
      </c>
      <c r="B53" s="50" t="s">
        <v>26</v>
      </c>
      <c r="C53" s="142" t="s">
        <v>487</v>
      </c>
      <c r="D53" s="162">
        <v>0.85416666666666663</v>
      </c>
      <c r="E53" s="65" t="s">
        <v>1217</v>
      </c>
      <c r="F53" s="100" t="s">
        <v>852</v>
      </c>
      <c r="G53" s="100" t="s">
        <v>1036</v>
      </c>
      <c r="H53" s="100" t="s">
        <v>853</v>
      </c>
      <c r="I53" s="163"/>
      <c r="J53" s="100" t="s">
        <v>830</v>
      </c>
      <c r="K53" s="7" t="s">
        <v>121</v>
      </c>
      <c r="L53" s="7">
        <v>1044</v>
      </c>
      <c r="M53" s="7">
        <v>511</v>
      </c>
      <c r="N53" s="7">
        <v>352</v>
      </c>
      <c r="O53" s="7">
        <v>0</v>
      </c>
      <c r="P53" s="7">
        <v>0</v>
      </c>
      <c r="Q53" s="7"/>
      <c r="R53" s="154">
        <f t="shared" si="17"/>
        <v>0.48946360153256707</v>
      </c>
      <c r="S53" s="154">
        <f t="shared" si="18"/>
        <v>0.68884540117416826</v>
      </c>
    </row>
    <row r="54" spans="1:24" ht="7.8" customHeight="1">
      <c r="A54" s="8"/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58"/>
    </row>
    <row r="55" spans="1:24">
      <c r="A55" s="6">
        <v>46145</v>
      </c>
      <c r="B55" s="50" t="s">
        <v>33</v>
      </c>
      <c r="C55" s="142" t="s">
        <v>486</v>
      </c>
      <c r="D55" s="142"/>
      <c r="E55" s="100" t="s">
        <v>1251</v>
      </c>
      <c r="F55" s="100" t="s">
        <v>852</v>
      </c>
      <c r="G55" s="100"/>
      <c r="H55" s="100" t="s">
        <v>853</v>
      </c>
      <c r="I55" s="142">
        <v>3000</v>
      </c>
      <c r="J55" s="100" t="s">
        <v>830</v>
      </c>
      <c r="K55" s="143" t="s">
        <v>686</v>
      </c>
      <c r="L55" s="153">
        <v>2997</v>
      </c>
      <c r="M55" s="153">
        <v>1853</v>
      </c>
      <c r="N55" s="153">
        <v>1309</v>
      </c>
      <c r="O55" s="153">
        <v>0</v>
      </c>
      <c r="P55" s="153">
        <v>3</v>
      </c>
      <c r="Q55" s="153"/>
      <c r="R55" s="154">
        <f t="shared" ref="R55:R69" si="21">M55/L55</f>
        <v>0.61828495161828501</v>
      </c>
      <c r="S55" s="154">
        <f t="shared" ref="S55:S69" si="22">N55/M55</f>
        <v>0.70642201834862384</v>
      </c>
    </row>
    <row r="56" spans="1:24">
      <c r="A56" s="6">
        <v>46145</v>
      </c>
      <c r="B56" s="50" t="s">
        <v>33</v>
      </c>
      <c r="C56" s="142" t="s">
        <v>486</v>
      </c>
      <c r="D56" s="142"/>
      <c r="E56" s="100" t="s">
        <v>1252</v>
      </c>
      <c r="F56" s="100" t="s">
        <v>852</v>
      </c>
      <c r="G56" s="100"/>
      <c r="H56" s="100" t="s">
        <v>853</v>
      </c>
      <c r="I56" s="142">
        <v>3000</v>
      </c>
      <c r="J56" s="100" t="s">
        <v>830</v>
      </c>
      <c r="K56" s="143" t="s">
        <v>686</v>
      </c>
      <c r="L56" s="153">
        <v>2997</v>
      </c>
      <c r="M56" s="153">
        <v>1852</v>
      </c>
      <c r="N56" s="153">
        <v>1389</v>
      </c>
      <c r="O56" s="153">
        <v>0</v>
      </c>
      <c r="P56" s="153">
        <v>3</v>
      </c>
      <c r="Q56" s="153"/>
      <c r="R56" s="154">
        <f t="shared" si="21"/>
        <v>0.61795128461795124</v>
      </c>
      <c r="S56" s="154">
        <f t="shared" si="22"/>
        <v>0.75</v>
      </c>
    </row>
    <row r="57" spans="1:24">
      <c r="A57" s="6">
        <v>46145</v>
      </c>
      <c r="B57" s="50" t="s">
        <v>33</v>
      </c>
      <c r="C57" s="142" t="s">
        <v>487</v>
      </c>
      <c r="D57" s="142"/>
      <c r="E57" s="100" t="s">
        <v>1253</v>
      </c>
      <c r="F57" s="100" t="s">
        <v>852</v>
      </c>
      <c r="G57" s="100"/>
      <c r="H57" s="100" t="s">
        <v>853</v>
      </c>
      <c r="I57" s="142">
        <v>500</v>
      </c>
      <c r="J57" s="100" t="s">
        <v>830</v>
      </c>
      <c r="K57" s="143" t="s">
        <v>918</v>
      </c>
      <c r="L57" s="153">
        <v>419</v>
      </c>
      <c r="M57" s="153">
        <v>371</v>
      </c>
      <c r="N57" s="153">
        <v>269</v>
      </c>
      <c r="O57" s="153">
        <v>0</v>
      </c>
      <c r="P57" s="153">
        <v>0</v>
      </c>
      <c r="Q57" s="153"/>
      <c r="R57" s="154">
        <f t="shared" si="21"/>
        <v>0.88544152744630067</v>
      </c>
      <c r="S57" s="154">
        <f t="shared" si="22"/>
        <v>0.72506738544474392</v>
      </c>
    </row>
    <row r="58" spans="1:24">
      <c r="A58" s="6">
        <v>46145</v>
      </c>
      <c r="B58" s="50" t="s">
        <v>33</v>
      </c>
      <c r="C58" s="142" t="s">
        <v>487</v>
      </c>
      <c r="D58" s="142"/>
      <c r="E58" s="100" t="s">
        <v>1254</v>
      </c>
      <c r="F58" s="100" t="s">
        <v>852</v>
      </c>
      <c r="G58" s="100"/>
      <c r="H58" s="100" t="s">
        <v>853</v>
      </c>
      <c r="I58" s="142">
        <v>500</v>
      </c>
      <c r="J58" s="100" t="s">
        <v>830</v>
      </c>
      <c r="K58" s="143" t="s">
        <v>918</v>
      </c>
      <c r="L58" s="153">
        <v>419</v>
      </c>
      <c r="M58" s="153">
        <v>369</v>
      </c>
      <c r="N58" s="153">
        <v>274</v>
      </c>
      <c r="O58" s="153">
        <v>0</v>
      </c>
      <c r="P58" s="153">
        <v>0</v>
      </c>
      <c r="Q58" s="153"/>
      <c r="R58" s="154">
        <f t="shared" si="21"/>
        <v>0.88066825775656321</v>
      </c>
      <c r="S58" s="154">
        <f t="shared" si="22"/>
        <v>0.74254742547425479</v>
      </c>
    </row>
    <row r="59" spans="1:24">
      <c r="A59" s="6">
        <v>46145</v>
      </c>
      <c r="B59" s="50" t="s">
        <v>33</v>
      </c>
      <c r="C59" s="142" t="s">
        <v>487</v>
      </c>
      <c r="D59" s="142"/>
      <c r="E59" s="100" t="s">
        <v>1255</v>
      </c>
      <c r="F59" s="100" t="s">
        <v>852</v>
      </c>
      <c r="G59" s="100"/>
      <c r="H59" s="100" t="s">
        <v>853</v>
      </c>
      <c r="I59" s="142">
        <v>500</v>
      </c>
      <c r="J59" s="100" t="s">
        <v>830</v>
      </c>
      <c r="K59" s="143" t="s">
        <v>918</v>
      </c>
      <c r="L59" s="153">
        <v>419</v>
      </c>
      <c r="M59" s="153">
        <v>368</v>
      </c>
      <c r="N59" s="153">
        <v>266</v>
      </c>
      <c r="O59" s="153">
        <v>0</v>
      </c>
      <c r="P59" s="153">
        <v>0</v>
      </c>
      <c r="Q59" s="153"/>
      <c r="R59" s="154">
        <f t="shared" si="21"/>
        <v>0.87828162291169454</v>
      </c>
      <c r="S59" s="154">
        <f t="shared" si="22"/>
        <v>0.72282608695652173</v>
      </c>
    </row>
    <row r="60" spans="1:24">
      <c r="A60" s="6">
        <v>46145</v>
      </c>
      <c r="B60" s="50" t="s">
        <v>33</v>
      </c>
      <c r="C60" s="142" t="s">
        <v>487</v>
      </c>
      <c r="D60" s="142"/>
      <c r="E60" s="100" t="s">
        <v>1256</v>
      </c>
      <c r="F60" s="100" t="s">
        <v>852</v>
      </c>
      <c r="G60" s="100"/>
      <c r="H60" s="100" t="s">
        <v>853</v>
      </c>
      <c r="I60" s="142">
        <v>500</v>
      </c>
      <c r="J60" s="100" t="s">
        <v>830</v>
      </c>
      <c r="K60" s="143" t="s">
        <v>918</v>
      </c>
      <c r="L60" s="153">
        <v>419</v>
      </c>
      <c r="M60" s="153">
        <v>369</v>
      </c>
      <c r="N60" s="153">
        <v>276</v>
      </c>
      <c r="O60" s="153">
        <v>0</v>
      </c>
      <c r="P60" s="153">
        <v>0</v>
      </c>
      <c r="Q60" s="153"/>
      <c r="R60" s="154">
        <f t="shared" si="21"/>
        <v>0.88066825775656321</v>
      </c>
      <c r="S60" s="154">
        <f t="shared" si="22"/>
        <v>0.74796747967479671</v>
      </c>
      <c r="V60" s="153"/>
      <c r="W60" s="153"/>
      <c r="X60" s="153"/>
    </row>
    <row r="61" spans="1:24">
      <c r="A61" s="6">
        <v>46145</v>
      </c>
      <c r="B61" s="50" t="s">
        <v>33</v>
      </c>
      <c r="C61" s="142" t="s">
        <v>487</v>
      </c>
      <c r="D61" s="142"/>
      <c r="E61" s="100" t="s">
        <v>1257</v>
      </c>
      <c r="F61" s="100" t="s">
        <v>852</v>
      </c>
      <c r="G61" s="100"/>
      <c r="H61" s="100" t="s">
        <v>853</v>
      </c>
      <c r="I61" s="142">
        <v>500</v>
      </c>
      <c r="J61" s="100" t="s">
        <v>830</v>
      </c>
      <c r="K61" s="143" t="s">
        <v>918</v>
      </c>
      <c r="L61" s="153">
        <v>419</v>
      </c>
      <c r="M61" s="153">
        <v>368</v>
      </c>
      <c r="N61" s="153">
        <v>276</v>
      </c>
      <c r="O61" s="153">
        <v>0</v>
      </c>
      <c r="P61" s="153">
        <v>0</v>
      </c>
      <c r="Q61" s="153"/>
      <c r="R61" s="154">
        <f t="shared" ref="R61" si="23">M61/L61</f>
        <v>0.87828162291169454</v>
      </c>
      <c r="S61" s="154">
        <f t="shared" ref="S61" si="24">N61/M61</f>
        <v>0.75</v>
      </c>
      <c r="V61" s="153"/>
      <c r="W61" s="153"/>
      <c r="X61" s="153"/>
    </row>
    <row r="62" spans="1:24">
      <c r="A62" s="6">
        <v>46145</v>
      </c>
      <c r="B62" s="50" t="s">
        <v>33</v>
      </c>
      <c r="C62" s="156" t="s">
        <v>486</v>
      </c>
      <c r="D62" s="156" t="s">
        <v>909</v>
      </c>
      <c r="E62" s="18" t="s">
        <v>907</v>
      </c>
      <c r="F62" s="18" t="s">
        <v>853</v>
      </c>
      <c r="G62" s="18" t="s">
        <v>908</v>
      </c>
      <c r="H62" s="18" t="s">
        <v>853</v>
      </c>
      <c r="I62" s="161"/>
      <c r="J62" s="18" t="s">
        <v>867</v>
      </c>
      <c r="K62" s="157" t="s">
        <v>106</v>
      </c>
      <c r="L62" s="153">
        <v>468</v>
      </c>
      <c r="M62" s="153">
        <v>121</v>
      </c>
      <c r="N62" s="153">
        <v>30</v>
      </c>
      <c r="O62" s="153">
        <v>3</v>
      </c>
      <c r="P62" s="153">
        <v>1</v>
      </c>
      <c r="Q62" s="153"/>
      <c r="R62" s="154">
        <f t="shared" si="21"/>
        <v>0.25854700854700857</v>
      </c>
      <c r="S62" s="154">
        <f t="shared" si="22"/>
        <v>0.24793388429752067</v>
      </c>
      <c r="V62" s="155"/>
      <c r="W62" s="155"/>
      <c r="X62" s="155"/>
    </row>
    <row r="63" spans="1:24">
      <c r="A63" s="6">
        <v>46145</v>
      </c>
      <c r="B63" s="50" t="s">
        <v>33</v>
      </c>
      <c r="C63" s="156" t="s">
        <v>487</v>
      </c>
      <c r="D63" s="156" t="s">
        <v>909</v>
      </c>
      <c r="E63" s="18" t="s">
        <v>910</v>
      </c>
      <c r="F63" s="18" t="s">
        <v>853</v>
      </c>
      <c r="G63" s="18" t="s">
        <v>908</v>
      </c>
      <c r="H63" s="18" t="s">
        <v>853</v>
      </c>
      <c r="I63" s="161"/>
      <c r="J63" s="18" t="s">
        <v>867</v>
      </c>
      <c r="K63" s="18" t="s">
        <v>186</v>
      </c>
      <c r="L63" s="153">
        <v>990</v>
      </c>
      <c r="M63" s="153">
        <v>7</v>
      </c>
      <c r="N63" s="153">
        <v>1</v>
      </c>
      <c r="O63" s="153">
        <v>0</v>
      </c>
      <c r="P63" s="153">
        <v>2</v>
      </c>
      <c r="Q63" s="153"/>
      <c r="R63" s="154">
        <f t="shared" si="21"/>
        <v>7.0707070707070711E-3</v>
      </c>
      <c r="S63" s="154">
        <f t="shared" si="22"/>
        <v>0.14285714285714285</v>
      </c>
      <c r="V63" s="155"/>
      <c r="W63" s="155"/>
      <c r="X63" s="155"/>
    </row>
    <row r="64" spans="1:24">
      <c r="A64" s="6">
        <v>46145</v>
      </c>
      <c r="B64" s="50" t="s">
        <v>33</v>
      </c>
      <c r="C64" s="156" t="s">
        <v>486</v>
      </c>
      <c r="D64" s="156" t="s">
        <v>923</v>
      </c>
      <c r="E64" s="18" t="s">
        <v>1180</v>
      </c>
      <c r="F64" s="18" t="s">
        <v>853</v>
      </c>
      <c r="G64" s="18" t="s">
        <v>1181</v>
      </c>
      <c r="H64" s="18" t="s">
        <v>853</v>
      </c>
      <c r="I64" s="161"/>
      <c r="J64" s="18" t="s">
        <v>867</v>
      </c>
      <c r="K64" s="18" t="s">
        <v>1047</v>
      </c>
      <c r="L64" s="153">
        <v>3135</v>
      </c>
      <c r="M64" s="153">
        <v>28</v>
      </c>
      <c r="N64" s="153">
        <v>6</v>
      </c>
      <c r="O64" s="153">
        <v>2</v>
      </c>
      <c r="P64" s="153">
        <v>5</v>
      </c>
      <c r="Q64" s="153"/>
      <c r="R64" s="154">
        <f t="shared" ref="R64:R65" si="25">M64/L64</f>
        <v>8.9314194577352467E-3</v>
      </c>
      <c r="S64" s="154">
        <f t="shared" ref="S64:S65" si="26">N64/M64</f>
        <v>0.21428571428571427</v>
      </c>
    </row>
    <row r="65" spans="1:24">
      <c r="A65" s="6">
        <v>46145</v>
      </c>
      <c r="B65" s="50" t="s">
        <v>33</v>
      </c>
      <c r="C65" s="156" t="s">
        <v>487</v>
      </c>
      <c r="D65" s="156" t="s">
        <v>923</v>
      </c>
      <c r="E65" s="18" t="s">
        <v>1182</v>
      </c>
      <c r="F65" s="18" t="s">
        <v>853</v>
      </c>
      <c r="G65" s="18" t="s">
        <v>1181</v>
      </c>
      <c r="H65" s="18" t="s">
        <v>853</v>
      </c>
      <c r="I65" s="161"/>
      <c r="J65" s="18" t="s">
        <v>867</v>
      </c>
      <c r="K65" s="18" t="s">
        <v>1049</v>
      </c>
      <c r="L65" s="153">
        <v>506</v>
      </c>
      <c r="M65" s="153">
        <v>3</v>
      </c>
      <c r="N65" s="153">
        <v>1</v>
      </c>
      <c r="O65" s="153">
        <v>0</v>
      </c>
      <c r="P65" s="153">
        <v>0</v>
      </c>
      <c r="Q65" s="153"/>
      <c r="R65" s="154">
        <f t="shared" si="25"/>
        <v>5.9288537549407111E-3</v>
      </c>
      <c r="S65" s="154">
        <f t="shared" si="26"/>
        <v>0.33333333333333331</v>
      </c>
    </row>
    <row r="66" spans="1:24" s="147" customFormat="1">
      <c r="A66" s="6">
        <v>46145</v>
      </c>
      <c r="B66" s="50" t="s">
        <v>33</v>
      </c>
      <c r="C66" s="142" t="s">
        <v>486</v>
      </c>
      <c r="D66" s="162">
        <v>0.85416666666666663</v>
      </c>
      <c r="E66" s="65" t="s">
        <v>1258</v>
      </c>
      <c r="F66" s="100" t="s">
        <v>853</v>
      </c>
      <c r="G66" s="100" t="s">
        <v>912</v>
      </c>
      <c r="H66" s="100" t="s">
        <v>853</v>
      </c>
      <c r="I66" s="163"/>
      <c r="J66" s="100" t="s">
        <v>830</v>
      </c>
      <c r="K66" s="143" t="s">
        <v>848</v>
      </c>
      <c r="L66" s="155">
        <v>3899</v>
      </c>
      <c r="M66" s="155">
        <v>2155</v>
      </c>
      <c r="N66" s="155">
        <v>1432</v>
      </c>
      <c r="O66" s="155">
        <v>1</v>
      </c>
      <c r="P66" s="155">
        <v>1</v>
      </c>
      <c r="Q66" s="155"/>
      <c r="R66" s="154">
        <f t="shared" si="21"/>
        <v>0.55270582200564244</v>
      </c>
      <c r="S66" s="154">
        <f t="shared" si="22"/>
        <v>0.66450116009280746</v>
      </c>
    </row>
    <row r="67" spans="1:24" s="147" customFormat="1">
      <c r="A67" s="6">
        <v>46145</v>
      </c>
      <c r="B67" s="50" t="s">
        <v>33</v>
      </c>
      <c r="C67" s="142" t="s">
        <v>486</v>
      </c>
      <c r="D67" s="162">
        <v>0.83333333333333337</v>
      </c>
      <c r="E67" s="65" t="s">
        <v>1259</v>
      </c>
      <c r="F67" s="100" t="s">
        <v>853</v>
      </c>
      <c r="G67" s="100" t="s">
        <v>914</v>
      </c>
      <c r="H67" s="100" t="s">
        <v>853</v>
      </c>
      <c r="I67" s="163"/>
      <c r="J67" s="100" t="s">
        <v>830</v>
      </c>
      <c r="K67" s="143" t="s">
        <v>149</v>
      </c>
      <c r="L67" s="155">
        <v>1266</v>
      </c>
      <c r="M67" s="155">
        <v>37</v>
      </c>
      <c r="N67" s="155">
        <v>4</v>
      </c>
      <c r="O67" s="155">
        <v>3</v>
      </c>
      <c r="P67" s="155">
        <v>1</v>
      </c>
      <c r="Q67" s="155"/>
      <c r="R67" s="154">
        <f t="shared" si="21"/>
        <v>2.9225908372827805E-2</v>
      </c>
      <c r="S67" s="154">
        <f t="shared" si="22"/>
        <v>0.10810810810810811</v>
      </c>
      <c r="V67" s="153"/>
      <c r="W67" s="153"/>
      <c r="X67" s="153"/>
    </row>
    <row r="68" spans="1:24" ht="16.8">
      <c r="A68" s="6">
        <v>46145</v>
      </c>
      <c r="B68" s="50" t="s">
        <v>33</v>
      </c>
      <c r="C68" s="142" t="s">
        <v>487</v>
      </c>
      <c r="D68" s="162">
        <v>0.86458333333333337</v>
      </c>
      <c r="E68" s="65" t="s">
        <v>1260</v>
      </c>
      <c r="F68" s="7" t="s">
        <v>853</v>
      </c>
      <c r="G68" s="100" t="s">
        <v>912</v>
      </c>
      <c r="H68" s="100" t="s">
        <v>853</v>
      </c>
      <c r="I68" s="163"/>
      <c r="J68" s="100" t="s">
        <v>830</v>
      </c>
      <c r="K68" s="52" t="s">
        <v>210</v>
      </c>
      <c r="L68" s="7">
        <v>1800</v>
      </c>
      <c r="M68" s="7">
        <v>515</v>
      </c>
      <c r="N68" s="7">
        <v>323</v>
      </c>
      <c r="O68" s="7">
        <v>2</v>
      </c>
      <c r="P68" s="7">
        <v>0</v>
      </c>
      <c r="Q68" s="7"/>
      <c r="R68" s="154">
        <f t="shared" si="21"/>
        <v>0.28611111111111109</v>
      </c>
      <c r="S68" s="154">
        <f t="shared" si="22"/>
        <v>0.62718446601941746</v>
      </c>
      <c r="V68" s="153"/>
      <c r="W68" s="153"/>
      <c r="X68" s="153"/>
    </row>
    <row r="69" spans="1:24">
      <c r="A69" s="6">
        <v>46145</v>
      </c>
      <c r="B69" s="50" t="s">
        <v>33</v>
      </c>
      <c r="C69" s="142" t="s">
        <v>487</v>
      </c>
      <c r="D69" s="162">
        <v>0.85416666666666663</v>
      </c>
      <c r="E69" s="65" t="s">
        <v>1261</v>
      </c>
      <c r="F69" s="7" t="s">
        <v>853</v>
      </c>
      <c r="G69" s="100" t="s">
        <v>914</v>
      </c>
      <c r="H69" s="100" t="s">
        <v>853</v>
      </c>
      <c r="I69" s="163"/>
      <c r="J69" s="100" t="s">
        <v>830</v>
      </c>
      <c r="K69" s="7" t="s">
        <v>121</v>
      </c>
      <c r="L69" s="7">
        <v>1071</v>
      </c>
      <c r="M69" s="7">
        <v>493</v>
      </c>
      <c r="N69" s="7">
        <v>309</v>
      </c>
      <c r="O69" s="7">
        <v>0</v>
      </c>
      <c r="P69" s="7">
        <v>0</v>
      </c>
      <c r="Q69" s="7"/>
      <c r="R69" s="154">
        <f t="shared" si="21"/>
        <v>0.46031746031746029</v>
      </c>
      <c r="S69" s="154">
        <f t="shared" si="22"/>
        <v>0.62677484787018256</v>
      </c>
      <c r="V69" s="7"/>
      <c r="W69" s="7"/>
      <c r="X69" s="7"/>
    </row>
    <row r="70" spans="1:24" ht="7.8" customHeight="1">
      <c r="A70" s="8"/>
      <c r="B70" s="9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58"/>
      <c r="V70" s="7"/>
      <c r="W70" s="7"/>
      <c r="X70" s="7"/>
    </row>
    <row r="71" spans="1:24">
      <c r="A71" s="6">
        <v>46146</v>
      </c>
      <c r="B71" s="50" t="s">
        <v>36</v>
      </c>
      <c r="C71" s="142" t="s">
        <v>486</v>
      </c>
      <c r="D71" s="142"/>
      <c r="E71" s="100" t="s">
        <v>1251</v>
      </c>
      <c r="F71" s="100" t="s">
        <v>852</v>
      </c>
      <c r="G71" s="100"/>
      <c r="H71" s="100" t="s">
        <v>853</v>
      </c>
      <c r="I71" s="142">
        <v>3000</v>
      </c>
      <c r="J71" s="100" t="s">
        <v>830</v>
      </c>
      <c r="K71" s="143" t="s">
        <v>686</v>
      </c>
      <c r="L71" s="153"/>
      <c r="M71" s="153"/>
      <c r="N71" s="153"/>
      <c r="O71" s="153"/>
      <c r="P71" s="153"/>
      <c r="Q71" s="153"/>
      <c r="R71" s="154" t="e">
        <f t="shared" ref="R71:R85" si="27">M71/L71</f>
        <v>#DIV/0!</v>
      </c>
      <c r="S71" s="154" t="e">
        <f t="shared" ref="S71:S85" si="28">N71/M71</f>
        <v>#DIV/0!</v>
      </c>
    </row>
    <row r="72" spans="1:24">
      <c r="A72" s="6">
        <v>46146</v>
      </c>
      <c r="B72" s="50" t="s">
        <v>36</v>
      </c>
      <c r="C72" s="142" t="s">
        <v>486</v>
      </c>
      <c r="D72" s="142"/>
      <c r="E72" s="100" t="s">
        <v>1252</v>
      </c>
      <c r="F72" s="100" t="s">
        <v>852</v>
      </c>
      <c r="G72" s="100"/>
      <c r="H72" s="100" t="s">
        <v>853</v>
      </c>
      <c r="I72" s="142">
        <v>3000</v>
      </c>
      <c r="J72" s="100" t="s">
        <v>830</v>
      </c>
      <c r="K72" s="143" t="s">
        <v>686</v>
      </c>
      <c r="L72" s="153"/>
      <c r="M72" s="153"/>
      <c r="N72" s="153"/>
      <c r="O72" s="153"/>
      <c r="P72" s="153"/>
      <c r="Q72" s="153"/>
      <c r="R72" s="154" t="e">
        <f t="shared" si="27"/>
        <v>#DIV/0!</v>
      </c>
      <c r="S72" s="154" t="e">
        <f t="shared" si="28"/>
        <v>#DIV/0!</v>
      </c>
    </row>
    <row r="73" spans="1:24">
      <c r="A73" s="6">
        <v>46146</v>
      </c>
      <c r="B73" s="50" t="s">
        <v>36</v>
      </c>
      <c r="C73" s="142" t="s">
        <v>487</v>
      </c>
      <c r="D73" s="142"/>
      <c r="E73" s="100" t="s">
        <v>1253</v>
      </c>
      <c r="F73" s="100" t="s">
        <v>852</v>
      </c>
      <c r="G73" s="100"/>
      <c r="H73" s="100" t="s">
        <v>853</v>
      </c>
      <c r="I73" s="142">
        <v>500</v>
      </c>
      <c r="J73" s="100" t="s">
        <v>830</v>
      </c>
      <c r="K73" s="143" t="s">
        <v>918</v>
      </c>
      <c r="L73" s="153"/>
      <c r="M73" s="153"/>
      <c r="N73" s="153"/>
      <c r="O73" s="153"/>
      <c r="P73" s="153"/>
      <c r="Q73" s="153"/>
      <c r="R73" s="154" t="e">
        <f t="shared" si="27"/>
        <v>#DIV/0!</v>
      </c>
      <c r="S73" s="154" t="e">
        <f t="shared" si="28"/>
        <v>#DIV/0!</v>
      </c>
    </row>
    <row r="74" spans="1:24">
      <c r="A74" s="6">
        <v>46146</v>
      </c>
      <c r="B74" s="50" t="s">
        <v>36</v>
      </c>
      <c r="C74" s="142" t="s">
        <v>487</v>
      </c>
      <c r="D74" s="142"/>
      <c r="E74" s="100" t="s">
        <v>1254</v>
      </c>
      <c r="F74" s="100" t="s">
        <v>852</v>
      </c>
      <c r="G74" s="100"/>
      <c r="H74" s="100" t="s">
        <v>853</v>
      </c>
      <c r="I74" s="142">
        <v>500</v>
      </c>
      <c r="J74" s="100" t="s">
        <v>830</v>
      </c>
      <c r="K74" s="143" t="s">
        <v>918</v>
      </c>
      <c r="L74" s="153"/>
      <c r="M74" s="153"/>
      <c r="N74" s="153"/>
      <c r="O74" s="153"/>
      <c r="P74" s="153"/>
      <c r="Q74" s="153"/>
      <c r="R74" s="154" t="e">
        <f t="shared" si="27"/>
        <v>#DIV/0!</v>
      </c>
      <c r="S74" s="154" t="e">
        <f t="shared" si="28"/>
        <v>#DIV/0!</v>
      </c>
    </row>
    <row r="75" spans="1:24">
      <c r="A75" s="6">
        <v>46146</v>
      </c>
      <c r="B75" s="50" t="s">
        <v>36</v>
      </c>
      <c r="C75" s="142" t="s">
        <v>487</v>
      </c>
      <c r="D75" s="142"/>
      <c r="E75" s="100" t="s">
        <v>1255</v>
      </c>
      <c r="F75" s="100" t="s">
        <v>852</v>
      </c>
      <c r="G75" s="100"/>
      <c r="H75" s="100" t="s">
        <v>853</v>
      </c>
      <c r="I75" s="142">
        <v>500</v>
      </c>
      <c r="J75" s="100" t="s">
        <v>830</v>
      </c>
      <c r="K75" s="143" t="s">
        <v>918</v>
      </c>
      <c r="L75" s="153"/>
      <c r="M75" s="153"/>
      <c r="N75" s="153"/>
      <c r="O75" s="153"/>
      <c r="P75" s="153"/>
      <c r="Q75" s="153"/>
      <c r="R75" s="154" t="e">
        <f t="shared" si="27"/>
        <v>#DIV/0!</v>
      </c>
      <c r="S75" s="154" t="e">
        <f t="shared" si="28"/>
        <v>#DIV/0!</v>
      </c>
    </row>
    <row r="76" spans="1:24">
      <c r="A76" s="6">
        <v>46146</v>
      </c>
      <c r="B76" s="50" t="s">
        <v>36</v>
      </c>
      <c r="C76" s="142" t="s">
        <v>487</v>
      </c>
      <c r="D76" s="142"/>
      <c r="E76" s="100" t="s">
        <v>1256</v>
      </c>
      <c r="F76" s="100" t="s">
        <v>852</v>
      </c>
      <c r="G76" s="100"/>
      <c r="H76" s="100" t="s">
        <v>853</v>
      </c>
      <c r="I76" s="142">
        <v>500</v>
      </c>
      <c r="J76" s="100" t="s">
        <v>830</v>
      </c>
      <c r="K76" s="143" t="s">
        <v>918</v>
      </c>
      <c r="L76" s="153"/>
      <c r="M76" s="153"/>
      <c r="N76" s="153"/>
      <c r="O76" s="153"/>
      <c r="P76" s="153"/>
      <c r="Q76" s="153"/>
      <c r="R76" s="154" t="e">
        <f t="shared" si="27"/>
        <v>#DIV/0!</v>
      </c>
      <c r="S76" s="154" t="e">
        <f t="shared" si="28"/>
        <v>#DIV/0!</v>
      </c>
      <c r="V76" s="153"/>
      <c r="W76" s="153"/>
      <c r="X76" s="153"/>
    </row>
    <row r="77" spans="1:24">
      <c r="A77" s="6">
        <v>46146</v>
      </c>
      <c r="B77" s="50" t="s">
        <v>36</v>
      </c>
      <c r="C77" s="142" t="s">
        <v>487</v>
      </c>
      <c r="D77" s="142"/>
      <c r="E77" s="100" t="s">
        <v>1257</v>
      </c>
      <c r="F77" s="100" t="s">
        <v>852</v>
      </c>
      <c r="G77" s="100"/>
      <c r="H77" s="100" t="s">
        <v>853</v>
      </c>
      <c r="I77" s="142">
        <v>500</v>
      </c>
      <c r="J77" s="100" t="s">
        <v>830</v>
      </c>
      <c r="K77" s="143" t="s">
        <v>918</v>
      </c>
      <c r="L77" s="153"/>
      <c r="M77" s="153"/>
      <c r="N77" s="153"/>
      <c r="O77" s="153"/>
      <c r="P77" s="153"/>
      <c r="Q77" s="153"/>
      <c r="R77" s="154" t="e">
        <f t="shared" si="27"/>
        <v>#DIV/0!</v>
      </c>
      <c r="S77" s="154" t="e">
        <f t="shared" si="28"/>
        <v>#DIV/0!</v>
      </c>
      <c r="V77" s="153"/>
      <c r="W77" s="153"/>
      <c r="X77" s="153"/>
    </row>
    <row r="78" spans="1:24">
      <c r="A78" s="6">
        <v>46146</v>
      </c>
      <c r="B78" s="50" t="s">
        <v>36</v>
      </c>
      <c r="C78" s="156" t="s">
        <v>486</v>
      </c>
      <c r="D78" s="156" t="s">
        <v>909</v>
      </c>
      <c r="E78" s="18" t="s">
        <v>907</v>
      </c>
      <c r="F78" s="18" t="s">
        <v>853</v>
      </c>
      <c r="G78" s="18" t="s">
        <v>908</v>
      </c>
      <c r="H78" s="18" t="s">
        <v>853</v>
      </c>
      <c r="I78" s="161"/>
      <c r="J78" s="18" t="s">
        <v>867</v>
      </c>
      <c r="K78" s="157" t="s">
        <v>106</v>
      </c>
      <c r="L78" s="153"/>
      <c r="M78" s="153"/>
      <c r="N78" s="153"/>
      <c r="O78" s="153"/>
      <c r="P78" s="153"/>
      <c r="Q78" s="153"/>
      <c r="R78" s="154" t="e">
        <f t="shared" si="27"/>
        <v>#DIV/0!</v>
      </c>
      <c r="S78" s="154" t="e">
        <f t="shared" si="28"/>
        <v>#DIV/0!</v>
      </c>
      <c r="V78" s="155"/>
      <c r="W78" s="155"/>
      <c r="X78" s="155"/>
    </row>
    <row r="79" spans="1:24">
      <c r="A79" s="6">
        <v>46146</v>
      </c>
      <c r="B79" s="50" t="s">
        <v>36</v>
      </c>
      <c r="C79" s="156" t="s">
        <v>487</v>
      </c>
      <c r="D79" s="156" t="s">
        <v>909</v>
      </c>
      <c r="E79" s="18" t="s">
        <v>910</v>
      </c>
      <c r="F79" s="18" t="s">
        <v>853</v>
      </c>
      <c r="G79" s="18" t="s">
        <v>908</v>
      </c>
      <c r="H79" s="18" t="s">
        <v>853</v>
      </c>
      <c r="I79" s="161"/>
      <c r="J79" s="18" t="s">
        <v>867</v>
      </c>
      <c r="K79" s="18" t="s">
        <v>186</v>
      </c>
      <c r="L79" s="153"/>
      <c r="M79" s="153"/>
      <c r="N79" s="153"/>
      <c r="O79" s="153"/>
      <c r="P79" s="153"/>
      <c r="Q79" s="153"/>
      <c r="R79" s="154" t="e">
        <f t="shared" si="27"/>
        <v>#DIV/0!</v>
      </c>
      <c r="S79" s="154" t="e">
        <f t="shared" si="28"/>
        <v>#DIV/0!</v>
      </c>
      <c r="V79" s="155"/>
      <c r="W79" s="155"/>
      <c r="X79" s="155"/>
    </row>
    <row r="80" spans="1:24">
      <c r="A80" s="6">
        <v>46146</v>
      </c>
      <c r="B80" s="50" t="s">
        <v>36</v>
      </c>
      <c r="C80" s="156" t="s">
        <v>486</v>
      </c>
      <c r="D80" s="156" t="s">
        <v>923</v>
      </c>
      <c r="E80" s="18" t="s">
        <v>1180</v>
      </c>
      <c r="F80" s="18" t="s">
        <v>853</v>
      </c>
      <c r="G80" s="18" t="s">
        <v>1181</v>
      </c>
      <c r="H80" s="18" t="s">
        <v>853</v>
      </c>
      <c r="I80" s="161"/>
      <c r="J80" s="18" t="s">
        <v>867</v>
      </c>
      <c r="K80" s="18" t="s">
        <v>1047</v>
      </c>
      <c r="L80" s="153"/>
      <c r="M80" s="153"/>
      <c r="N80" s="153"/>
      <c r="O80" s="153"/>
      <c r="P80" s="153"/>
      <c r="Q80" s="153"/>
      <c r="R80" s="154" t="e">
        <f t="shared" si="27"/>
        <v>#DIV/0!</v>
      </c>
      <c r="S80" s="154" t="e">
        <f t="shared" si="28"/>
        <v>#DIV/0!</v>
      </c>
    </row>
    <row r="81" spans="1:24">
      <c r="A81" s="6">
        <v>46146</v>
      </c>
      <c r="B81" s="50" t="s">
        <v>36</v>
      </c>
      <c r="C81" s="156" t="s">
        <v>487</v>
      </c>
      <c r="D81" s="156" t="s">
        <v>923</v>
      </c>
      <c r="E81" s="18" t="s">
        <v>1182</v>
      </c>
      <c r="F81" s="18" t="s">
        <v>853</v>
      </c>
      <c r="G81" s="18" t="s">
        <v>1181</v>
      </c>
      <c r="H81" s="18" t="s">
        <v>853</v>
      </c>
      <c r="I81" s="161"/>
      <c r="J81" s="18" t="s">
        <v>867</v>
      </c>
      <c r="K81" s="18" t="s">
        <v>1049</v>
      </c>
      <c r="L81" s="153"/>
      <c r="M81" s="153"/>
      <c r="N81" s="153"/>
      <c r="O81" s="153"/>
      <c r="P81" s="153"/>
      <c r="Q81" s="153"/>
      <c r="R81" s="154" t="e">
        <f t="shared" si="27"/>
        <v>#DIV/0!</v>
      </c>
      <c r="S81" s="154" t="e">
        <f t="shared" si="28"/>
        <v>#DIV/0!</v>
      </c>
    </row>
    <row r="82" spans="1:24" s="147" customFormat="1">
      <c r="A82" s="6">
        <v>46146</v>
      </c>
      <c r="B82" s="50" t="s">
        <v>36</v>
      </c>
      <c r="C82" s="142" t="s">
        <v>486</v>
      </c>
      <c r="D82" s="162">
        <v>0.85416666666666663</v>
      </c>
      <c r="E82" s="65"/>
      <c r="F82" s="100"/>
      <c r="G82" s="100"/>
      <c r="H82" s="100" t="s">
        <v>853</v>
      </c>
      <c r="I82" s="186" t="s">
        <v>209</v>
      </c>
      <c r="J82" s="100" t="s">
        <v>830</v>
      </c>
      <c r="K82" s="143" t="s">
        <v>848</v>
      </c>
      <c r="L82" s="155"/>
      <c r="M82" s="155"/>
      <c r="N82" s="155"/>
      <c r="O82" s="155"/>
      <c r="P82" s="155"/>
      <c r="Q82" s="155"/>
      <c r="R82" s="154" t="e">
        <f t="shared" si="27"/>
        <v>#DIV/0!</v>
      </c>
      <c r="S82" s="154" t="e">
        <f t="shared" si="28"/>
        <v>#DIV/0!</v>
      </c>
    </row>
    <row r="83" spans="1:24" s="147" customFormat="1">
      <c r="A83" s="6">
        <v>46146</v>
      </c>
      <c r="B83" s="50" t="s">
        <v>36</v>
      </c>
      <c r="C83" s="142" t="s">
        <v>486</v>
      </c>
      <c r="D83" s="162">
        <v>0.83333333333333337</v>
      </c>
      <c r="E83" s="65"/>
      <c r="F83" s="100"/>
      <c r="G83" s="100"/>
      <c r="H83" s="100" t="s">
        <v>853</v>
      </c>
      <c r="I83" s="186" t="s">
        <v>209</v>
      </c>
      <c r="J83" s="100" t="s">
        <v>830</v>
      </c>
      <c r="K83" s="143" t="s">
        <v>149</v>
      </c>
      <c r="L83" s="155"/>
      <c r="M83" s="155"/>
      <c r="N83" s="155"/>
      <c r="O83" s="155"/>
      <c r="P83" s="155"/>
      <c r="Q83" s="155"/>
      <c r="R83" s="154" t="e">
        <f t="shared" si="27"/>
        <v>#DIV/0!</v>
      </c>
      <c r="S83" s="154" t="e">
        <f t="shared" si="28"/>
        <v>#DIV/0!</v>
      </c>
      <c r="V83" s="153"/>
      <c r="W83" s="153"/>
      <c r="X83" s="153"/>
    </row>
    <row r="84" spans="1:24" ht="16.8">
      <c r="A84" s="6">
        <v>46146</v>
      </c>
      <c r="B84" s="50" t="s">
        <v>36</v>
      </c>
      <c r="C84" s="142" t="s">
        <v>487</v>
      </c>
      <c r="D84" s="162">
        <v>0.86458333333333337</v>
      </c>
      <c r="E84" s="65"/>
      <c r="F84" s="7"/>
      <c r="G84" s="100"/>
      <c r="H84" s="100" t="s">
        <v>853</v>
      </c>
      <c r="I84" s="186" t="s">
        <v>1491</v>
      </c>
      <c r="J84" s="100" t="s">
        <v>830</v>
      </c>
      <c r="K84" s="52" t="s">
        <v>210</v>
      </c>
      <c r="L84" s="7"/>
      <c r="M84" s="7"/>
      <c r="N84" s="7"/>
      <c r="O84" s="7"/>
      <c r="P84" s="7"/>
      <c r="Q84" s="7"/>
      <c r="R84" s="154" t="e">
        <f t="shared" si="27"/>
        <v>#DIV/0!</v>
      </c>
      <c r="S84" s="154" t="e">
        <f t="shared" si="28"/>
        <v>#DIV/0!</v>
      </c>
      <c r="V84" s="153"/>
      <c r="W84" s="153"/>
      <c r="X84" s="153"/>
    </row>
    <row r="85" spans="1:24">
      <c r="A85" s="6">
        <v>46146</v>
      </c>
      <c r="B85" s="50" t="s">
        <v>36</v>
      </c>
      <c r="C85" s="142" t="s">
        <v>487</v>
      </c>
      <c r="D85" s="162">
        <v>0.85416666666666663</v>
      </c>
      <c r="E85" s="65"/>
      <c r="F85" s="7"/>
      <c r="G85" s="100"/>
      <c r="H85" s="100" t="s">
        <v>853</v>
      </c>
      <c r="I85" s="186" t="s">
        <v>1491</v>
      </c>
      <c r="J85" s="100" t="s">
        <v>830</v>
      </c>
      <c r="K85" s="7" t="s">
        <v>121</v>
      </c>
      <c r="L85" s="7"/>
      <c r="M85" s="7"/>
      <c r="N85" s="7"/>
      <c r="O85" s="7"/>
      <c r="P85" s="7"/>
      <c r="Q85" s="7"/>
      <c r="R85" s="154" t="e">
        <f t="shared" si="27"/>
        <v>#DIV/0!</v>
      </c>
      <c r="S85" s="154" t="e">
        <f t="shared" si="28"/>
        <v>#DIV/0!</v>
      </c>
      <c r="V85" s="7"/>
      <c r="W85" s="7"/>
      <c r="X85" s="7"/>
    </row>
    <row r="86" spans="1:24" ht="7.8" customHeight="1">
      <c r="A86" s="8"/>
      <c r="B86" s="9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58"/>
      <c r="V86" s="7"/>
      <c r="W86" s="7"/>
      <c r="X86" s="7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AC997-500C-46A3-9ADF-486CB2875D0B}">
  <dimension ref="A1:X86"/>
  <sheetViews>
    <sheetView topLeftCell="A63" workbookViewId="0">
      <selection activeCell="L71" sqref="L71:P85"/>
    </sheetView>
  </sheetViews>
  <sheetFormatPr defaultRowHeight="14.4"/>
  <cols>
    <col min="1" max="1" width="10.33203125" bestFit="1" customWidth="1"/>
    <col min="2" max="2" width="4.21875" bestFit="1" customWidth="1"/>
    <col min="3" max="3" width="7.5546875" bestFit="1" customWidth="1"/>
    <col min="4" max="4" width="7.5546875" customWidth="1"/>
    <col min="5" max="5" width="43.44140625" bestFit="1" customWidth="1"/>
    <col min="6" max="6" width="12.5546875" bestFit="1" customWidth="1"/>
    <col min="7" max="7" width="67.5546875" bestFit="1" customWidth="1"/>
    <col min="8" max="8" width="14.88671875" bestFit="1" customWidth="1"/>
    <col min="9" max="9" width="12.21875" bestFit="1" customWidth="1"/>
    <col min="10" max="10" width="10.6640625" bestFit="1" customWidth="1"/>
    <col min="11" max="11" width="27" bestFit="1" customWidth="1"/>
    <col min="12" max="12" width="6" bestFit="1" customWidth="1"/>
    <col min="13" max="13" width="5.5546875" bestFit="1" customWidth="1"/>
    <col min="14" max="14" width="5" bestFit="1" customWidth="1"/>
    <col min="15" max="15" width="6.44140625" bestFit="1" customWidth="1"/>
    <col min="16" max="16" width="8.44140625" bestFit="1" customWidth="1"/>
    <col min="17" max="17" width="5.6640625" bestFit="1" customWidth="1"/>
    <col min="18" max="19" width="7.33203125" bestFit="1" customWidth="1"/>
  </cols>
  <sheetData>
    <row r="1" spans="1:19">
      <c r="A1" s="148" t="s">
        <v>0</v>
      </c>
      <c r="B1" s="149" t="s">
        <v>1</v>
      </c>
      <c r="C1" s="150" t="s">
        <v>11</v>
      </c>
      <c r="D1" s="150" t="s">
        <v>2</v>
      </c>
      <c r="E1" s="148" t="s">
        <v>831</v>
      </c>
      <c r="F1" s="148" t="s">
        <v>832</v>
      </c>
      <c r="G1" s="148" t="s">
        <v>6</v>
      </c>
      <c r="H1" s="148" t="s">
        <v>833</v>
      </c>
      <c r="I1" s="150" t="s">
        <v>834</v>
      </c>
      <c r="J1" s="151" t="s">
        <v>835</v>
      </c>
      <c r="K1" s="148" t="s">
        <v>836</v>
      </c>
      <c r="L1" s="144" t="s">
        <v>837</v>
      </c>
      <c r="M1" s="144" t="s">
        <v>15</v>
      </c>
      <c r="N1" s="144" t="s">
        <v>838</v>
      </c>
      <c r="O1" s="144" t="s">
        <v>17</v>
      </c>
      <c r="P1" s="144" t="s">
        <v>839</v>
      </c>
      <c r="Q1" s="144" t="s">
        <v>840</v>
      </c>
      <c r="R1" s="144" t="s">
        <v>19</v>
      </c>
      <c r="S1" s="144" t="s">
        <v>20</v>
      </c>
    </row>
    <row r="2" spans="1:19">
      <c r="A2" s="6">
        <v>46140</v>
      </c>
      <c r="B2" s="50" t="s">
        <v>78</v>
      </c>
      <c r="C2" s="142" t="s">
        <v>486</v>
      </c>
      <c r="D2" s="142"/>
      <c r="E2" s="152" t="s">
        <v>857</v>
      </c>
      <c r="F2" s="100" t="s">
        <v>858</v>
      </c>
      <c r="G2" s="100"/>
      <c r="H2" s="100" t="s">
        <v>859</v>
      </c>
      <c r="I2" s="142">
        <v>4800</v>
      </c>
      <c r="J2" s="100" t="s">
        <v>830</v>
      </c>
      <c r="K2" s="143" t="s">
        <v>686</v>
      </c>
      <c r="L2" s="153">
        <v>4494</v>
      </c>
      <c r="M2" s="153">
        <v>4347</v>
      </c>
      <c r="N2" s="153">
        <v>2889</v>
      </c>
      <c r="O2" s="153">
        <v>0</v>
      </c>
      <c r="P2" s="153">
        <v>7</v>
      </c>
      <c r="Q2" s="153"/>
      <c r="R2" s="154">
        <f t="shared" ref="R2:S4" si="0">M2/L2</f>
        <v>0.96728971962616828</v>
      </c>
      <c r="S2" s="154">
        <f t="shared" si="0"/>
        <v>0.6645962732919255</v>
      </c>
    </row>
    <row r="3" spans="1:19" s="147" customFormat="1">
      <c r="A3" s="145">
        <v>46140</v>
      </c>
      <c r="B3" s="146" t="s">
        <v>78</v>
      </c>
      <c r="C3" s="142" t="s">
        <v>486</v>
      </c>
      <c r="D3" s="142"/>
      <c r="E3" s="65" t="s">
        <v>860</v>
      </c>
      <c r="F3" s="100"/>
      <c r="G3" s="100" t="s">
        <v>861</v>
      </c>
      <c r="H3" s="100" t="s">
        <v>859</v>
      </c>
      <c r="I3" s="142">
        <v>2000</v>
      </c>
      <c r="J3" s="100" t="s">
        <v>830</v>
      </c>
      <c r="K3" s="143" t="s">
        <v>862</v>
      </c>
      <c r="L3" s="155"/>
      <c r="M3" s="155"/>
      <c r="N3" s="155"/>
      <c r="O3" s="155"/>
      <c r="P3" s="155"/>
      <c r="Q3" s="155"/>
      <c r="R3" s="154" t="e">
        <f t="shared" si="0"/>
        <v>#DIV/0!</v>
      </c>
      <c r="S3" s="154" t="e">
        <f t="shared" si="0"/>
        <v>#DIV/0!</v>
      </c>
    </row>
    <row r="4" spans="1:19" s="147" customFormat="1">
      <c r="A4" s="145">
        <v>46140</v>
      </c>
      <c r="B4" s="146" t="s">
        <v>78</v>
      </c>
      <c r="C4" s="142" t="s">
        <v>486</v>
      </c>
      <c r="D4" s="142"/>
      <c r="E4" s="65" t="s">
        <v>863</v>
      </c>
      <c r="F4" s="100"/>
      <c r="G4" s="100" t="s">
        <v>864</v>
      </c>
      <c r="H4" s="100" t="s">
        <v>859</v>
      </c>
      <c r="I4" s="142"/>
      <c r="J4" s="100" t="s">
        <v>830</v>
      </c>
      <c r="K4" s="143" t="s">
        <v>862</v>
      </c>
      <c r="L4" s="155">
        <v>1280</v>
      </c>
      <c r="M4" s="155">
        <v>674</v>
      </c>
      <c r="N4" s="155">
        <v>381</v>
      </c>
      <c r="O4" s="155">
        <v>3</v>
      </c>
      <c r="P4" s="155">
        <v>0</v>
      </c>
      <c r="Q4" s="155"/>
      <c r="R4" s="154">
        <f t="shared" si="0"/>
        <v>0.52656250000000004</v>
      </c>
      <c r="S4" s="154">
        <f t="shared" si="0"/>
        <v>0.56528189910979232</v>
      </c>
    </row>
    <row r="5" spans="1:19" ht="7.8" customHeight="1">
      <c r="A5" s="8"/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58"/>
    </row>
    <row r="6" spans="1:19">
      <c r="A6" s="6">
        <v>46141</v>
      </c>
      <c r="B6" s="50" t="s">
        <v>124</v>
      </c>
      <c r="C6" s="142" t="s">
        <v>486</v>
      </c>
      <c r="D6" s="142"/>
      <c r="E6" s="100" t="s">
        <v>931</v>
      </c>
      <c r="F6" s="100" t="s">
        <v>858</v>
      </c>
      <c r="G6" s="100" t="s">
        <v>861</v>
      </c>
      <c r="H6" s="100" t="s">
        <v>859</v>
      </c>
      <c r="I6" s="142">
        <v>4500</v>
      </c>
      <c r="J6" s="100" t="s">
        <v>830</v>
      </c>
      <c r="K6" s="143" t="s">
        <v>686</v>
      </c>
      <c r="L6" s="153">
        <v>4496</v>
      </c>
      <c r="M6" s="153">
        <v>4210</v>
      </c>
      <c r="N6" s="153">
        <v>2863</v>
      </c>
      <c r="O6" s="153">
        <v>0</v>
      </c>
      <c r="P6" s="153">
        <v>4</v>
      </c>
      <c r="Q6" s="153"/>
      <c r="R6" s="154">
        <f t="shared" ref="R6:R11" si="1">M6/L6</f>
        <v>0.93638790035587194</v>
      </c>
      <c r="S6" s="154">
        <f t="shared" ref="S6:S11" si="2">N6/M6</f>
        <v>0.68004750593824226</v>
      </c>
    </row>
    <row r="7" spans="1:19">
      <c r="A7" s="6">
        <v>46141</v>
      </c>
      <c r="B7" s="50" t="s">
        <v>124</v>
      </c>
      <c r="C7" s="142" t="s">
        <v>487</v>
      </c>
      <c r="D7" s="142"/>
      <c r="E7" s="100" t="s">
        <v>932</v>
      </c>
      <c r="F7" s="100" t="s">
        <v>858</v>
      </c>
      <c r="G7" s="100" t="s">
        <v>861</v>
      </c>
      <c r="H7" s="100" t="s">
        <v>859</v>
      </c>
      <c r="I7" s="142"/>
      <c r="J7" s="100" t="s">
        <v>830</v>
      </c>
      <c r="K7" s="143" t="s">
        <v>920</v>
      </c>
      <c r="L7" s="153">
        <v>500</v>
      </c>
      <c r="M7" s="153">
        <v>357</v>
      </c>
      <c r="N7" s="153">
        <v>227</v>
      </c>
      <c r="O7" s="153">
        <v>0</v>
      </c>
      <c r="P7" s="153">
        <v>0</v>
      </c>
      <c r="Q7" s="153"/>
      <c r="R7" s="154">
        <f t="shared" ref="R7" si="3">M7/L7</f>
        <v>0.71399999999999997</v>
      </c>
      <c r="S7" s="154">
        <f t="shared" ref="S7" si="4">N7/M7</f>
        <v>0.63585434173669464</v>
      </c>
    </row>
    <row r="8" spans="1:19">
      <c r="A8" s="6">
        <v>46141</v>
      </c>
      <c r="B8" s="50" t="s">
        <v>124</v>
      </c>
      <c r="C8" s="142" t="s">
        <v>486</v>
      </c>
      <c r="D8" s="142" t="s">
        <v>923</v>
      </c>
      <c r="E8" s="160" t="s">
        <v>921</v>
      </c>
      <c r="F8" s="18" t="s">
        <v>858</v>
      </c>
      <c r="G8" s="18" t="s">
        <v>924</v>
      </c>
      <c r="H8" s="18" t="s">
        <v>859</v>
      </c>
      <c r="I8" s="161" t="s">
        <v>228</v>
      </c>
      <c r="J8" s="18" t="s">
        <v>867</v>
      </c>
      <c r="K8" s="157" t="s">
        <v>106</v>
      </c>
      <c r="L8" s="153">
        <v>259</v>
      </c>
      <c r="M8" s="153">
        <v>43</v>
      </c>
      <c r="N8" s="153">
        <v>8</v>
      </c>
      <c r="O8" s="153">
        <v>4</v>
      </c>
      <c r="P8" s="153">
        <v>0</v>
      </c>
      <c r="Q8" s="153"/>
      <c r="R8" s="154">
        <f t="shared" ref="R8:R10" si="5">M8/L8</f>
        <v>0.16602316602316602</v>
      </c>
      <c r="S8" s="154">
        <f t="shared" ref="S8:S10" si="6">N8/M8</f>
        <v>0.18604651162790697</v>
      </c>
    </row>
    <row r="9" spans="1:19">
      <c r="A9" s="6">
        <v>46141</v>
      </c>
      <c r="B9" s="50" t="s">
        <v>124</v>
      </c>
      <c r="C9" s="142" t="s">
        <v>487</v>
      </c>
      <c r="D9" s="142" t="s">
        <v>923</v>
      </c>
      <c r="E9" s="160" t="s">
        <v>922</v>
      </c>
      <c r="F9" s="18" t="s">
        <v>858</v>
      </c>
      <c r="G9" s="18" t="s">
        <v>924</v>
      </c>
      <c r="H9" s="18" t="s">
        <v>859</v>
      </c>
      <c r="I9" s="161" t="s">
        <v>228</v>
      </c>
      <c r="J9" s="18" t="s">
        <v>867</v>
      </c>
      <c r="K9" s="18" t="s">
        <v>186</v>
      </c>
      <c r="L9" s="153">
        <v>791</v>
      </c>
      <c r="M9" s="153">
        <v>7</v>
      </c>
      <c r="N9" s="153">
        <v>2</v>
      </c>
      <c r="O9" s="153">
        <v>0</v>
      </c>
      <c r="P9" s="153">
        <v>1</v>
      </c>
      <c r="Q9" s="153"/>
      <c r="R9" s="154">
        <f t="shared" si="5"/>
        <v>8.8495575221238937E-3</v>
      </c>
      <c r="S9" s="154">
        <f t="shared" si="6"/>
        <v>0.2857142857142857</v>
      </c>
    </row>
    <row r="10" spans="1:19" s="147" customFormat="1" ht="16.8">
      <c r="A10" s="6">
        <v>46141</v>
      </c>
      <c r="B10" s="50" t="s">
        <v>124</v>
      </c>
      <c r="C10" s="142" t="s">
        <v>486</v>
      </c>
      <c r="D10" s="162">
        <v>0.89583333333333337</v>
      </c>
      <c r="E10" s="65" t="s">
        <v>925</v>
      </c>
      <c r="F10" s="100" t="s">
        <v>858</v>
      </c>
      <c r="G10" s="100" t="s">
        <v>926</v>
      </c>
      <c r="H10" s="100" t="s">
        <v>859</v>
      </c>
      <c r="I10" s="163" t="s">
        <v>228</v>
      </c>
      <c r="J10" s="100" t="s">
        <v>830</v>
      </c>
      <c r="K10" s="52" t="s">
        <v>157</v>
      </c>
      <c r="L10" s="155">
        <v>785</v>
      </c>
      <c r="M10" s="155">
        <v>161</v>
      </c>
      <c r="N10" s="155">
        <v>26</v>
      </c>
      <c r="O10" s="155">
        <v>6</v>
      </c>
      <c r="P10" s="155">
        <v>0</v>
      </c>
      <c r="Q10" s="155"/>
      <c r="R10" s="154">
        <f t="shared" si="5"/>
        <v>0.2050955414012739</v>
      </c>
      <c r="S10" s="154">
        <f t="shared" si="6"/>
        <v>0.16149068322981366</v>
      </c>
    </row>
    <row r="11" spans="1:19" s="147" customFormat="1">
      <c r="A11" s="6">
        <v>46141</v>
      </c>
      <c r="B11" s="50" t="s">
        <v>124</v>
      </c>
      <c r="C11" s="142" t="s">
        <v>486</v>
      </c>
      <c r="D11" s="162">
        <v>0.875</v>
      </c>
      <c r="E11" s="65" t="s">
        <v>927</v>
      </c>
      <c r="F11" s="100" t="s">
        <v>858</v>
      </c>
      <c r="G11" s="100" t="s">
        <v>928</v>
      </c>
      <c r="H11" s="100" t="s">
        <v>859</v>
      </c>
      <c r="I11" s="163" t="s">
        <v>228</v>
      </c>
      <c r="J11" s="100" t="s">
        <v>830</v>
      </c>
      <c r="K11" s="143" t="s">
        <v>149</v>
      </c>
      <c r="L11" s="155">
        <v>446</v>
      </c>
      <c r="M11" s="155">
        <v>92</v>
      </c>
      <c r="N11" s="155">
        <v>15</v>
      </c>
      <c r="O11" s="155">
        <v>6</v>
      </c>
      <c r="P11" s="155">
        <v>0</v>
      </c>
      <c r="Q11" s="155"/>
      <c r="R11" s="154">
        <f t="shared" si="1"/>
        <v>0.20627802690582961</v>
      </c>
      <c r="S11" s="154">
        <f t="shared" si="2"/>
        <v>0.16304347826086957</v>
      </c>
    </row>
    <row r="12" spans="1:19" ht="16.8">
      <c r="A12" s="6">
        <v>46141</v>
      </c>
      <c r="B12" s="50" t="s">
        <v>124</v>
      </c>
      <c r="C12" s="142" t="s">
        <v>487</v>
      </c>
      <c r="D12" s="162">
        <v>0.90625</v>
      </c>
      <c r="E12" s="100" t="s">
        <v>929</v>
      </c>
      <c r="F12" s="100" t="s">
        <v>858</v>
      </c>
      <c r="G12" s="100" t="s">
        <v>926</v>
      </c>
      <c r="H12" s="100" t="s">
        <v>859</v>
      </c>
      <c r="I12" s="142" t="s">
        <v>228</v>
      </c>
      <c r="J12" s="100" t="s">
        <v>830</v>
      </c>
      <c r="K12" s="52" t="s">
        <v>210</v>
      </c>
      <c r="L12" s="7">
        <v>1024</v>
      </c>
      <c r="M12" s="7">
        <v>38</v>
      </c>
      <c r="N12" s="7">
        <v>14</v>
      </c>
      <c r="O12" s="7">
        <v>0</v>
      </c>
      <c r="P12" s="7">
        <v>0</v>
      </c>
      <c r="Q12" s="7"/>
      <c r="R12" s="154">
        <f t="shared" ref="R12:R13" si="7">M12/L12</f>
        <v>3.7109375E-2</v>
      </c>
      <c r="S12" s="154">
        <f t="shared" ref="S12:S13" si="8">N12/M12</f>
        <v>0.36842105263157893</v>
      </c>
    </row>
    <row r="13" spans="1:19">
      <c r="A13" s="6">
        <v>46141</v>
      </c>
      <c r="B13" s="50" t="s">
        <v>124</v>
      </c>
      <c r="C13" s="142" t="s">
        <v>487</v>
      </c>
      <c r="D13" s="162">
        <v>0.89583333333333337</v>
      </c>
      <c r="E13" s="100" t="s">
        <v>930</v>
      </c>
      <c r="F13" s="100" t="s">
        <v>858</v>
      </c>
      <c r="G13" s="100" t="s">
        <v>928</v>
      </c>
      <c r="H13" s="100" t="s">
        <v>859</v>
      </c>
      <c r="I13" s="142" t="s">
        <v>228</v>
      </c>
      <c r="J13" s="100" t="s">
        <v>830</v>
      </c>
      <c r="K13" s="7" t="s">
        <v>121</v>
      </c>
      <c r="L13" s="7">
        <v>415</v>
      </c>
      <c r="M13" s="7">
        <v>10</v>
      </c>
      <c r="N13" s="7">
        <v>4</v>
      </c>
      <c r="O13" s="7">
        <v>1</v>
      </c>
      <c r="P13" s="7">
        <v>0</v>
      </c>
      <c r="Q13" s="7"/>
      <c r="R13" s="154">
        <f t="shared" si="7"/>
        <v>2.4096385542168676E-2</v>
      </c>
      <c r="S13" s="154">
        <f t="shared" si="8"/>
        <v>0.4</v>
      </c>
    </row>
    <row r="14" spans="1:19" ht="7.8" customHeight="1">
      <c r="A14" s="8"/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58"/>
    </row>
    <row r="15" spans="1:19">
      <c r="A15" s="6">
        <v>46142</v>
      </c>
      <c r="B15" s="50" t="s">
        <v>166</v>
      </c>
      <c r="C15" s="142" t="s">
        <v>486</v>
      </c>
      <c r="D15" s="142"/>
      <c r="E15" s="100" t="s">
        <v>1016</v>
      </c>
      <c r="F15" s="100" t="s">
        <v>858</v>
      </c>
      <c r="G15" s="100" t="s">
        <v>861</v>
      </c>
      <c r="H15" s="100" t="s">
        <v>859</v>
      </c>
      <c r="I15" s="142">
        <v>3000</v>
      </c>
      <c r="J15" s="100" t="s">
        <v>830</v>
      </c>
      <c r="K15" s="143" t="s">
        <v>686</v>
      </c>
      <c r="L15" s="153">
        <v>2997</v>
      </c>
      <c r="M15" s="153">
        <v>2376</v>
      </c>
      <c r="N15" s="153">
        <v>1618</v>
      </c>
      <c r="O15" s="153">
        <v>0</v>
      </c>
      <c r="P15" s="153">
        <v>3</v>
      </c>
      <c r="Q15" s="153"/>
      <c r="R15" s="154">
        <f t="shared" ref="R15:R24" si="9">M15/L15</f>
        <v>0.7927927927927928</v>
      </c>
      <c r="S15" s="154">
        <f t="shared" ref="S15:S24" si="10">N15/M15</f>
        <v>0.68097643097643101</v>
      </c>
    </row>
    <row r="16" spans="1:19">
      <c r="A16" s="6">
        <v>46142</v>
      </c>
      <c r="B16" s="50" t="s">
        <v>166</v>
      </c>
      <c r="C16" s="142" t="s">
        <v>486</v>
      </c>
      <c r="D16" s="142"/>
      <c r="E16" s="100" t="s">
        <v>1017</v>
      </c>
      <c r="F16" s="100" t="s">
        <v>858</v>
      </c>
      <c r="G16" s="100" t="s">
        <v>861</v>
      </c>
      <c r="H16" s="100" t="s">
        <v>859</v>
      </c>
      <c r="I16" s="142">
        <v>3000</v>
      </c>
      <c r="J16" s="100" t="s">
        <v>830</v>
      </c>
      <c r="K16" s="143" t="s">
        <v>686</v>
      </c>
      <c r="L16" s="153">
        <v>2997</v>
      </c>
      <c r="M16" s="153">
        <v>2388</v>
      </c>
      <c r="N16" s="153">
        <v>1581</v>
      </c>
      <c r="O16" s="153">
        <v>0</v>
      </c>
      <c r="P16" s="153">
        <v>3</v>
      </c>
      <c r="Q16" s="153"/>
      <c r="R16" s="154">
        <f t="shared" ref="R16" si="11">M16/L16</f>
        <v>0.79679679679679682</v>
      </c>
      <c r="S16" s="154">
        <f t="shared" ref="S16" si="12">N16/M16</f>
        <v>0.6620603015075377</v>
      </c>
    </row>
    <row r="17" spans="1:24">
      <c r="A17" s="6">
        <v>46142</v>
      </c>
      <c r="B17" s="50" t="s">
        <v>166</v>
      </c>
      <c r="C17" s="142" t="s">
        <v>487</v>
      </c>
      <c r="D17" s="142"/>
      <c r="E17" s="100" t="s">
        <v>1018</v>
      </c>
      <c r="F17" s="100" t="s">
        <v>858</v>
      </c>
      <c r="G17" s="100" t="s">
        <v>861</v>
      </c>
      <c r="H17" s="100" t="s">
        <v>859</v>
      </c>
      <c r="I17" s="142">
        <v>500</v>
      </c>
      <c r="J17" s="100" t="s">
        <v>830</v>
      </c>
      <c r="K17" s="143" t="s">
        <v>920</v>
      </c>
      <c r="L17" s="153">
        <v>500</v>
      </c>
      <c r="M17" s="153">
        <v>440</v>
      </c>
      <c r="N17" s="153">
        <v>303</v>
      </c>
      <c r="O17" s="153">
        <v>0</v>
      </c>
      <c r="P17" s="153">
        <v>0</v>
      </c>
      <c r="Q17" s="153"/>
      <c r="R17" s="154">
        <f t="shared" si="9"/>
        <v>0.88</v>
      </c>
      <c r="S17" s="154">
        <f t="shared" si="10"/>
        <v>0.6886363636363636</v>
      </c>
    </row>
    <row r="18" spans="1:24">
      <c r="A18" s="6">
        <v>46142</v>
      </c>
      <c r="B18" s="50" t="s">
        <v>166</v>
      </c>
      <c r="C18" s="142" t="s">
        <v>487</v>
      </c>
      <c r="D18" s="142"/>
      <c r="E18" s="100" t="s">
        <v>1019</v>
      </c>
      <c r="F18" s="100" t="s">
        <v>858</v>
      </c>
      <c r="G18" s="100" t="s">
        <v>861</v>
      </c>
      <c r="H18" s="100" t="s">
        <v>859</v>
      </c>
      <c r="I18" s="142">
        <v>500</v>
      </c>
      <c r="J18" s="100" t="s">
        <v>830</v>
      </c>
      <c r="K18" s="143" t="s">
        <v>920</v>
      </c>
      <c r="L18" s="153">
        <v>500</v>
      </c>
      <c r="M18" s="153">
        <v>438</v>
      </c>
      <c r="N18" s="153">
        <v>284</v>
      </c>
      <c r="O18" s="153">
        <v>0</v>
      </c>
      <c r="P18" s="153">
        <v>0</v>
      </c>
      <c r="Q18" s="153"/>
      <c r="R18" s="154">
        <f t="shared" ref="R18" si="13">M18/L18</f>
        <v>0.876</v>
      </c>
      <c r="S18" s="154">
        <f t="shared" ref="S18" si="14">N18/M18</f>
        <v>0.64840182648401823</v>
      </c>
    </row>
    <row r="19" spans="1:24">
      <c r="A19" s="6">
        <v>46142</v>
      </c>
      <c r="B19" s="50" t="s">
        <v>166</v>
      </c>
      <c r="C19" s="142" t="s">
        <v>486</v>
      </c>
      <c r="D19" s="142" t="s">
        <v>923</v>
      </c>
      <c r="E19" s="160" t="s">
        <v>921</v>
      </c>
      <c r="F19" s="18" t="s">
        <v>858</v>
      </c>
      <c r="G19" s="18" t="s">
        <v>924</v>
      </c>
      <c r="H19" s="18" t="s">
        <v>859</v>
      </c>
      <c r="I19" s="161"/>
      <c r="J19" s="18" t="s">
        <v>867</v>
      </c>
      <c r="K19" s="157" t="s">
        <v>106</v>
      </c>
      <c r="L19" s="153">
        <v>488</v>
      </c>
      <c r="M19" s="153">
        <v>55</v>
      </c>
      <c r="N19" s="153">
        <v>16</v>
      </c>
      <c r="O19" s="153">
        <v>2</v>
      </c>
      <c r="P19" s="153">
        <v>1</v>
      </c>
      <c r="Q19" s="153"/>
      <c r="R19" s="154">
        <f t="shared" si="9"/>
        <v>0.11270491803278689</v>
      </c>
      <c r="S19" s="154">
        <f t="shared" si="10"/>
        <v>0.29090909090909089</v>
      </c>
    </row>
    <row r="20" spans="1:24">
      <c r="A20" s="6">
        <v>46142</v>
      </c>
      <c r="B20" s="50" t="s">
        <v>166</v>
      </c>
      <c r="C20" s="142" t="s">
        <v>487</v>
      </c>
      <c r="D20" s="142" t="s">
        <v>923</v>
      </c>
      <c r="E20" s="160" t="s">
        <v>922</v>
      </c>
      <c r="F20" s="18" t="s">
        <v>858</v>
      </c>
      <c r="G20" s="18" t="s">
        <v>924</v>
      </c>
      <c r="H20" s="18" t="s">
        <v>859</v>
      </c>
      <c r="I20" s="161"/>
      <c r="J20" s="18" t="s">
        <v>867</v>
      </c>
      <c r="K20" s="18" t="s">
        <v>186</v>
      </c>
      <c r="L20" s="153">
        <v>1036</v>
      </c>
      <c r="M20" s="153">
        <v>4</v>
      </c>
      <c r="N20" s="153">
        <v>0</v>
      </c>
      <c r="O20" s="153">
        <v>0</v>
      </c>
      <c r="P20" s="153">
        <v>1</v>
      </c>
      <c r="Q20" s="153"/>
      <c r="R20" s="154">
        <f t="shared" si="9"/>
        <v>3.8610038610038611E-3</v>
      </c>
      <c r="S20" s="154">
        <f t="shared" si="10"/>
        <v>0</v>
      </c>
    </row>
    <row r="21" spans="1:24" s="147" customFormat="1" ht="16.8">
      <c r="A21" s="6">
        <v>46142</v>
      </c>
      <c r="B21" s="50" t="s">
        <v>166</v>
      </c>
      <c r="C21" s="142" t="s">
        <v>486</v>
      </c>
      <c r="D21" s="162">
        <v>0.89583333333333337</v>
      </c>
      <c r="E21" s="65" t="s">
        <v>1039</v>
      </c>
      <c r="F21" s="100" t="s">
        <v>858</v>
      </c>
      <c r="G21" s="100" t="s">
        <v>1040</v>
      </c>
      <c r="H21" s="100" t="s">
        <v>859</v>
      </c>
      <c r="I21" s="163" t="s">
        <v>228</v>
      </c>
      <c r="J21" s="100" t="s">
        <v>830</v>
      </c>
      <c r="K21" s="52" t="s">
        <v>157</v>
      </c>
      <c r="L21" s="155">
        <v>1036</v>
      </c>
      <c r="M21" s="155">
        <v>195</v>
      </c>
      <c r="N21" s="155">
        <v>40</v>
      </c>
      <c r="O21" s="155">
        <v>5</v>
      </c>
      <c r="P21" s="155">
        <v>1</v>
      </c>
      <c r="Q21" s="155"/>
      <c r="R21" s="154">
        <f t="shared" si="9"/>
        <v>0.18822393822393824</v>
      </c>
      <c r="S21" s="154">
        <f t="shared" si="10"/>
        <v>0.20512820512820512</v>
      </c>
    </row>
    <row r="22" spans="1:24" s="147" customFormat="1">
      <c r="A22" s="6">
        <v>46142</v>
      </c>
      <c r="B22" s="50" t="s">
        <v>166</v>
      </c>
      <c r="C22" s="142" t="s">
        <v>486</v>
      </c>
      <c r="D22" s="162">
        <v>0.875</v>
      </c>
      <c r="E22" s="65" t="s">
        <v>1041</v>
      </c>
      <c r="F22" s="100" t="s">
        <v>858</v>
      </c>
      <c r="G22" s="100" t="s">
        <v>1042</v>
      </c>
      <c r="H22" s="100" t="s">
        <v>859</v>
      </c>
      <c r="I22" s="163" t="s">
        <v>228</v>
      </c>
      <c r="J22" s="100" t="s">
        <v>830</v>
      </c>
      <c r="K22" s="143" t="s">
        <v>149</v>
      </c>
      <c r="L22" s="155">
        <v>559</v>
      </c>
      <c r="M22" s="155">
        <v>104</v>
      </c>
      <c r="N22" s="155">
        <v>20</v>
      </c>
      <c r="O22" s="155">
        <v>2</v>
      </c>
      <c r="P22" s="155">
        <v>1</v>
      </c>
      <c r="Q22" s="155"/>
      <c r="R22" s="154">
        <f t="shared" si="9"/>
        <v>0.18604651162790697</v>
      </c>
      <c r="S22" s="154">
        <f t="shared" si="10"/>
        <v>0.19230769230769232</v>
      </c>
    </row>
    <row r="23" spans="1:24" ht="16.8">
      <c r="A23" s="6">
        <v>46142</v>
      </c>
      <c r="B23" s="50" t="s">
        <v>166</v>
      </c>
      <c r="C23" s="142" t="s">
        <v>487</v>
      </c>
      <c r="D23" s="162">
        <v>0.90625</v>
      </c>
      <c r="E23" s="65" t="s">
        <v>1043</v>
      </c>
      <c r="F23" s="100" t="s">
        <v>858</v>
      </c>
      <c r="G23" s="100" t="s">
        <v>1040</v>
      </c>
      <c r="H23" s="100" t="s">
        <v>859</v>
      </c>
      <c r="I23" s="163" t="s">
        <v>228</v>
      </c>
      <c r="J23" s="100" t="s">
        <v>830</v>
      </c>
      <c r="K23" s="52" t="s">
        <v>210</v>
      </c>
      <c r="L23" s="7">
        <v>1106</v>
      </c>
      <c r="M23" s="7">
        <v>38</v>
      </c>
      <c r="N23" s="7">
        <v>17</v>
      </c>
      <c r="O23" s="7">
        <v>1</v>
      </c>
      <c r="P23" s="7">
        <v>0</v>
      </c>
      <c r="Q23" s="7"/>
      <c r="R23" s="154">
        <f t="shared" si="9"/>
        <v>3.4358047016274866E-2</v>
      </c>
      <c r="S23" s="154">
        <f t="shared" si="10"/>
        <v>0.44736842105263158</v>
      </c>
    </row>
    <row r="24" spans="1:24">
      <c r="A24" s="6">
        <v>46142</v>
      </c>
      <c r="B24" s="50" t="s">
        <v>166</v>
      </c>
      <c r="C24" s="142" t="s">
        <v>487</v>
      </c>
      <c r="D24" s="162">
        <v>0.89583333333333337</v>
      </c>
      <c r="E24" s="65" t="s">
        <v>1044</v>
      </c>
      <c r="F24" s="100" t="s">
        <v>858</v>
      </c>
      <c r="G24" s="100" t="s">
        <v>1042</v>
      </c>
      <c r="H24" s="100" t="s">
        <v>859</v>
      </c>
      <c r="I24" s="163" t="s">
        <v>228</v>
      </c>
      <c r="J24" s="100" t="s">
        <v>830</v>
      </c>
      <c r="K24" s="7" t="s">
        <v>121</v>
      </c>
      <c r="L24" s="7">
        <v>445</v>
      </c>
      <c r="M24" s="7">
        <v>18</v>
      </c>
      <c r="N24" s="7">
        <v>11</v>
      </c>
      <c r="O24" s="7">
        <v>0</v>
      </c>
      <c r="P24" s="7">
        <v>0</v>
      </c>
      <c r="Q24" s="7"/>
      <c r="R24" s="154">
        <f t="shared" si="9"/>
        <v>4.0449438202247189E-2</v>
      </c>
      <c r="S24" s="154">
        <f t="shared" si="10"/>
        <v>0.61111111111111116</v>
      </c>
    </row>
    <row r="25" spans="1:24" ht="7.8" customHeight="1">
      <c r="A25" s="8"/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58"/>
    </row>
    <row r="26" spans="1:24">
      <c r="A26" s="6">
        <v>46143</v>
      </c>
      <c r="B26" s="50" t="s">
        <v>206</v>
      </c>
      <c r="C26" s="142" t="s">
        <v>486</v>
      </c>
      <c r="D26" s="142"/>
      <c r="E26" s="65" t="s">
        <v>1168</v>
      </c>
      <c r="F26" s="100" t="s">
        <v>858</v>
      </c>
      <c r="G26" s="100" t="s">
        <v>861</v>
      </c>
      <c r="H26" s="100" t="s">
        <v>859</v>
      </c>
      <c r="I26" s="142">
        <v>3000</v>
      </c>
      <c r="J26" s="100" t="s">
        <v>830</v>
      </c>
      <c r="K26" s="143" t="s">
        <v>686</v>
      </c>
      <c r="L26" s="153">
        <v>2997</v>
      </c>
      <c r="M26" s="153">
        <v>2329</v>
      </c>
      <c r="N26" s="153">
        <v>1420</v>
      </c>
      <c r="O26" s="153">
        <v>0</v>
      </c>
      <c r="P26" s="153">
        <v>3</v>
      </c>
      <c r="Q26" s="153"/>
      <c r="R26" s="154">
        <f t="shared" ref="R26:R38" si="15">M26/L26</f>
        <v>0.77711044377711047</v>
      </c>
      <c r="S26" s="154">
        <f t="shared" ref="S26:S38" si="16">N26/M26</f>
        <v>0.60970373550880208</v>
      </c>
    </row>
    <row r="27" spans="1:24">
      <c r="A27" s="6">
        <v>46143</v>
      </c>
      <c r="B27" s="50" t="s">
        <v>206</v>
      </c>
      <c r="C27" s="142" t="s">
        <v>486</v>
      </c>
      <c r="D27" s="142"/>
      <c r="E27" s="65" t="s">
        <v>1169</v>
      </c>
      <c r="F27" s="100" t="s">
        <v>858</v>
      </c>
      <c r="G27" s="100" t="s">
        <v>861</v>
      </c>
      <c r="H27" s="100" t="s">
        <v>859</v>
      </c>
      <c r="I27" s="142">
        <v>3000</v>
      </c>
      <c r="J27" s="100" t="s">
        <v>830</v>
      </c>
      <c r="K27" s="143" t="s">
        <v>686</v>
      </c>
      <c r="L27" s="153">
        <v>2997</v>
      </c>
      <c r="M27" s="153">
        <v>2329</v>
      </c>
      <c r="N27" s="153">
        <v>1533</v>
      </c>
      <c r="O27" s="153">
        <v>0</v>
      </c>
      <c r="P27" s="153">
        <v>3</v>
      </c>
      <c r="Q27" s="153"/>
      <c r="R27" s="154">
        <f t="shared" si="15"/>
        <v>0.77711044377711047</v>
      </c>
      <c r="S27" s="154">
        <f t="shared" si="16"/>
        <v>0.65822241305281237</v>
      </c>
      <c r="V27" s="153">
        <v>2997</v>
      </c>
      <c r="W27" s="153">
        <v>2329</v>
      </c>
      <c r="X27" s="153">
        <v>1420</v>
      </c>
    </row>
    <row r="28" spans="1:24">
      <c r="A28" s="6">
        <v>46143</v>
      </c>
      <c r="B28" s="50" t="s">
        <v>206</v>
      </c>
      <c r="C28" s="142" t="s">
        <v>487</v>
      </c>
      <c r="D28" s="142"/>
      <c r="E28" s="65" t="s">
        <v>1170</v>
      </c>
      <c r="F28" s="100" t="s">
        <v>858</v>
      </c>
      <c r="G28" s="100" t="s">
        <v>861</v>
      </c>
      <c r="H28" s="100" t="s">
        <v>859</v>
      </c>
      <c r="I28" s="142">
        <v>500</v>
      </c>
      <c r="J28" s="100" t="s">
        <v>830</v>
      </c>
      <c r="K28" s="143" t="s">
        <v>920</v>
      </c>
      <c r="L28" s="153">
        <v>500</v>
      </c>
      <c r="M28" s="153">
        <v>443</v>
      </c>
      <c r="N28" s="153">
        <v>286</v>
      </c>
      <c r="O28" s="153">
        <v>0</v>
      </c>
      <c r="P28" s="153">
        <v>0</v>
      </c>
      <c r="Q28" s="153"/>
      <c r="R28" s="154">
        <f t="shared" si="15"/>
        <v>0.88600000000000001</v>
      </c>
      <c r="S28" s="154">
        <f t="shared" si="16"/>
        <v>0.64559819413092556</v>
      </c>
      <c r="V28" s="153">
        <v>2997</v>
      </c>
      <c r="W28" s="153">
        <v>2329</v>
      </c>
      <c r="X28" s="153">
        <v>1533</v>
      </c>
    </row>
    <row r="29" spans="1:24">
      <c r="A29" s="6">
        <v>46143</v>
      </c>
      <c r="B29" s="50" t="s">
        <v>206</v>
      </c>
      <c r="C29" s="142" t="s">
        <v>487</v>
      </c>
      <c r="D29" s="142"/>
      <c r="E29" s="65" t="s">
        <v>1171</v>
      </c>
      <c r="F29" s="100" t="s">
        <v>858</v>
      </c>
      <c r="G29" s="100" t="s">
        <v>861</v>
      </c>
      <c r="H29" s="100" t="s">
        <v>859</v>
      </c>
      <c r="I29" s="142">
        <v>500</v>
      </c>
      <c r="J29" s="100" t="s">
        <v>830</v>
      </c>
      <c r="K29" s="143" t="s">
        <v>920</v>
      </c>
      <c r="L29" s="153">
        <v>500</v>
      </c>
      <c r="M29" s="153">
        <v>446</v>
      </c>
      <c r="N29" s="153">
        <v>294</v>
      </c>
      <c r="O29" s="153">
        <v>0</v>
      </c>
      <c r="P29" s="153">
        <v>0</v>
      </c>
      <c r="Q29" s="153"/>
      <c r="R29" s="154">
        <f t="shared" si="15"/>
        <v>0.89200000000000002</v>
      </c>
      <c r="S29" s="154">
        <f t="shared" si="16"/>
        <v>0.65919282511210764</v>
      </c>
      <c r="V29">
        <f>SUM(V27:V28)</f>
        <v>5994</v>
      </c>
      <c r="W29">
        <f>SUM(W27:W28)</f>
        <v>4658</v>
      </c>
      <c r="X29">
        <f>SUM(X27:X28)</f>
        <v>2953</v>
      </c>
    </row>
    <row r="30" spans="1:24">
      <c r="A30" s="6">
        <v>46143</v>
      </c>
      <c r="B30" s="50" t="s">
        <v>206</v>
      </c>
      <c r="C30" s="142" t="s">
        <v>487</v>
      </c>
      <c r="D30" s="142"/>
      <c r="E30" s="65" t="s">
        <v>1172</v>
      </c>
      <c r="F30" s="100" t="s">
        <v>858</v>
      </c>
      <c r="G30" s="100" t="s">
        <v>861</v>
      </c>
      <c r="H30" s="100" t="s">
        <v>859</v>
      </c>
      <c r="I30" s="142">
        <v>500</v>
      </c>
      <c r="J30" s="100" t="s">
        <v>830</v>
      </c>
      <c r="K30" s="143" t="s">
        <v>920</v>
      </c>
      <c r="L30" s="153">
        <v>500</v>
      </c>
      <c r="M30" s="153">
        <v>445</v>
      </c>
      <c r="N30" s="153">
        <v>293</v>
      </c>
      <c r="O30" s="153">
        <v>0</v>
      </c>
      <c r="P30" s="153">
        <v>0</v>
      </c>
      <c r="Q30" s="153"/>
      <c r="R30" s="154">
        <f t="shared" ref="R30" si="17">M30/L30</f>
        <v>0.89</v>
      </c>
      <c r="S30" s="154">
        <f t="shared" ref="S30" si="18">N30/M30</f>
        <v>0.65842696629213482</v>
      </c>
    </row>
    <row r="31" spans="1:24">
      <c r="A31" s="6">
        <v>46143</v>
      </c>
      <c r="B31" s="50" t="s">
        <v>206</v>
      </c>
      <c r="C31" s="142" t="s">
        <v>486</v>
      </c>
      <c r="D31" s="142" t="s">
        <v>923</v>
      </c>
      <c r="E31" s="160" t="s">
        <v>921</v>
      </c>
      <c r="F31" s="18" t="s">
        <v>858</v>
      </c>
      <c r="G31" s="18" t="s">
        <v>924</v>
      </c>
      <c r="H31" s="18" t="s">
        <v>859</v>
      </c>
      <c r="I31" s="161"/>
      <c r="J31" s="18" t="s">
        <v>867</v>
      </c>
      <c r="K31" s="157" t="s">
        <v>106</v>
      </c>
      <c r="L31" s="153">
        <v>490</v>
      </c>
      <c r="M31" s="153">
        <v>27</v>
      </c>
      <c r="N31" s="153">
        <v>11</v>
      </c>
      <c r="O31" s="153">
        <v>2</v>
      </c>
      <c r="P31" s="153">
        <v>0</v>
      </c>
      <c r="Q31" s="153"/>
      <c r="R31" s="154">
        <f t="shared" si="15"/>
        <v>5.5102040816326532E-2</v>
      </c>
      <c r="S31" s="154">
        <f t="shared" si="16"/>
        <v>0.40740740740740738</v>
      </c>
    </row>
    <row r="32" spans="1:24">
      <c r="A32" s="6">
        <v>46143</v>
      </c>
      <c r="B32" s="50" t="s">
        <v>206</v>
      </c>
      <c r="C32" s="142" t="s">
        <v>487</v>
      </c>
      <c r="D32" s="142" t="s">
        <v>923</v>
      </c>
      <c r="E32" s="160" t="s">
        <v>922</v>
      </c>
      <c r="F32" s="18" t="s">
        <v>858</v>
      </c>
      <c r="G32" s="18" t="s">
        <v>924</v>
      </c>
      <c r="H32" s="18" t="s">
        <v>859</v>
      </c>
      <c r="I32" s="161"/>
      <c r="J32" s="18" t="s">
        <v>867</v>
      </c>
      <c r="K32" s="18" t="s">
        <v>186</v>
      </c>
      <c r="L32" s="153">
        <v>1057</v>
      </c>
      <c r="M32" s="153">
        <v>9</v>
      </c>
      <c r="N32" s="153">
        <v>4</v>
      </c>
      <c r="O32" s="153">
        <v>0</v>
      </c>
      <c r="P32" s="153">
        <v>3</v>
      </c>
      <c r="Q32" s="153"/>
      <c r="R32" s="154">
        <f t="shared" si="15"/>
        <v>8.5146641438032175E-3</v>
      </c>
      <c r="S32" s="154">
        <f t="shared" si="16"/>
        <v>0.44444444444444442</v>
      </c>
    </row>
    <row r="33" spans="1:23">
      <c r="A33" s="6">
        <v>46143</v>
      </c>
      <c r="B33" s="50" t="s">
        <v>206</v>
      </c>
      <c r="C33" s="142" t="s">
        <v>486</v>
      </c>
      <c r="D33" s="142" t="s">
        <v>1183</v>
      </c>
      <c r="E33" s="160" t="s">
        <v>1184</v>
      </c>
      <c r="F33" s="18" t="s">
        <v>858</v>
      </c>
      <c r="G33" s="18" t="s">
        <v>1185</v>
      </c>
      <c r="H33" s="18" t="s">
        <v>859</v>
      </c>
      <c r="I33" s="161"/>
      <c r="J33" s="18" t="s">
        <v>867</v>
      </c>
      <c r="K33" s="18" t="s">
        <v>1134</v>
      </c>
      <c r="L33" s="153">
        <v>542</v>
      </c>
      <c r="M33" s="153">
        <v>148</v>
      </c>
      <c r="N33" s="153">
        <v>50</v>
      </c>
      <c r="O33" s="153">
        <v>6</v>
      </c>
      <c r="P33" s="153">
        <v>1</v>
      </c>
      <c r="Q33" s="153"/>
      <c r="R33" s="154">
        <f t="shared" ref="R33:R34" si="19">M33/L33</f>
        <v>0.27306273062730629</v>
      </c>
      <c r="S33" s="154">
        <f t="shared" ref="S33:S34" si="20">N33/M33</f>
        <v>0.33783783783783783</v>
      </c>
    </row>
    <row r="34" spans="1:23">
      <c r="A34" s="6">
        <v>46143</v>
      </c>
      <c r="B34" s="50" t="s">
        <v>206</v>
      </c>
      <c r="C34" s="142" t="s">
        <v>487</v>
      </c>
      <c r="D34" s="142" t="s">
        <v>1183</v>
      </c>
      <c r="E34" s="160" t="s">
        <v>1186</v>
      </c>
      <c r="F34" s="18" t="s">
        <v>858</v>
      </c>
      <c r="G34" s="18" t="s">
        <v>1185</v>
      </c>
      <c r="H34" s="18" t="s">
        <v>859</v>
      </c>
      <c r="I34" s="161"/>
      <c r="J34" s="18" t="s">
        <v>867</v>
      </c>
      <c r="K34" s="18" t="s">
        <v>1135</v>
      </c>
      <c r="L34" s="153">
        <v>118</v>
      </c>
      <c r="M34" s="153">
        <v>0</v>
      </c>
      <c r="N34" s="153">
        <v>0</v>
      </c>
      <c r="O34" s="153">
        <v>0</v>
      </c>
      <c r="P34" s="153">
        <v>0</v>
      </c>
      <c r="Q34" s="153"/>
      <c r="R34" s="154">
        <f t="shared" si="19"/>
        <v>0</v>
      </c>
      <c r="S34" s="154" t="e">
        <f t="shared" si="20"/>
        <v>#DIV/0!</v>
      </c>
    </row>
    <row r="35" spans="1:23" s="147" customFormat="1" ht="16.8">
      <c r="A35" s="6">
        <v>46143</v>
      </c>
      <c r="B35" s="50" t="s">
        <v>206</v>
      </c>
      <c r="C35" s="142" t="s">
        <v>486</v>
      </c>
      <c r="D35" s="162">
        <v>0.89583333333333337</v>
      </c>
      <c r="E35" s="65" t="s">
        <v>1173</v>
      </c>
      <c r="F35" s="100" t="s">
        <v>858</v>
      </c>
      <c r="G35" s="100" t="s">
        <v>926</v>
      </c>
      <c r="H35" s="100" t="s">
        <v>859</v>
      </c>
      <c r="I35" s="163"/>
      <c r="J35" s="100" t="s">
        <v>830</v>
      </c>
      <c r="K35" s="52" t="s">
        <v>157</v>
      </c>
      <c r="L35" s="155">
        <v>1749</v>
      </c>
      <c r="M35" s="155">
        <v>18</v>
      </c>
      <c r="N35" s="155">
        <v>3</v>
      </c>
      <c r="O35" s="155">
        <v>1</v>
      </c>
      <c r="P35" s="155">
        <v>2</v>
      </c>
      <c r="Q35" s="155"/>
      <c r="R35" s="154">
        <f t="shared" si="15"/>
        <v>1.0291595197255575E-2</v>
      </c>
      <c r="S35" s="154">
        <f t="shared" si="16"/>
        <v>0.16666666666666666</v>
      </c>
    </row>
    <row r="36" spans="1:23" s="147" customFormat="1">
      <c r="A36" s="6">
        <v>46143</v>
      </c>
      <c r="B36" s="50" t="s">
        <v>206</v>
      </c>
      <c r="C36" s="142" t="s">
        <v>486</v>
      </c>
      <c r="D36" s="162">
        <v>0.875</v>
      </c>
      <c r="E36" s="65" t="s">
        <v>1174</v>
      </c>
      <c r="F36" s="100" t="s">
        <v>858</v>
      </c>
      <c r="G36" s="100" t="s">
        <v>928</v>
      </c>
      <c r="H36" s="100" t="s">
        <v>859</v>
      </c>
      <c r="I36" s="163"/>
      <c r="J36" s="100" t="s">
        <v>830</v>
      </c>
      <c r="K36" s="143" t="s">
        <v>149</v>
      </c>
      <c r="L36" s="155">
        <v>895</v>
      </c>
      <c r="M36" s="155">
        <v>49</v>
      </c>
      <c r="N36" s="155">
        <v>9</v>
      </c>
      <c r="O36" s="155">
        <v>2</v>
      </c>
      <c r="P36" s="155">
        <v>1</v>
      </c>
      <c r="Q36" s="155"/>
      <c r="R36" s="154">
        <f t="shared" si="15"/>
        <v>5.4748603351955305E-2</v>
      </c>
      <c r="S36" s="154">
        <f t="shared" si="16"/>
        <v>0.18367346938775511</v>
      </c>
    </row>
    <row r="37" spans="1:23" ht="16.8">
      <c r="A37" s="6">
        <v>46143</v>
      </c>
      <c r="B37" s="50" t="s">
        <v>206</v>
      </c>
      <c r="C37" s="142" t="s">
        <v>487</v>
      </c>
      <c r="D37" s="162">
        <v>0.90625</v>
      </c>
      <c r="E37" s="100" t="s">
        <v>1175</v>
      </c>
      <c r="F37" s="100" t="s">
        <v>858</v>
      </c>
      <c r="G37" s="100" t="s">
        <v>926</v>
      </c>
      <c r="H37" s="100" t="s">
        <v>859</v>
      </c>
      <c r="I37" s="163"/>
      <c r="J37" s="100" t="s">
        <v>830</v>
      </c>
      <c r="K37" s="52" t="s">
        <v>210</v>
      </c>
      <c r="L37" s="7">
        <v>1712</v>
      </c>
      <c r="M37" s="7">
        <v>501</v>
      </c>
      <c r="N37" s="7">
        <v>320</v>
      </c>
      <c r="O37" s="7">
        <v>0</v>
      </c>
      <c r="P37" s="7">
        <v>0</v>
      </c>
      <c r="Q37" s="7"/>
      <c r="R37" s="154">
        <f t="shared" si="15"/>
        <v>0.29264018691588783</v>
      </c>
      <c r="S37" s="154">
        <f t="shared" si="16"/>
        <v>0.63872255489021956</v>
      </c>
    </row>
    <row r="38" spans="1:23">
      <c r="A38" s="6">
        <v>46143</v>
      </c>
      <c r="B38" s="50" t="s">
        <v>206</v>
      </c>
      <c r="C38" s="142" t="s">
        <v>487</v>
      </c>
      <c r="D38" s="162">
        <v>0.89583333333333337</v>
      </c>
      <c r="E38" s="100" t="s">
        <v>1176</v>
      </c>
      <c r="F38" s="100" t="s">
        <v>858</v>
      </c>
      <c r="G38" s="100" t="s">
        <v>928</v>
      </c>
      <c r="H38" s="100" t="s">
        <v>859</v>
      </c>
      <c r="I38" s="163"/>
      <c r="J38" s="100" t="s">
        <v>830</v>
      </c>
      <c r="K38" s="7" t="s">
        <v>121</v>
      </c>
      <c r="L38" s="7">
        <v>911</v>
      </c>
      <c r="M38" s="7">
        <v>334</v>
      </c>
      <c r="N38" s="7">
        <v>210</v>
      </c>
      <c r="O38" s="7">
        <v>0</v>
      </c>
      <c r="P38" s="7">
        <v>4</v>
      </c>
      <c r="Q38" s="7"/>
      <c r="R38" s="154">
        <f t="shared" si="15"/>
        <v>0.36663007683863885</v>
      </c>
      <c r="S38" s="154">
        <f t="shared" si="16"/>
        <v>0.62874251497005984</v>
      </c>
    </row>
    <row r="39" spans="1:23" ht="7.8" customHeight="1">
      <c r="A39" s="8"/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58"/>
    </row>
    <row r="40" spans="1:23">
      <c r="A40" s="6">
        <v>46144</v>
      </c>
      <c r="B40" s="50" t="s">
        <v>26</v>
      </c>
      <c r="C40" s="142" t="s">
        <v>486</v>
      </c>
      <c r="D40" s="142"/>
      <c r="E40" s="100" t="s">
        <v>1218</v>
      </c>
      <c r="F40" s="100" t="s">
        <v>858</v>
      </c>
      <c r="G40" s="100" t="s">
        <v>861</v>
      </c>
      <c r="H40" s="100" t="s">
        <v>859</v>
      </c>
      <c r="I40" s="142">
        <v>3000</v>
      </c>
      <c r="J40" s="100" t="s">
        <v>830</v>
      </c>
      <c r="K40" s="143" t="s">
        <v>686</v>
      </c>
      <c r="L40" s="153">
        <v>2997</v>
      </c>
      <c r="M40" s="153">
        <v>2441</v>
      </c>
      <c r="N40" s="153">
        <v>1400</v>
      </c>
      <c r="O40" s="153">
        <v>0</v>
      </c>
      <c r="P40" s="153">
        <v>3</v>
      </c>
      <c r="Q40" s="153"/>
      <c r="R40" s="154">
        <f t="shared" ref="R40:R53" si="21">M40/L40</f>
        <v>0.81448114781448111</v>
      </c>
      <c r="S40" s="154">
        <f t="shared" ref="S40:S53" si="22">N40/M40</f>
        <v>0.57353543629659975</v>
      </c>
    </row>
    <row r="41" spans="1:23">
      <c r="A41" s="6">
        <v>46144</v>
      </c>
      <c r="B41" s="50" t="s">
        <v>26</v>
      </c>
      <c r="C41" s="142" t="s">
        <v>486</v>
      </c>
      <c r="D41" s="142"/>
      <c r="E41" s="100" t="s">
        <v>1219</v>
      </c>
      <c r="F41" s="100" t="s">
        <v>858</v>
      </c>
      <c r="G41" s="100" t="s">
        <v>861</v>
      </c>
      <c r="H41" s="100" t="s">
        <v>859</v>
      </c>
      <c r="I41" s="142">
        <v>3000</v>
      </c>
      <c r="J41" s="100" t="s">
        <v>830</v>
      </c>
      <c r="K41" s="143" t="s">
        <v>686</v>
      </c>
      <c r="L41" s="153">
        <v>2997</v>
      </c>
      <c r="M41" s="153">
        <v>2467</v>
      </c>
      <c r="N41" s="153">
        <v>1635</v>
      </c>
      <c r="O41" s="153">
        <v>0</v>
      </c>
      <c r="P41" s="153">
        <v>3</v>
      </c>
      <c r="Q41" s="153"/>
      <c r="R41" s="154">
        <f t="shared" si="21"/>
        <v>0.82315648982315648</v>
      </c>
      <c r="S41" s="154">
        <f t="shared" si="22"/>
        <v>0.66274827725982977</v>
      </c>
      <c r="U41" s="153">
        <v>461</v>
      </c>
      <c r="V41" s="153">
        <v>13</v>
      </c>
      <c r="W41" s="153">
        <v>2</v>
      </c>
    </row>
    <row r="42" spans="1:23">
      <c r="A42" s="6">
        <v>46144</v>
      </c>
      <c r="B42" s="50" t="s">
        <v>26</v>
      </c>
      <c r="C42" s="142" t="s">
        <v>487</v>
      </c>
      <c r="D42" s="142"/>
      <c r="E42" s="100" t="s">
        <v>1220</v>
      </c>
      <c r="F42" s="100" t="s">
        <v>858</v>
      </c>
      <c r="G42" s="100" t="s">
        <v>861</v>
      </c>
      <c r="H42" s="100" t="s">
        <v>859</v>
      </c>
      <c r="I42" s="142">
        <v>500</v>
      </c>
      <c r="J42" s="100" t="s">
        <v>830</v>
      </c>
      <c r="K42" s="143" t="s">
        <v>920</v>
      </c>
      <c r="L42" s="153">
        <v>388</v>
      </c>
      <c r="M42" s="153">
        <v>350</v>
      </c>
      <c r="N42" s="153">
        <v>242</v>
      </c>
      <c r="O42" s="153">
        <v>0</v>
      </c>
      <c r="P42" s="153">
        <v>0</v>
      </c>
      <c r="Q42" s="153"/>
      <c r="R42" s="154">
        <f t="shared" si="21"/>
        <v>0.90206185567010311</v>
      </c>
      <c r="S42" s="154">
        <f t="shared" si="22"/>
        <v>0.69142857142857139</v>
      </c>
      <c r="U42" s="153">
        <v>751</v>
      </c>
      <c r="V42" s="153">
        <v>89</v>
      </c>
      <c r="W42" s="153">
        <v>30</v>
      </c>
    </row>
    <row r="43" spans="1:23">
      <c r="A43" s="6">
        <v>46144</v>
      </c>
      <c r="B43" s="50" t="s">
        <v>26</v>
      </c>
      <c r="C43" s="142" t="s">
        <v>487</v>
      </c>
      <c r="D43" s="142"/>
      <c r="E43" s="100" t="s">
        <v>1221</v>
      </c>
      <c r="F43" s="100" t="s">
        <v>858</v>
      </c>
      <c r="G43" s="100" t="s">
        <v>861</v>
      </c>
      <c r="H43" s="100" t="s">
        <v>859</v>
      </c>
      <c r="I43" s="142">
        <v>500</v>
      </c>
      <c r="J43" s="100" t="s">
        <v>830</v>
      </c>
      <c r="K43" s="143" t="s">
        <v>920</v>
      </c>
      <c r="L43" s="153">
        <v>388</v>
      </c>
      <c r="M43" s="153">
        <v>350</v>
      </c>
      <c r="N43" s="153">
        <v>227</v>
      </c>
      <c r="O43" s="153">
        <v>0</v>
      </c>
      <c r="P43" s="153">
        <v>0</v>
      </c>
      <c r="Q43" s="153"/>
      <c r="R43" s="154">
        <f t="shared" si="21"/>
        <v>0.90206185567010311</v>
      </c>
      <c r="S43" s="154">
        <f t="shared" si="22"/>
        <v>0.64857142857142858</v>
      </c>
      <c r="U43" s="155">
        <v>2064</v>
      </c>
      <c r="V43" s="155">
        <v>237</v>
      </c>
      <c r="W43" s="155">
        <v>39</v>
      </c>
    </row>
    <row r="44" spans="1:23">
      <c r="A44" s="6">
        <v>46144</v>
      </c>
      <c r="B44" s="50" t="s">
        <v>26</v>
      </c>
      <c r="C44" s="142" t="s">
        <v>487</v>
      </c>
      <c r="D44" s="142"/>
      <c r="E44" s="100" t="s">
        <v>1222</v>
      </c>
      <c r="F44" s="100" t="s">
        <v>858</v>
      </c>
      <c r="G44" s="100" t="s">
        <v>861</v>
      </c>
      <c r="H44" s="100" t="s">
        <v>859</v>
      </c>
      <c r="I44" s="142">
        <v>500</v>
      </c>
      <c r="J44" s="100" t="s">
        <v>830</v>
      </c>
      <c r="K44" s="143" t="s">
        <v>920</v>
      </c>
      <c r="L44" s="153">
        <v>388</v>
      </c>
      <c r="M44" s="153">
        <v>350</v>
      </c>
      <c r="N44" s="153">
        <v>237</v>
      </c>
      <c r="O44" s="153">
        <v>0</v>
      </c>
      <c r="P44" s="153">
        <v>0</v>
      </c>
      <c r="Q44" s="153"/>
      <c r="R44" s="154">
        <f t="shared" si="21"/>
        <v>0.90206185567010311</v>
      </c>
      <c r="S44" s="154">
        <f t="shared" si="22"/>
        <v>0.67714285714285716</v>
      </c>
      <c r="U44" s="155">
        <v>1095</v>
      </c>
      <c r="V44" s="155">
        <v>48</v>
      </c>
      <c r="W44" s="155">
        <v>9</v>
      </c>
    </row>
    <row r="45" spans="1:23">
      <c r="A45" s="6">
        <v>46144</v>
      </c>
      <c r="B45" s="50" t="s">
        <v>26</v>
      </c>
      <c r="C45" s="142" t="s">
        <v>487</v>
      </c>
      <c r="D45" s="142"/>
      <c r="E45" s="100" t="s">
        <v>1223</v>
      </c>
      <c r="F45" s="100" t="s">
        <v>858</v>
      </c>
      <c r="G45" s="100" t="s">
        <v>861</v>
      </c>
      <c r="H45" s="100" t="s">
        <v>859</v>
      </c>
      <c r="I45" s="142">
        <v>500</v>
      </c>
      <c r="J45" s="100" t="s">
        <v>830</v>
      </c>
      <c r="K45" s="143" t="s">
        <v>920</v>
      </c>
      <c r="L45" s="153">
        <v>388</v>
      </c>
      <c r="M45" s="153">
        <v>350</v>
      </c>
      <c r="N45" s="153">
        <v>224</v>
      </c>
      <c r="O45" s="153">
        <v>0</v>
      </c>
      <c r="P45" s="153">
        <v>0</v>
      </c>
      <c r="Q45" s="153"/>
      <c r="R45" s="154">
        <f t="shared" ref="R45" si="23">M45/L45</f>
        <v>0.90206185567010311</v>
      </c>
      <c r="S45" s="154">
        <f t="shared" ref="S45" si="24">N45/M45</f>
        <v>0.64</v>
      </c>
      <c r="U45">
        <f>SUM(U41:U44)</f>
        <v>4371</v>
      </c>
      <c r="V45">
        <f>SUM(V41:V44)</f>
        <v>387</v>
      </c>
      <c r="W45">
        <f>SUM(W41:W44)</f>
        <v>80</v>
      </c>
    </row>
    <row r="46" spans="1:23">
      <c r="A46" s="6">
        <v>46144</v>
      </c>
      <c r="B46" s="50" t="s">
        <v>26</v>
      </c>
      <c r="C46" s="142" t="s">
        <v>486</v>
      </c>
      <c r="D46" s="142" t="s">
        <v>923</v>
      </c>
      <c r="E46" s="160" t="s">
        <v>921</v>
      </c>
      <c r="F46" s="18" t="s">
        <v>858</v>
      </c>
      <c r="G46" s="18" t="s">
        <v>924</v>
      </c>
      <c r="H46" s="18" t="s">
        <v>859</v>
      </c>
      <c r="I46" s="161"/>
      <c r="J46" s="18" t="s">
        <v>867</v>
      </c>
      <c r="K46" s="157" t="s">
        <v>106</v>
      </c>
      <c r="L46" s="153">
        <v>461</v>
      </c>
      <c r="M46" s="153">
        <v>13</v>
      </c>
      <c r="N46" s="153">
        <v>2</v>
      </c>
      <c r="O46" s="153">
        <v>1</v>
      </c>
      <c r="P46" s="153">
        <v>3</v>
      </c>
      <c r="Q46" s="153"/>
      <c r="R46" s="154">
        <f t="shared" si="21"/>
        <v>2.8199566160520606E-2</v>
      </c>
      <c r="S46" s="154">
        <f t="shared" si="22"/>
        <v>0.15384615384615385</v>
      </c>
    </row>
    <row r="47" spans="1:23">
      <c r="A47" s="6">
        <v>46144</v>
      </c>
      <c r="B47" s="50" t="s">
        <v>26</v>
      </c>
      <c r="C47" s="142" t="s">
        <v>487</v>
      </c>
      <c r="D47" s="142" t="s">
        <v>923</v>
      </c>
      <c r="E47" s="160" t="s">
        <v>922</v>
      </c>
      <c r="F47" s="18" t="s">
        <v>858</v>
      </c>
      <c r="G47" s="18" t="s">
        <v>924</v>
      </c>
      <c r="H47" s="18" t="s">
        <v>859</v>
      </c>
      <c r="I47" s="161"/>
      <c r="J47" s="18" t="s">
        <v>867</v>
      </c>
      <c r="K47" s="18" t="s">
        <v>186</v>
      </c>
      <c r="L47" s="153">
        <v>1026</v>
      </c>
      <c r="M47" s="153">
        <v>5</v>
      </c>
      <c r="N47" s="153">
        <v>0</v>
      </c>
      <c r="O47" s="153">
        <v>0</v>
      </c>
      <c r="P47" s="153">
        <v>2</v>
      </c>
      <c r="Q47" s="153"/>
      <c r="R47" s="154">
        <f t="shared" si="21"/>
        <v>4.8732943469785572E-3</v>
      </c>
      <c r="S47" s="154">
        <f t="shared" si="22"/>
        <v>0</v>
      </c>
      <c r="U47" s="153">
        <v>1026</v>
      </c>
      <c r="V47" s="153">
        <v>5</v>
      </c>
      <c r="W47" s="153">
        <v>0</v>
      </c>
    </row>
    <row r="48" spans="1:23">
      <c r="A48" s="6">
        <v>46144</v>
      </c>
      <c r="B48" s="50" t="s">
        <v>26</v>
      </c>
      <c r="C48" s="142" t="s">
        <v>486</v>
      </c>
      <c r="D48" s="142" t="s">
        <v>1183</v>
      </c>
      <c r="E48" s="160" t="s">
        <v>1184</v>
      </c>
      <c r="F48" s="18" t="s">
        <v>858</v>
      </c>
      <c r="G48" s="18" t="s">
        <v>1185</v>
      </c>
      <c r="H48" s="18" t="s">
        <v>859</v>
      </c>
      <c r="I48" s="161"/>
      <c r="J48" s="18" t="s">
        <v>867</v>
      </c>
      <c r="K48" s="18" t="s">
        <v>1134</v>
      </c>
      <c r="L48" s="153">
        <v>751</v>
      </c>
      <c r="M48" s="153">
        <v>89</v>
      </c>
      <c r="N48" s="153">
        <v>30</v>
      </c>
      <c r="O48" s="153">
        <v>4</v>
      </c>
      <c r="P48" s="153">
        <v>1</v>
      </c>
      <c r="Q48" s="153"/>
      <c r="R48" s="154">
        <f t="shared" si="21"/>
        <v>0.118508655126498</v>
      </c>
      <c r="S48" s="154">
        <f t="shared" si="22"/>
        <v>0.33707865168539325</v>
      </c>
      <c r="U48" s="153">
        <v>148</v>
      </c>
      <c r="V48" s="153">
        <v>3</v>
      </c>
      <c r="W48" s="153">
        <v>2</v>
      </c>
    </row>
    <row r="49" spans="1:23">
      <c r="A49" s="6">
        <v>46144</v>
      </c>
      <c r="B49" s="50" t="s">
        <v>26</v>
      </c>
      <c r="C49" s="142" t="s">
        <v>487</v>
      </c>
      <c r="D49" s="142" t="s">
        <v>1183</v>
      </c>
      <c r="E49" s="160" t="s">
        <v>1186</v>
      </c>
      <c r="F49" s="18" t="s">
        <v>858</v>
      </c>
      <c r="G49" s="18" t="s">
        <v>1185</v>
      </c>
      <c r="H49" s="18" t="s">
        <v>859</v>
      </c>
      <c r="I49" s="161"/>
      <c r="J49" s="18" t="s">
        <v>867</v>
      </c>
      <c r="K49" s="18" t="s">
        <v>1135</v>
      </c>
      <c r="L49" s="153">
        <v>148</v>
      </c>
      <c r="M49" s="153">
        <v>3</v>
      </c>
      <c r="N49" s="153">
        <v>2</v>
      </c>
      <c r="O49" s="153">
        <v>0</v>
      </c>
      <c r="P49" s="153">
        <v>0</v>
      </c>
      <c r="Q49" s="153"/>
      <c r="R49" s="154">
        <f t="shared" si="21"/>
        <v>2.0270270270270271E-2</v>
      </c>
      <c r="S49" s="154">
        <f t="shared" si="22"/>
        <v>0.66666666666666663</v>
      </c>
      <c r="U49" s="7">
        <v>1763</v>
      </c>
      <c r="V49" s="7">
        <v>524</v>
      </c>
      <c r="W49" s="7">
        <v>327</v>
      </c>
    </row>
    <row r="50" spans="1:23" s="147" customFormat="1" ht="16.8">
      <c r="A50" s="6">
        <v>46144</v>
      </c>
      <c r="B50" s="50" t="s">
        <v>26</v>
      </c>
      <c r="C50" s="142" t="s">
        <v>486</v>
      </c>
      <c r="D50" s="162">
        <v>0.89583333333333337</v>
      </c>
      <c r="E50" s="65" t="s">
        <v>1224</v>
      </c>
      <c r="F50" s="100" t="s">
        <v>858</v>
      </c>
      <c r="G50" s="100" t="s">
        <v>1040</v>
      </c>
      <c r="H50" s="100" t="s">
        <v>859</v>
      </c>
      <c r="I50" s="163"/>
      <c r="J50" s="100" t="s">
        <v>830</v>
      </c>
      <c r="K50" s="52" t="s">
        <v>157</v>
      </c>
      <c r="L50" s="155">
        <v>2064</v>
      </c>
      <c r="M50" s="155">
        <v>237</v>
      </c>
      <c r="N50" s="155">
        <v>39</v>
      </c>
      <c r="O50" s="155">
        <v>6</v>
      </c>
      <c r="P50" s="155">
        <v>0</v>
      </c>
      <c r="Q50" s="155"/>
      <c r="R50" s="154">
        <f t="shared" si="21"/>
        <v>0.11482558139534883</v>
      </c>
      <c r="S50" s="154">
        <f t="shared" si="22"/>
        <v>0.16455696202531644</v>
      </c>
      <c r="U50" s="7">
        <v>1047</v>
      </c>
      <c r="V50" s="7">
        <v>519</v>
      </c>
      <c r="W50" s="7">
        <v>335</v>
      </c>
    </row>
    <row r="51" spans="1:23" s="147" customFormat="1">
      <c r="A51" s="6">
        <v>46144</v>
      </c>
      <c r="B51" s="50" t="s">
        <v>26</v>
      </c>
      <c r="C51" s="142" t="s">
        <v>486</v>
      </c>
      <c r="D51" s="162">
        <v>0.875</v>
      </c>
      <c r="E51" s="65" t="s">
        <v>1225</v>
      </c>
      <c r="F51" s="100" t="s">
        <v>858</v>
      </c>
      <c r="G51" s="100" t="s">
        <v>1042</v>
      </c>
      <c r="H51" s="100" t="s">
        <v>859</v>
      </c>
      <c r="I51" s="163"/>
      <c r="J51" s="100" t="s">
        <v>830</v>
      </c>
      <c r="K51" s="143" t="s">
        <v>149</v>
      </c>
      <c r="L51" s="155">
        <v>1095</v>
      </c>
      <c r="M51" s="155">
        <v>48</v>
      </c>
      <c r="N51" s="155">
        <v>9</v>
      </c>
      <c r="O51" s="155">
        <v>1</v>
      </c>
      <c r="P51" s="155">
        <v>0</v>
      </c>
      <c r="Q51" s="155"/>
      <c r="R51" s="154">
        <f t="shared" si="21"/>
        <v>4.3835616438356165E-2</v>
      </c>
      <c r="S51" s="154">
        <f t="shared" si="22"/>
        <v>0.1875</v>
      </c>
      <c r="U51" s="147">
        <f>SUM(U47:U50)</f>
        <v>3984</v>
      </c>
      <c r="V51" s="147">
        <f>SUM(V47:V50)</f>
        <v>1051</v>
      </c>
      <c r="W51" s="147">
        <f>SUM(W47:W50)</f>
        <v>664</v>
      </c>
    </row>
    <row r="52" spans="1:23" ht="16.8">
      <c r="A52" s="6">
        <v>46144</v>
      </c>
      <c r="B52" s="50" t="s">
        <v>26</v>
      </c>
      <c r="C52" s="142" t="s">
        <v>487</v>
      </c>
      <c r="D52" s="162">
        <v>0.90625</v>
      </c>
      <c r="E52" s="65" t="s">
        <v>1226</v>
      </c>
      <c r="F52" s="100" t="s">
        <v>858</v>
      </c>
      <c r="G52" s="100" t="s">
        <v>1040</v>
      </c>
      <c r="H52" s="100" t="s">
        <v>859</v>
      </c>
      <c r="I52" s="163"/>
      <c r="J52" s="100" t="s">
        <v>830</v>
      </c>
      <c r="K52" s="52" t="s">
        <v>210</v>
      </c>
      <c r="L52" s="7">
        <v>1763</v>
      </c>
      <c r="M52" s="7">
        <v>524</v>
      </c>
      <c r="N52" s="7">
        <v>327</v>
      </c>
      <c r="O52" s="7">
        <v>0</v>
      </c>
      <c r="P52" s="7">
        <v>0</v>
      </c>
      <c r="Q52" s="7"/>
      <c r="R52" s="154">
        <f t="shared" si="21"/>
        <v>0.29722064662507092</v>
      </c>
      <c r="S52" s="154">
        <f t="shared" si="22"/>
        <v>0.62404580152671751</v>
      </c>
    </row>
    <row r="53" spans="1:23">
      <c r="A53" s="6">
        <v>46144</v>
      </c>
      <c r="B53" s="50" t="s">
        <v>26</v>
      </c>
      <c r="C53" s="142" t="s">
        <v>487</v>
      </c>
      <c r="D53" s="162">
        <v>0.89583333333333337</v>
      </c>
      <c r="E53" s="65" t="s">
        <v>1227</v>
      </c>
      <c r="F53" s="100" t="s">
        <v>858</v>
      </c>
      <c r="G53" s="100" t="s">
        <v>1042</v>
      </c>
      <c r="H53" s="100" t="s">
        <v>859</v>
      </c>
      <c r="I53" s="163"/>
      <c r="J53" s="100" t="s">
        <v>830</v>
      </c>
      <c r="K53" s="7" t="s">
        <v>121</v>
      </c>
      <c r="L53" s="7">
        <v>1047</v>
      </c>
      <c r="M53" s="7">
        <v>519</v>
      </c>
      <c r="N53" s="7">
        <v>335</v>
      </c>
      <c r="O53" s="7">
        <v>0</v>
      </c>
      <c r="P53" s="7">
        <v>0</v>
      </c>
      <c r="Q53" s="7"/>
      <c r="R53" s="154">
        <f t="shared" si="21"/>
        <v>0.49570200573065903</v>
      </c>
      <c r="S53" s="154">
        <f t="shared" si="22"/>
        <v>0.64547206165703275</v>
      </c>
    </row>
    <row r="54" spans="1:23" ht="7.8" customHeight="1">
      <c r="A54" s="8"/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58"/>
    </row>
    <row r="55" spans="1:23">
      <c r="A55" s="6">
        <v>46145</v>
      </c>
      <c r="B55" s="50" t="s">
        <v>33</v>
      </c>
      <c r="C55" s="142" t="s">
        <v>486</v>
      </c>
      <c r="D55" s="142"/>
      <c r="E55" s="65" t="s">
        <v>1262</v>
      </c>
      <c r="F55" s="100" t="s">
        <v>858</v>
      </c>
      <c r="G55" s="100" t="s">
        <v>861</v>
      </c>
      <c r="H55" s="100" t="s">
        <v>859</v>
      </c>
      <c r="I55" s="142">
        <v>3000</v>
      </c>
      <c r="J55" s="100" t="s">
        <v>830</v>
      </c>
      <c r="K55" s="143" t="s">
        <v>686</v>
      </c>
      <c r="L55" s="153">
        <v>2997</v>
      </c>
      <c r="M55" s="153">
        <v>2442</v>
      </c>
      <c r="N55" s="153">
        <v>1386</v>
      </c>
      <c r="O55" s="153">
        <v>0</v>
      </c>
      <c r="P55" s="153">
        <v>3</v>
      </c>
      <c r="Q55" s="153"/>
      <c r="R55" s="154">
        <f t="shared" ref="R55:R69" si="25">M55/L55</f>
        <v>0.81481481481481477</v>
      </c>
      <c r="S55" s="154">
        <f t="shared" ref="S55:S69" si="26">N55/M55</f>
        <v>0.56756756756756754</v>
      </c>
    </row>
    <row r="56" spans="1:23">
      <c r="A56" s="6">
        <v>46145</v>
      </c>
      <c r="B56" s="50" t="s">
        <v>33</v>
      </c>
      <c r="C56" s="142" t="s">
        <v>486</v>
      </c>
      <c r="D56" s="142"/>
      <c r="E56" s="65" t="s">
        <v>1263</v>
      </c>
      <c r="F56" s="100" t="s">
        <v>858</v>
      </c>
      <c r="G56" s="100" t="s">
        <v>861</v>
      </c>
      <c r="H56" s="100" t="s">
        <v>859</v>
      </c>
      <c r="I56" s="142">
        <v>3000</v>
      </c>
      <c r="J56" s="100" t="s">
        <v>830</v>
      </c>
      <c r="K56" s="143" t="s">
        <v>686</v>
      </c>
      <c r="L56" s="153">
        <v>2997</v>
      </c>
      <c r="M56" s="153">
        <v>2459</v>
      </c>
      <c r="N56" s="153">
        <v>1685</v>
      </c>
      <c r="O56" s="153">
        <v>0</v>
      </c>
      <c r="P56" s="153">
        <v>3</v>
      </c>
      <c r="Q56" s="153"/>
      <c r="R56" s="154">
        <f t="shared" si="25"/>
        <v>0.8204871538204872</v>
      </c>
      <c r="S56" s="154">
        <f t="shared" si="26"/>
        <v>0.68523790158601061</v>
      </c>
    </row>
    <row r="57" spans="1:23">
      <c r="A57" s="6">
        <v>46145</v>
      </c>
      <c r="B57" s="50" t="s">
        <v>33</v>
      </c>
      <c r="C57" s="142" t="s">
        <v>487</v>
      </c>
      <c r="D57" s="142"/>
      <c r="E57" s="65" t="s">
        <v>1264</v>
      </c>
      <c r="F57" s="100" t="s">
        <v>858</v>
      </c>
      <c r="G57" s="100" t="s">
        <v>861</v>
      </c>
      <c r="H57" s="100" t="s">
        <v>859</v>
      </c>
      <c r="I57" s="142">
        <v>500</v>
      </c>
      <c r="J57" s="100" t="s">
        <v>830</v>
      </c>
      <c r="K57" s="143" t="s">
        <v>920</v>
      </c>
      <c r="L57" s="153">
        <v>388</v>
      </c>
      <c r="M57" s="153">
        <v>337</v>
      </c>
      <c r="N57" s="153">
        <v>216</v>
      </c>
      <c r="O57" s="153">
        <v>0</v>
      </c>
      <c r="P57" s="153">
        <v>0</v>
      </c>
      <c r="Q57" s="153"/>
      <c r="R57" s="154">
        <f t="shared" si="25"/>
        <v>0.86855670103092786</v>
      </c>
      <c r="S57" s="154">
        <f t="shared" si="26"/>
        <v>0.64094955489614247</v>
      </c>
      <c r="U57" s="153">
        <v>465</v>
      </c>
      <c r="V57" s="153">
        <v>8</v>
      </c>
      <c r="W57" s="153">
        <v>4</v>
      </c>
    </row>
    <row r="58" spans="1:23">
      <c r="A58" s="6">
        <v>46145</v>
      </c>
      <c r="B58" s="50" t="s">
        <v>33</v>
      </c>
      <c r="C58" s="142" t="s">
        <v>487</v>
      </c>
      <c r="D58" s="142"/>
      <c r="E58" s="65" t="s">
        <v>1265</v>
      </c>
      <c r="F58" s="100" t="s">
        <v>858</v>
      </c>
      <c r="G58" s="100" t="s">
        <v>861</v>
      </c>
      <c r="H58" s="100" t="s">
        <v>859</v>
      </c>
      <c r="I58" s="142">
        <v>500</v>
      </c>
      <c r="J58" s="100" t="s">
        <v>830</v>
      </c>
      <c r="K58" s="143" t="s">
        <v>920</v>
      </c>
      <c r="L58" s="153">
        <v>388</v>
      </c>
      <c r="M58" s="153">
        <v>337</v>
      </c>
      <c r="N58" s="153">
        <v>219</v>
      </c>
      <c r="O58" s="153">
        <v>0</v>
      </c>
      <c r="P58" s="153">
        <v>0</v>
      </c>
      <c r="Q58" s="153"/>
      <c r="R58" s="154">
        <f t="shared" si="25"/>
        <v>0.86855670103092786</v>
      </c>
      <c r="S58" s="154">
        <f t="shared" si="26"/>
        <v>0.64985163204747776</v>
      </c>
      <c r="U58" s="153">
        <v>775</v>
      </c>
      <c r="V58" s="153">
        <v>34</v>
      </c>
      <c r="W58" s="153">
        <v>10</v>
      </c>
    </row>
    <row r="59" spans="1:23">
      <c r="A59" s="6">
        <v>46145</v>
      </c>
      <c r="B59" s="50" t="s">
        <v>33</v>
      </c>
      <c r="C59" s="142" t="s">
        <v>487</v>
      </c>
      <c r="D59" s="142"/>
      <c r="E59" s="65" t="s">
        <v>1266</v>
      </c>
      <c r="F59" s="100" t="s">
        <v>858</v>
      </c>
      <c r="G59" s="100" t="s">
        <v>861</v>
      </c>
      <c r="H59" s="100" t="s">
        <v>859</v>
      </c>
      <c r="I59" s="142">
        <v>500</v>
      </c>
      <c r="J59" s="100" t="s">
        <v>830</v>
      </c>
      <c r="K59" s="143" t="s">
        <v>920</v>
      </c>
      <c r="L59" s="153">
        <v>388</v>
      </c>
      <c r="M59" s="153">
        <v>337</v>
      </c>
      <c r="N59" s="153">
        <v>230</v>
      </c>
      <c r="O59" s="153">
        <v>0</v>
      </c>
      <c r="P59" s="153">
        <v>0</v>
      </c>
      <c r="Q59" s="153"/>
      <c r="R59" s="154">
        <f t="shared" si="25"/>
        <v>0.86855670103092786</v>
      </c>
      <c r="S59" s="154">
        <f t="shared" si="26"/>
        <v>0.68249258160237392</v>
      </c>
      <c r="U59" s="155">
        <v>2343</v>
      </c>
      <c r="V59" s="155">
        <v>10</v>
      </c>
      <c r="W59" s="155">
        <v>5</v>
      </c>
    </row>
    <row r="60" spans="1:23">
      <c r="A60" s="6">
        <v>46145</v>
      </c>
      <c r="B60" s="50" t="s">
        <v>33</v>
      </c>
      <c r="C60" s="142" t="s">
        <v>487</v>
      </c>
      <c r="D60" s="142"/>
      <c r="E60" s="65" t="s">
        <v>1267</v>
      </c>
      <c r="F60" s="100" t="s">
        <v>858</v>
      </c>
      <c r="G60" s="100" t="s">
        <v>861</v>
      </c>
      <c r="H60" s="100" t="s">
        <v>859</v>
      </c>
      <c r="I60" s="142">
        <v>500</v>
      </c>
      <c r="J60" s="100" t="s">
        <v>830</v>
      </c>
      <c r="K60" s="143" t="s">
        <v>920</v>
      </c>
      <c r="L60" s="153">
        <v>388</v>
      </c>
      <c r="M60" s="153">
        <v>339</v>
      </c>
      <c r="N60" s="153">
        <v>218</v>
      </c>
      <c r="O60" s="153">
        <v>0</v>
      </c>
      <c r="P60" s="153">
        <v>0</v>
      </c>
      <c r="Q60" s="153"/>
      <c r="R60" s="154">
        <f t="shared" si="25"/>
        <v>0.87371134020618557</v>
      </c>
      <c r="S60" s="154">
        <f t="shared" si="26"/>
        <v>0.64306784660766958</v>
      </c>
      <c r="U60" s="155">
        <v>1280</v>
      </c>
      <c r="V60" s="155">
        <v>45</v>
      </c>
      <c r="W60" s="155">
        <v>5</v>
      </c>
    </row>
    <row r="61" spans="1:23">
      <c r="A61" s="6">
        <v>46145</v>
      </c>
      <c r="B61" s="50" t="s">
        <v>33</v>
      </c>
      <c r="C61" s="142" t="s">
        <v>487</v>
      </c>
      <c r="D61" s="142"/>
      <c r="E61" s="65" t="s">
        <v>1268</v>
      </c>
      <c r="F61" s="100" t="s">
        <v>858</v>
      </c>
      <c r="G61" s="100" t="s">
        <v>861</v>
      </c>
      <c r="H61" s="100" t="s">
        <v>859</v>
      </c>
      <c r="I61" s="142">
        <v>500</v>
      </c>
      <c r="J61" s="100" t="s">
        <v>830</v>
      </c>
      <c r="K61" s="143" t="s">
        <v>920</v>
      </c>
      <c r="L61" s="153">
        <v>388</v>
      </c>
      <c r="M61" s="153">
        <v>339</v>
      </c>
      <c r="N61" s="153">
        <v>228</v>
      </c>
      <c r="O61" s="153">
        <v>0</v>
      </c>
      <c r="P61" s="153">
        <v>0</v>
      </c>
      <c r="Q61" s="153"/>
      <c r="R61" s="154">
        <f t="shared" ref="R61" si="27">M61/L61</f>
        <v>0.87371134020618557</v>
      </c>
      <c r="S61" s="154">
        <f t="shared" ref="S61" si="28">N61/M61</f>
        <v>0.67256637168141598</v>
      </c>
      <c r="U61">
        <f>SUM(U57:U60)</f>
        <v>4863</v>
      </c>
      <c r="V61">
        <f>SUM(V57:V60)</f>
        <v>97</v>
      </c>
      <c r="W61">
        <f>SUM(W57:W60)</f>
        <v>24</v>
      </c>
    </row>
    <row r="62" spans="1:23">
      <c r="A62" s="6">
        <v>46145</v>
      </c>
      <c r="B62" s="50" t="s">
        <v>33</v>
      </c>
      <c r="C62" s="142" t="s">
        <v>486</v>
      </c>
      <c r="D62" s="142" t="s">
        <v>923</v>
      </c>
      <c r="E62" s="160" t="s">
        <v>921</v>
      </c>
      <c r="F62" s="18" t="s">
        <v>858</v>
      </c>
      <c r="G62" s="18" t="s">
        <v>924</v>
      </c>
      <c r="H62" s="18" t="s">
        <v>859</v>
      </c>
      <c r="I62" s="161"/>
      <c r="J62" s="18" t="s">
        <v>867</v>
      </c>
      <c r="K62" s="157" t="s">
        <v>106</v>
      </c>
      <c r="L62" s="153">
        <v>465</v>
      </c>
      <c r="M62" s="153">
        <v>8</v>
      </c>
      <c r="N62" s="153">
        <v>4</v>
      </c>
      <c r="O62" s="153">
        <v>0</v>
      </c>
      <c r="P62" s="153">
        <v>1</v>
      </c>
      <c r="Q62" s="153"/>
      <c r="R62" s="154">
        <f t="shared" si="25"/>
        <v>1.7204301075268817E-2</v>
      </c>
      <c r="S62" s="154">
        <f t="shared" si="26"/>
        <v>0.5</v>
      </c>
    </row>
    <row r="63" spans="1:23">
      <c r="A63" s="6">
        <v>46145</v>
      </c>
      <c r="B63" s="50" t="s">
        <v>33</v>
      </c>
      <c r="C63" s="142" t="s">
        <v>487</v>
      </c>
      <c r="D63" s="142" t="s">
        <v>923</v>
      </c>
      <c r="E63" s="160" t="s">
        <v>922</v>
      </c>
      <c r="F63" s="18" t="s">
        <v>858</v>
      </c>
      <c r="G63" s="18" t="s">
        <v>924</v>
      </c>
      <c r="H63" s="18" t="s">
        <v>859</v>
      </c>
      <c r="I63" s="161"/>
      <c r="J63" s="18" t="s">
        <v>867</v>
      </c>
      <c r="K63" s="18" t="s">
        <v>186</v>
      </c>
      <c r="L63" s="153">
        <v>990</v>
      </c>
      <c r="M63" s="153">
        <v>8</v>
      </c>
      <c r="N63" s="153">
        <v>1</v>
      </c>
      <c r="O63" s="153">
        <v>0</v>
      </c>
      <c r="P63" s="153">
        <v>2</v>
      </c>
      <c r="Q63" s="153"/>
      <c r="R63" s="154">
        <f t="shared" si="25"/>
        <v>8.0808080808080808E-3</v>
      </c>
      <c r="S63" s="154">
        <f t="shared" si="26"/>
        <v>0.125</v>
      </c>
    </row>
    <row r="64" spans="1:23">
      <c r="A64" s="6">
        <v>46145</v>
      </c>
      <c r="B64" s="50" t="s">
        <v>33</v>
      </c>
      <c r="C64" s="142" t="s">
        <v>486</v>
      </c>
      <c r="D64" s="142" t="s">
        <v>1183</v>
      </c>
      <c r="E64" s="160" t="s">
        <v>1184</v>
      </c>
      <c r="F64" s="18" t="s">
        <v>858</v>
      </c>
      <c r="G64" s="18" t="s">
        <v>1185</v>
      </c>
      <c r="H64" s="18" t="s">
        <v>859</v>
      </c>
      <c r="I64" s="161"/>
      <c r="J64" s="18" t="s">
        <v>867</v>
      </c>
      <c r="K64" s="18" t="s">
        <v>1134</v>
      </c>
      <c r="L64" s="153">
        <v>775</v>
      </c>
      <c r="M64" s="153">
        <v>34</v>
      </c>
      <c r="N64" s="153">
        <v>10</v>
      </c>
      <c r="O64" s="153">
        <v>3</v>
      </c>
      <c r="P64" s="153">
        <v>4</v>
      </c>
      <c r="Q64" s="153"/>
      <c r="R64" s="154">
        <f t="shared" ref="R64:R65" si="29">M64/L64</f>
        <v>4.3870967741935482E-2</v>
      </c>
      <c r="S64" s="154">
        <f t="shared" ref="S64:S65" si="30">N64/M64</f>
        <v>0.29411764705882354</v>
      </c>
    </row>
    <row r="65" spans="1:23">
      <c r="A65" s="6">
        <v>46145</v>
      </c>
      <c r="B65" s="50" t="s">
        <v>33</v>
      </c>
      <c r="C65" s="142" t="s">
        <v>487</v>
      </c>
      <c r="D65" s="142" t="s">
        <v>1183</v>
      </c>
      <c r="E65" s="160" t="s">
        <v>1186</v>
      </c>
      <c r="F65" s="18" t="s">
        <v>858</v>
      </c>
      <c r="G65" s="18" t="s">
        <v>1185</v>
      </c>
      <c r="H65" s="18" t="s">
        <v>859</v>
      </c>
      <c r="I65" s="161"/>
      <c r="J65" s="18" t="s">
        <v>867</v>
      </c>
      <c r="K65" s="18" t="s">
        <v>1135</v>
      </c>
      <c r="L65" s="153">
        <v>133</v>
      </c>
      <c r="M65" s="153">
        <v>1</v>
      </c>
      <c r="N65" s="153">
        <v>1</v>
      </c>
      <c r="O65" s="153">
        <v>0</v>
      </c>
      <c r="P65" s="153">
        <v>0</v>
      </c>
      <c r="Q65" s="153"/>
      <c r="R65" s="154">
        <f t="shared" si="29"/>
        <v>7.5187969924812026E-3</v>
      </c>
      <c r="S65" s="154">
        <f t="shared" si="30"/>
        <v>1</v>
      </c>
      <c r="U65" s="153">
        <v>990</v>
      </c>
      <c r="V65" s="153">
        <v>8</v>
      </c>
      <c r="W65" s="153">
        <v>1</v>
      </c>
    </row>
    <row r="66" spans="1:23" s="147" customFormat="1" ht="16.8">
      <c r="A66" s="6">
        <v>46145</v>
      </c>
      <c r="B66" s="50" t="s">
        <v>33</v>
      </c>
      <c r="C66" s="142" t="s">
        <v>486</v>
      </c>
      <c r="D66" s="162">
        <v>0.89583333333333337</v>
      </c>
      <c r="E66" s="65" t="s">
        <v>1269</v>
      </c>
      <c r="F66" s="100" t="s">
        <v>858</v>
      </c>
      <c r="G66" s="100" t="s">
        <v>926</v>
      </c>
      <c r="H66" s="100" t="s">
        <v>859</v>
      </c>
      <c r="I66" s="163"/>
      <c r="J66" s="100" t="s">
        <v>830</v>
      </c>
      <c r="K66" s="52" t="s">
        <v>157</v>
      </c>
      <c r="L66" s="155">
        <v>2343</v>
      </c>
      <c r="M66" s="155">
        <v>10</v>
      </c>
      <c r="N66" s="155">
        <v>5</v>
      </c>
      <c r="O66" s="155">
        <v>0</v>
      </c>
      <c r="P66" s="155">
        <v>1</v>
      </c>
      <c r="Q66" s="155"/>
      <c r="R66" s="154">
        <f t="shared" si="25"/>
        <v>4.268032437046522E-3</v>
      </c>
      <c r="S66" s="154">
        <f t="shared" si="26"/>
        <v>0.5</v>
      </c>
      <c r="U66" s="153">
        <v>133</v>
      </c>
      <c r="V66" s="153">
        <v>1</v>
      </c>
      <c r="W66" s="153">
        <v>1</v>
      </c>
    </row>
    <row r="67" spans="1:23" s="147" customFormat="1">
      <c r="A67" s="6">
        <v>46145</v>
      </c>
      <c r="B67" s="50" t="s">
        <v>33</v>
      </c>
      <c r="C67" s="142" t="s">
        <v>486</v>
      </c>
      <c r="D67" s="162">
        <v>0.875</v>
      </c>
      <c r="E67" s="65" t="s">
        <v>1270</v>
      </c>
      <c r="F67" s="100" t="s">
        <v>858</v>
      </c>
      <c r="G67" s="100" t="s">
        <v>928</v>
      </c>
      <c r="H67" s="100" t="s">
        <v>859</v>
      </c>
      <c r="I67" s="163"/>
      <c r="J67" s="100" t="s">
        <v>830</v>
      </c>
      <c r="K67" s="143" t="s">
        <v>149</v>
      </c>
      <c r="L67" s="155">
        <v>1280</v>
      </c>
      <c r="M67" s="155">
        <v>45</v>
      </c>
      <c r="N67" s="155">
        <v>5</v>
      </c>
      <c r="O67" s="155">
        <v>1</v>
      </c>
      <c r="P67" s="155">
        <v>1</v>
      </c>
      <c r="Q67" s="155"/>
      <c r="R67" s="154">
        <f t="shared" si="25"/>
        <v>3.515625E-2</v>
      </c>
      <c r="S67" s="154">
        <f t="shared" si="26"/>
        <v>0.1111111111111111</v>
      </c>
      <c r="U67" s="7">
        <v>1798</v>
      </c>
      <c r="V67" s="7">
        <v>509</v>
      </c>
      <c r="W67" s="7">
        <v>314</v>
      </c>
    </row>
    <row r="68" spans="1:23" ht="16.8">
      <c r="A68" s="6">
        <v>46145</v>
      </c>
      <c r="B68" s="50" t="s">
        <v>33</v>
      </c>
      <c r="C68" s="142" t="s">
        <v>487</v>
      </c>
      <c r="D68" s="162">
        <v>0.90625</v>
      </c>
      <c r="E68" s="100" t="s">
        <v>1271</v>
      </c>
      <c r="F68" s="100" t="s">
        <v>858</v>
      </c>
      <c r="G68" s="100" t="s">
        <v>926</v>
      </c>
      <c r="H68" s="100" t="s">
        <v>859</v>
      </c>
      <c r="I68" s="163"/>
      <c r="J68" s="100" t="s">
        <v>830</v>
      </c>
      <c r="K68" s="52" t="s">
        <v>210</v>
      </c>
      <c r="L68" s="7">
        <v>1798</v>
      </c>
      <c r="M68" s="7">
        <v>509</v>
      </c>
      <c r="N68" s="7">
        <v>314</v>
      </c>
      <c r="O68" s="7">
        <v>0</v>
      </c>
      <c r="P68" s="7">
        <v>0</v>
      </c>
      <c r="Q68" s="7"/>
      <c r="R68" s="154">
        <f t="shared" si="25"/>
        <v>0.28309232480533925</v>
      </c>
      <c r="S68" s="154">
        <f t="shared" si="26"/>
        <v>0.61689587426326131</v>
      </c>
      <c r="U68" s="7">
        <v>1071</v>
      </c>
      <c r="V68" s="7">
        <v>506</v>
      </c>
      <c r="W68" s="7">
        <v>332</v>
      </c>
    </row>
    <row r="69" spans="1:23">
      <c r="A69" s="6">
        <v>46145</v>
      </c>
      <c r="B69" s="50" t="s">
        <v>33</v>
      </c>
      <c r="C69" s="142" t="s">
        <v>487</v>
      </c>
      <c r="D69" s="162">
        <v>0.89583333333333337</v>
      </c>
      <c r="E69" s="100" t="s">
        <v>1272</v>
      </c>
      <c r="F69" s="100" t="s">
        <v>858</v>
      </c>
      <c r="G69" s="100" t="s">
        <v>928</v>
      </c>
      <c r="H69" s="100" t="s">
        <v>859</v>
      </c>
      <c r="I69" s="163"/>
      <c r="J69" s="100" t="s">
        <v>830</v>
      </c>
      <c r="K69" s="7" t="s">
        <v>121</v>
      </c>
      <c r="L69" s="7">
        <v>1071</v>
      </c>
      <c r="M69" s="7">
        <v>506</v>
      </c>
      <c r="N69" s="7">
        <v>332</v>
      </c>
      <c r="O69" s="7">
        <v>0</v>
      </c>
      <c r="P69" s="7">
        <v>0</v>
      </c>
      <c r="Q69" s="7"/>
      <c r="R69" s="154">
        <f t="shared" si="25"/>
        <v>0.47245564892623715</v>
      </c>
      <c r="S69" s="154">
        <f t="shared" si="26"/>
        <v>0.65612648221343872</v>
      </c>
      <c r="U69">
        <f>SUM(U65:U68)</f>
        <v>3992</v>
      </c>
      <c r="V69">
        <f>SUM(V65:V68)</f>
        <v>1024</v>
      </c>
      <c r="W69">
        <f>SUM(W65:W68)</f>
        <v>648</v>
      </c>
    </row>
    <row r="70" spans="1:23" ht="7.8" customHeight="1">
      <c r="A70" s="8"/>
      <c r="B70" s="9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58"/>
    </row>
    <row r="71" spans="1:23">
      <c r="A71" s="6">
        <v>46146</v>
      </c>
      <c r="B71" s="50" t="s">
        <v>36</v>
      </c>
      <c r="C71" s="142" t="s">
        <v>486</v>
      </c>
      <c r="D71" s="142"/>
      <c r="E71" s="65" t="s">
        <v>1262</v>
      </c>
      <c r="F71" s="100" t="s">
        <v>858</v>
      </c>
      <c r="G71" s="100" t="s">
        <v>861</v>
      </c>
      <c r="H71" s="100" t="s">
        <v>859</v>
      </c>
      <c r="I71" s="142">
        <v>3000</v>
      </c>
      <c r="J71" s="100" t="s">
        <v>830</v>
      </c>
      <c r="K71" s="143" t="s">
        <v>686</v>
      </c>
      <c r="L71" s="153"/>
      <c r="M71" s="153"/>
      <c r="N71" s="153"/>
      <c r="O71" s="153"/>
      <c r="P71" s="153"/>
      <c r="Q71" s="153"/>
      <c r="R71" s="154" t="e">
        <f t="shared" ref="R71:R85" si="31">M71/L71</f>
        <v>#DIV/0!</v>
      </c>
      <c r="S71" s="154" t="e">
        <f t="shared" ref="S71:S85" si="32">N71/M71</f>
        <v>#DIV/0!</v>
      </c>
    </row>
    <row r="72" spans="1:23">
      <c r="A72" s="6">
        <v>46146</v>
      </c>
      <c r="B72" s="50" t="s">
        <v>36</v>
      </c>
      <c r="C72" s="142" t="s">
        <v>486</v>
      </c>
      <c r="D72" s="142"/>
      <c r="E72" s="65" t="s">
        <v>1263</v>
      </c>
      <c r="F72" s="100" t="s">
        <v>858</v>
      </c>
      <c r="G72" s="100" t="s">
        <v>861</v>
      </c>
      <c r="H72" s="100" t="s">
        <v>859</v>
      </c>
      <c r="I72" s="142">
        <v>3000</v>
      </c>
      <c r="J72" s="100" t="s">
        <v>830</v>
      </c>
      <c r="K72" s="143" t="s">
        <v>686</v>
      </c>
      <c r="L72" s="153"/>
      <c r="M72" s="153"/>
      <c r="N72" s="153"/>
      <c r="O72" s="153"/>
      <c r="P72" s="153"/>
      <c r="Q72" s="153"/>
      <c r="R72" s="154" t="e">
        <f t="shared" si="31"/>
        <v>#DIV/0!</v>
      </c>
      <c r="S72" s="154" t="e">
        <f t="shared" si="32"/>
        <v>#DIV/0!</v>
      </c>
    </row>
    <row r="73" spans="1:23">
      <c r="A73" s="6">
        <v>46146</v>
      </c>
      <c r="B73" s="50" t="s">
        <v>36</v>
      </c>
      <c r="C73" s="142" t="s">
        <v>487</v>
      </c>
      <c r="D73" s="142"/>
      <c r="E73" s="65" t="s">
        <v>1264</v>
      </c>
      <c r="F73" s="100" t="s">
        <v>858</v>
      </c>
      <c r="G73" s="100" t="s">
        <v>861</v>
      </c>
      <c r="H73" s="100" t="s">
        <v>859</v>
      </c>
      <c r="I73" s="142">
        <v>500</v>
      </c>
      <c r="J73" s="100" t="s">
        <v>830</v>
      </c>
      <c r="K73" s="143" t="s">
        <v>920</v>
      </c>
      <c r="L73" s="153"/>
      <c r="M73" s="153"/>
      <c r="N73" s="153"/>
      <c r="O73" s="153"/>
      <c r="P73" s="153"/>
      <c r="Q73" s="153"/>
      <c r="R73" s="154" t="e">
        <f t="shared" si="31"/>
        <v>#DIV/0!</v>
      </c>
      <c r="S73" s="154" t="e">
        <f t="shared" si="32"/>
        <v>#DIV/0!</v>
      </c>
      <c r="U73" s="153">
        <v>465</v>
      </c>
      <c r="V73" s="153">
        <v>8</v>
      </c>
      <c r="W73" s="153">
        <v>4</v>
      </c>
    </row>
    <row r="74" spans="1:23">
      <c r="A74" s="6">
        <v>46146</v>
      </c>
      <c r="B74" s="50" t="s">
        <v>36</v>
      </c>
      <c r="C74" s="142" t="s">
        <v>487</v>
      </c>
      <c r="D74" s="142"/>
      <c r="E74" s="65" t="s">
        <v>1265</v>
      </c>
      <c r="F74" s="100" t="s">
        <v>858</v>
      </c>
      <c r="G74" s="100" t="s">
        <v>861</v>
      </c>
      <c r="H74" s="100" t="s">
        <v>859</v>
      </c>
      <c r="I74" s="142">
        <v>500</v>
      </c>
      <c r="J74" s="100" t="s">
        <v>830</v>
      </c>
      <c r="K74" s="143" t="s">
        <v>920</v>
      </c>
      <c r="L74" s="153"/>
      <c r="M74" s="153"/>
      <c r="N74" s="153"/>
      <c r="O74" s="153"/>
      <c r="P74" s="153"/>
      <c r="Q74" s="153"/>
      <c r="R74" s="154" t="e">
        <f t="shared" si="31"/>
        <v>#DIV/0!</v>
      </c>
      <c r="S74" s="154" t="e">
        <f t="shared" si="32"/>
        <v>#DIV/0!</v>
      </c>
      <c r="U74" s="153">
        <v>775</v>
      </c>
      <c r="V74" s="153">
        <v>34</v>
      </c>
      <c r="W74" s="153">
        <v>10</v>
      </c>
    </row>
    <row r="75" spans="1:23">
      <c r="A75" s="6">
        <v>46146</v>
      </c>
      <c r="B75" s="50" t="s">
        <v>36</v>
      </c>
      <c r="C75" s="142" t="s">
        <v>487</v>
      </c>
      <c r="D75" s="142"/>
      <c r="E75" s="65" t="s">
        <v>1266</v>
      </c>
      <c r="F75" s="100" t="s">
        <v>858</v>
      </c>
      <c r="G75" s="100" t="s">
        <v>861</v>
      </c>
      <c r="H75" s="100" t="s">
        <v>859</v>
      </c>
      <c r="I75" s="142">
        <v>500</v>
      </c>
      <c r="J75" s="100" t="s">
        <v>830</v>
      </c>
      <c r="K75" s="143" t="s">
        <v>920</v>
      </c>
      <c r="L75" s="153"/>
      <c r="M75" s="153"/>
      <c r="N75" s="153"/>
      <c r="O75" s="153"/>
      <c r="P75" s="153"/>
      <c r="Q75" s="153"/>
      <c r="R75" s="154" t="e">
        <f t="shared" si="31"/>
        <v>#DIV/0!</v>
      </c>
      <c r="S75" s="154" t="e">
        <f t="shared" si="32"/>
        <v>#DIV/0!</v>
      </c>
      <c r="U75" s="155">
        <v>2343</v>
      </c>
      <c r="V75" s="155">
        <v>10</v>
      </c>
      <c r="W75" s="155">
        <v>5</v>
      </c>
    </row>
    <row r="76" spans="1:23">
      <c r="A76" s="6">
        <v>46146</v>
      </c>
      <c r="B76" s="50" t="s">
        <v>36</v>
      </c>
      <c r="C76" s="142" t="s">
        <v>487</v>
      </c>
      <c r="D76" s="142"/>
      <c r="E76" s="65" t="s">
        <v>1267</v>
      </c>
      <c r="F76" s="100" t="s">
        <v>858</v>
      </c>
      <c r="G76" s="100" t="s">
        <v>861</v>
      </c>
      <c r="H76" s="100" t="s">
        <v>859</v>
      </c>
      <c r="I76" s="142">
        <v>500</v>
      </c>
      <c r="J76" s="100" t="s">
        <v>830</v>
      </c>
      <c r="K76" s="143" t="s">
        <v>920</v>
      </c>
      <c r="L76" s="153"/>
      <c r="M76" s="153"/>
      <c r="N76" s="153"/>
      <c r="O76" s="153"/>
      <c r="P76" s="153"/>
      <c r="Q76" s="153"/>
      <c r="R76" s="154" t="e">
        <f t="shared" si="31"/>
        <v>#DIV/0!</v>
      </c>
      <c r="S76" s="154" t="e">
        <f t="shared" si="32"/>
        <v>#DIV/0!</v>
      </c>
      <c r="U76" s="155">
        <v>1280</v>
      </c>
      <c r="V76" s="155">
        <v>45</v>
      </c>
      <c r="W76" s="155">
        <v>5</v>
      </c>
    </row>
    <row r="77" spans="1:23">
      <c r="A77" s="6">
        <v>46146</v>
      </c>
      <c r="B77" s="50" t="s">
        <v>36</v>
      </c>
      <c r="C77" s="142" t="s">
        <v>487</v>
      </c>
      <c r="D77" s="142"/>
      <c r="E77" s="65" t="s">
        <v>1268</v>
      </c>
      <c r="F77" s="100" t="s">
        <v>858</v>
      </c>
      <c r="G77" s="100" t="s">
        <v>861</v>
      </c>
      <c r="H77" s="100" t="s">
        <v>859</v>
      </c>
      <c r="I77" s="142">
        <v>500</v>
      </c>
      <c r="J77" s="100" t="s">
        <v>830</v>
      </c>
      <c r="K77" s="143" t="s">
        <v>920</v>
      </c>
      <c r="L77" s="153"/>
      <c r="M77" s="153"/>
      <c r="N77" s="153"/>
      <c r="O77" s="153"/>
      <c r="P77" s="153"/>
      <c r="Q77" s="153"/>
      <c r="R77" s="154" t="e">
        <f t="shared" si="31"/>
        <v>#DIV/0!</v>
      </c>
      <c r="S77" s="154" t="e">
        <f t="shared" si="32"/>
        <v>#DIV/0!</v>
      </c>
      <c r="U77">
        <f>SUM(U73:U76)</f>
        <v>4863</v>
      </c>
      <c r="V77">
        <f>SUM(V73:V76)</f>
        <v>97</v>
      </c>
      <c r="W77">
        <f>SUM(W73:W76)</f>
        <v>24</v>
      </c>
    </row>
    <row r="78" spans="1:23">
      <c r="A78" s="6">
        <v>46146</v>
      </c>
      <c r="B78" s="50" t="s">
        <v>36</v>
      </c>
      <c r="C78" s="142" t="s">
        <v>486</v>
      </c>
      <c r="D78" s="142" t="s">
        <v>923</v>
      </c>
      <c r="E78" s="160" t="s">
        <v>921</v>
      </c>
      <c r="F78" s="18" t="s">
        <v>858</v>
      </c>
      <c r="G78" s="18" t="s">
        <v>924</v>
      </c>
      <c r="H78" s="18" t="s">
        <v>859</v>
      </c>
      <c r="I78" s="161"/>
      <c r="J78" s="18" t="s">
        <v>867</v>
      </c>
      <c r="K78" s="157" t="s">
        <v>106</v>
      </c>
      <c r="L78" s="153"/>
      <c r="M78" s="153"/>
      <c r="N78" s="153"/>
      <c r="O78" s="153"/>
      <c r="P78" s="153"/>
      <c r="Q78" s="153"/>
      <c r="R78" s="154" t="e">
        <f t="shared" si="31"/>
        <v>#DIV/0!</v>
      </c>
      <c r="S78" s="154" t="e">
        <f t="shared" si="32"/>
        <v>#DIV/0!</v>
      </c>
    </row>
    <row r="79" spans="1:23">
      <c r="A79" s="6">
        <v>46146</v>
      </c>
      <c r="B79" s="50" t="s">
        <v>36</v>
      </c>
      <c r="C79" s="142" t="s">
        <v>487</v>
      </c>
      <c r="D79" s="142" t="s">
        <v>923</v>
      </c>
      <c r="E79" s="160" t="s">
        <v>922</v>
      </c>
      <c r="F79" s="18" t="s">
        <v>858</v>
      </c>
      <c r="G79" s="18" t="s">
        <v>924</v>
      </c>
      <c r="H79" s="18" t="s">
        <v>859</v>
      </c>
      <c r="I79" s="161"/>
      <c r="J79" s="18" t="s">
        <v>867</v>
      </c>
      <c r="K79" s="18" t="s">
        <v>186</v>
      </c>
      <c r="L79" s="153"/>
      <c r="M79" s="153"/>
      <c r="N79" s="153"/>
      <c r="O79" s="153"/>
      <c r="P79" s="153"/>
      <c r="Q79" s="153"/>
      <c r="R79" s="154" t="e">
        <f t="shared" si="31"/>
        <v>#DIV/0!</v>
      </c>
      <c r="S79" s="154" t="e">
        <f t="shared" si="32"/>
        <v>#DIV/0!</v>
      </c>
    </row>
    <row r="80" spans="1:23">
      <c r="A80" s="6">
        <v>46146</v>
      </c>
      <c r="B80" s="50" t="s">
        <v>36</v>
      </c>
      <c r="C80" s="142" t="s">
        <v>486</v>
      </c>
      <c r="D80" s="142" t="s">
        <v>1183</v>
      </c>
      <c r="E80" s="160" t="s">
        <v>1184</v>
      </c>
      <c r="F80" s="18" t="s">
        <v>858</v>
      </c>
      <c r="G80" s="18" t="s">
        <v>1185</v>
      </c>
      <c r="H80" s="18" t="s">
        <v>859</v>
      </c>
      <c r="I80" s="161"/>
      <c r="J80" s="18" t="s">
        <v>867</v>
      </c>
      <c r="K80" s="18" t="s">
        <v>1134</v>
      </c>
      <c r="L80" s="153"/>
      <c r="M80" s="153"/>
      <c r="N80" s="153"/>
      <c r="O80" s="153"/>
      <c r="P80" s="153"/>
      <c r="Q80" s="153"/>
      <c r="R80" s="154" t="e">
        <f t="shared" si="31"/>
        <v>#DIV/0!</v>
      </c>
      <c r="S80" s="154" t="e">
        <f t="shared" si="32"/>
        <v>#DIV/0!</v>
      </c>
    </row>
    <row r="81" spans="1:23">
      <c r="A81" s="6">
        <v>46146</v>
      </c>
      <c r="B81" s="50" t="s">
        <v>36</v>
      </c>
      <c r="C81" s="142" t="s">
        <v>487</v>
      </c>
      <c r="D81" s="142" t="s">
        <v>1183</v>
      </c>
      <c r="E81" s="160" t="s">
        <v>1186</v>
      </c>
      <c r="F81" s="18" t="s">
        <v>858</v>
      </c>
      <c r="G81" s="18" t="s">
        <v>1185</v>
      </c>
      <c r="H81" s="18" t="s">
        <v>859</v>
      </c>
      <c r="I81" s="161"/>
      <c r="J81" s="18" t="s">
        <v>867</v>
      </c>
      <c r="K81" s="18" t="s">
        <v>1135</v>
      </c>
      <c r="L81" s="153"/>
      <c r="M81" s="153"/>
      <c r="N81" s="153"/>
      <c r="O81" s="153"/>
      <c r="P81" s="153"/>
      <c r="Q81" s="153"/>
      <c r="R81" s="154" t="e">
        <f t="shared" si="31"/>
        <v>#DIV/0!</v>
      </c>
      <c r="S81" s="154" t="e">
        <f t="shared" si="32"/>
        <v>#DIV/0!</v>
      </c>
      <c r="U81" s="153">
        <v>990</v>
      </c>
      <c r="V81" s="153">
        <v>8</v>
      </c>
      <c r="W81" s="153">
        <v>1</v>
      </c>
    </row>
    <row r="82" spans="1:23" s="147" customFormat="1" ht="16.8">
      <c r="A82" s="6">
        <v>46146</v>
      </c>
      <c r="B82" s="50" t="s">
        <v>36</v>
      </c>
      <c r="C82" s="142" t="s">
        <v>486</v>
      </c>
      <c r="D82" s="162">
        <v>0.89583333333333337</v>
      </c>
      <c r="E82" s="65"/>
      <c r="F82" s="100"/>
      <c r="G82" s="100"/>
      <c r="H82" s="100" t="s">
        <v>859</v>
      </c>
      <c r="I82" s="186" t="s">
        <v>228</v>
      </c>
      <c r="J82" s="100" t="s">
        <v>830</v>
      </c>
      <c r="K82" s="52" t="s">
        <v>157</v>
      </c>
      <c r="L82" s="155"/>
      <c r="M82" s="155"/>
      <c r="N82" s="155"/>
      <c r="O82" s="155"/>
      <c r="P82" s="155"/>
      <c r="Q82" s="155"/>
      <c r="R82" s="154" t="e">
        <f t="shared" si="31"/>
        <v>#DIV/0!</v>
      </c>
      <c r="S82" s="154" t="e">
        <f t="shared" si="32"/>
        <v>#DIV/0!</v>
      </c>
      <c r="U82" s="153">
        <v>133</v>
      </c>
      <c r="V82" s="153">
        <v>1</v>
      </c>
      <c r="W82" s="153">
        <v>1</v>
      </c>
    </row>
    <row r="83" spans="1:23" s="147" customFormat="1">
      <c r="A83" s="6">
        <v>46146</v>
      </c>
      <c r="B83" s="50" t="s">
        <v>36</v>
      </c>
      <c r="C83" s="142" t="s">
        <v>486</v>
      </c>
      <c r="D83" s="162">
        <v>0.875</v>
      </c>
      <c r="E83" s="65"/>
      <c r="F83" s="100"/>
      <c r="G83" s="100"/>
      <c r="H83" s="100" t="s">
        <v>859</v>
      </c>
      <c r="I83" s="186" t="s">
        <v>228</v>
      </c>
      <c r="J83" s="100" t="s">
        <v>830</v>
      </c>
      <c r="K83" s="143" t="s">
        <v>149</v>
      </c>
      <c r="L83" s="155"/>
      <c r="M83" s="155"/>
      <c r="N83" s="155"/>
      <c r="O83" s="155"/>
      <c r="P83" s="155"/>
      <c r="Q83" s="155"/>
      <c r="R83" s="154" t="e">
        <f t="shared" si="31"/>
        <v>#DIV/0!</v>
      </c>
      <c r="S83" s="154" t="e">
        <f t="shared" si="32"/>
        <v>#DIV/0!</v>
      </c>
      <c r="U83" s="7">
        <v>1798</v>
      </c>
      <c r="V83" s="7">
        <v>509</v>
      </c>
      <c r="W83" s="7">
        <v>314</v>
      </c>
    </row>
    <row r="84" spans="1:23" ht="16.8">
      <c r="A84" s="6">
        <v>46146</v>
      </c>
      <c r="B84" s="50" t="s">
        <v>36</v>
      </c>
      <c r="C84" s="142" t="s">
        <v>487</v>
      </c>
      <c r="D84" s="162">
        <v>0.90625</v>
      </c>
      <c r="E84" s="100"/>
      <c r="F84" s="100"/>
      <c r="G84" s="100"/>
      <c r="H84" s="100" t="s">
        <v>859</v>
      </c>
      <c r="I84" s="186" t="s">
        <v>228</v>
      </c>
      <c r="J84" s="100" t="s">
        <v>830</v>
      </c>
      <c r="K84" s="52" t="s">
        <v>210</v>
      </c>
      <c r="L84" s="7"/>
      <c r="M84" s="7"/>
      <c r="N84" s="7"/>
      <c r="O84" s="7"/>
      <c r="P84" s="7"/>
      <c r="Q84" s="7"/>
      <c r="R84" s="154" t="e">
        <f t="shared" si="31"/>
        <v>#DIV/0!</v>
      </c>
      <c r="S84" s="154" t="e">
        <f t="shared" si="32"/>
        <v>#DIV/0!</v>
      </c>
      <c r="U84" s="7">
        <v>1071</v>
      </c>
      <c r="V84" s="7">
        <v>506</v>
      </c>
      <c r="W84" s="7">
        <v>332</v>
      </c>
    </row>
    <row r="85" spans="1:23">
      <c r="A85" s="6">
        <v>46146</v>
      </c>
      <c r="B85" s="50" t="s">
        <v>36</v>
      </c>
      <c r="C85" s="142" t="s">
        <v>487</v>
      </c>
      <c r="D85" s="162">
        <v>0.89583333333333337</v>
      </c>
      <c r="E85" s="100"/>
      <c r="F85" s="100"/>
      <c r="G85" s="100"/>
      <c r="H85" s="100" t="s">
        <v>859</v>
      </c>
      <c r="I85" s="186" t="s">
        <v>228</v>
      </c>
      <c r="J85" s="100" t="s">
        <v>830</v>
      </c>
      <c r="K85" s="7" t="s">
        <v>121</v>
      </c>
      <c r="L85" s="7"/>
      <c r="M85" s="7"/>
      <c r="N85" s="7"/>
      <c r="O85" s="7"/>
      <c r="P85" s="7"/>
      <c r="Q85" s="7"/>
      <c r="R85" s="154" t="e">
        <f t="shared" si="31"/>
        <v>#DIV/0!</v>
      </c>
      <c r="S85" s="154" t="e">
        <f t="shared" si="32"/>
        <v>#DIV/0!</v>
      </c>
      <c r="U85">
        <f>SUM(U81:U84)</f>
        <v>3992</v>
      </c>
      <c r="V85">
        <f>SUM(V81:V84)</f>
        <v>1024</v>
      </c>
      <c r="W85">
        <f>SUM(W81:W84)</f>
        <v>648</v>
      </c>
    </row>
    <row r="86" spans="1:23" ht="7.8" customHeight="1">
      <c r="A86" s="8"/>
      <c r="B86" s="9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58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B1847-5127-4B93-8EAF-8C437328E939}">
  <dimension ref="A1:AC362"/>
  <sheetViews>
    <sheetView workbookViewId="0">
      <pane ySplit="1" topLeftCell="A347" activePane="bottomLeft" state="frozen"/>
      <selection pane="bottomLeft" activeCell="D366" sqref="D366"/>
    </sheetView>
  </sheetViews>
  <sheetFormatPr defaultRowHeight="14.4"/>
  <cols>
    <col min="1" max="1" width="10.33203125" bestFit="1" customWidth="1"/>
    <col min="2" max="2" width="10.44140625" bestFit="1" customWidth="1"/>
    <col min="3" max="3" width="8.6640625" bestFit="1" customWidth="1"/>
    <col min="4" max="4" width="47.44140625" bestFit="1" customWidth="1"/>
    <col min="5" max="5" width="13.88671875" bestFit="1" customWidth="1"/>
    <col min="6" max="6" width="72" bestFit="1" customWidth="1"/>
    <col min="7" max="7" width="3.88671875" bestFit="1" customWidth="1"/>
    <col min="8" max="8" width="27.77734375" bestFit="1" customWidth="1"/>
    <col min="9" max="9" width="36.21875" bestFit="1" customWidth="1"/>
    <col min="10" max="10" width="12.88671875" bestFit="1" customWidth="1"/>
    <col min="11" max="11" width="22.88671875" bestFit="1" customWidth="1"/>
    <col min="12" max="12" width="6" bestFit="1" customWidth="1"/>
    <col min="13" max="14" width="5.33203125" bestFit="1" customWidth="1"/>
    <col min="15" max="15" width="6" bestFit="1" customWidth="1"/>
    <col min="16" max="16" width="7.6640625" bestFit="1" customWidth="1"/>
    <col min="17" max="18" width="8" bestFit="1" customWidth="1"/>
    <col min="19" max="19" width="4.88671875" bestFit="1" customWidth="1"/>
    <col min="20" max="20" width="7.6640625" bestFit="1" customWidth="1"/>
    <col min="21" max="21" width="8" bestFit="1" customWidth="1"/>
    <col min="22" max="22" width="3.88671875" bestFit="1" customWidth="1"/>
    <col min="23" max="23" width="5.5546875" bestFit="1" customWidth="1"/>
  </cols>
  <sheetData>
    <row r="1" spans="1:23" ht="17.399999999999999" customHeight="1">
      <c r="A1" s="1" t="s">
        <v>0</v>
      </c>
      <c r="B1" s="1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11</v>
      </c>
      <c r="K1" s="2" t="s">
        <v>12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3" t="s">
        <v>19</v>
      </c>
      <c r="R1" s="3" t="s">
        <v>20</v>
      </c>
      <c r="S1" s="2" t="s">
        <v>21</v>
      </c>
      <c r="T1" s="2" t="s">
        <v>22</v>
      </c>
      <c r="U1" s="2" t="s">
        <v>23</v>
      </c>
      <c r="V1" s="3" t="s">
        <v>24</v>
      </c>
      <c r="W1" s="3" t="s">
        <v>25</v>
      </c>
    </row>
    <row r="2" spans="1:23">
      <c r="A2" s="4">
        <v>46124</v>
      </c>
      <c r="B2" t="s">
        <v>33</v>
      </c>
      <c r="I2" s="5" t="s">
        <v>67</v>
      </c>
      <c r="J2" t="s">
        <v>34</v>
      </c>
      <c r="L2">
        <v>1500</v>
      </c>
    </row>
    <row r="3" spans="1:23">
      <c r="A3" s="4">
        <v>46124</v>
      </c>
      <c r="B3" t="s">
        <v>33</v>
      </c>
      <c r="I3" s="5" t="s">
        <v>64</v>
      </c>
      <c r="J3" t="s">
        <v>34</v>
      </c>
      <c r="L3">
        <v>500</v>
      </c>
    </row>
    <row r="4" spans="1:23">
      <c r="A4" s="4">
        <v>46124</v>
      </c>
      <c r="B4" t="s">
        <v>33</v>
      </c>
      <c r="I4" s="5" t="s">
        <v>65</v>
      </c>
      <c r="J4" t="s">
        <v>34</v>
      </c>
      <c r="L4">
        <v>130</v>
      </c>
    </row>
    <row r="5" spans="1:23">
      <c r="A5" s="4">
        <v>46124</v>
      </c>
      <c r="B5" t="s">
        <v>33</v>
      </c>
      <c r="I5" s="5" t="s">
        <v>67</v>
      </c>
      <c r="J5" t="s">
        <v>35</v>
      </c>
      <c r="L5">
        <v>1500</v>
      </c>
    </row>
    <row r="6" spans="1:23">
      <c r="A6" s="4">
        <v>46124</v>
      </c>
      <c r="B6" t="s">
        <v>33</v>
      </c>
      <c r="I6" s="5" t="s">
        <v>68</v>
      </c>
      <c r="J6" t="s">
        <v>35</v>
      </c>
      <c r="L6">
        <v>500</v>
      </c>
    </row>
    <row r="7" spans="1:23">
      <c r="A7" s="4">
        <v>46124</v>
      </c>
      <c r="B7" t="s">
        <v>33</v>
      </c>
      <c r="I7" s="5" t="s">
        <v>66</v>
      </c>
      <c r="J7" t="s">
        <v>35</v>
      </c>
      <c r="L7">
        <v>40</v>
      </c>
    </row>
    <row r="9" spans="1:23">
      <c r="A9" s="4">
        <v>46125</v>
      </c>
      <c r="B9" t="s">
        <v>36</v>
      </c>
      <c r="D9" t="s">
        <v>72</v>
      </c>
      <c r="I9" s="5" t="s">
        <v>67</v>
      </c>
      <c r="J9" t="s">
        <v>34</v>
      </c>
      <c r="L9">
        <v>1500</v>
      </c>
      <c r="M9">
        <v>1166</v>
      </c>
      <c r="N9">
        <v>1073</v>
      </c>
      <c r="O9">
        <v>0</v>
      </c>
      <c r="P9">
        <v>2</v>
      </c>
    </row>
    <row r="10" spans="1:23">
      <c r="A10" s="4">
        <v>46125</v>
      </c>
      <c r="B10" t="s">
        <v>36</v>
      </c>
      <c r="D10" t="s">
        <v>73</v>
      </c>
      <c r="I10" s="5" t="s">
        <v>64</v>
      </c>
      <c r="J10" t="s">
        <v>34</v>
      </c>
      <c r="L10">
        <v>498</v>
      </c>
      <c r="M10">
        <v>292</v>
      </c>
      <c r="N10">
        <v>224</v>
      </c>
      <c r="O10">
        <v>0</v>
      </c>
      <c r="P10">
        <v>0</v>
      </c>
    </row>
    <row r="11" spans="1:23">
      <c r="A11" s="4">
        <v>46125</v>
      </c>
      <c r="B11" t="s">
        <v>36</v>
      </c>
      <c r="D11" t="s">
        <v>70</v>
      </c>
      <c r="I11" s="5">
        <v>165</v>
      </c>
      <c r="J11" t="s">
        <v>34</v>
      </c>
      <c r="K11" t="s">
        <v>69</v>
      </c>
      <c r="L11">
        <v>139</v>
      </c>
      <c r="M11">
        <v>25</v>
      </c>
      <c r="N11">
        <v>4</v>
      </c>
      <c r="O11">
        <v>2</v>
      </c>
      <c r="P11">
        <v>0</v>
      </c>
    </row>
    <row r="12" spans="1:23">
      <c r="A12" s="4">
        <v>46125</v>
      </c>
      <c r="B12" t="s">
        <v>36</v>
      </c>
      <c r="D12" t="s">
        <v>74</v>
      </c>
      <c r="I12" s="5" t="s">
        <v>67</v>
      </c>
      <c r="J12" t="s">
        <v>35</v>
      </c>
      <c r="L12">
        <v>1499</v>
      </c>
      <c r="M12">
        <v>1413</v>
      </c>
      <c r="N12">
        <v>954</v>
      </c>
      <c r="O12">
        <v>0</v>
      </c>
      <c r="P12">
        <v>1</v>
      </c>
    </row>
    <row r="13" spans="1:23">
      <c r="A13" s="4">
        <v>46125</v>
      </c>
      <c r="B13" t="s">
        <v>36</v>
      </c>
      <c r="D13" t="s">
        <v>75</v>
      </c>
      <c r="I13" s="5" t="s">
        <v>68</v>
      </c>
      <c r="J13" t="s">
        <v>35</v>
      </c>
      <c r="L13">
        <v>500</v>
      </c>
      <c r="M13">
        <v>311</v>
      </c>
      <c r="N13">
        <v>224</v>
      </c>
      <c r="O13">
        <v>0</v>
      </c>
      <c r="P13">
        <v>0</v>
      </c>
    </row>
    <row r="14" spans="1:23">
      <c r="A14" s="4">
        <v>46125</v>
      </c>
      <c r="B14" t="s">
        <v>36</v>
      </c>
      <c r="D14" t="s">
        <v>71</v>
      </c>
      <c r="I14" s="5">
        <v>60</v>
      </c>
      <c r="J14" t="s">
        <v>35</v>
      </c>
      <c r="K14" t="s">
        <v>69</v>
      </c>
      <c r="L14">
        <v>139</v>
      </c>
      <c r="M14">
        <v>40</v>
      </c>
      <c r="N14">
        <v>1</v>
      </c>
      <c r="O14">
        <v>0</v>
      </c>
      <c r="P14">
        <v>0</v>
      </c>
    </row>
    <row r="16" spans="1:23">
      <c r="A16" s="4">
        <v>46126</v>
      </c>
      <c r="B16" t="s">
        <v>78</v>
      </c>
      <c r="C16" s="21"/>
      <c r="D16" s="21" t="s">
        <v>107</v>
      </c>
      <c r="E16" s="21" t="s">
        <v>109</v>
      </c>
      <c r="F16" s="21" t="s">
        <v>110</v>
      </c>
      <c r="G16" s="21"/>
      <c r="H16" s="21"/>
      <c r="I16" s="5"/>
      <c r="J16" s="21" t="s">
        <v>34</v>
      </c>
      <c r="K16" s="21" t="s">
        <v>106</v>
      </c>
      <c r="L16">
        <v>75</v>
      </c>
      <c r="M16">
        <v>2</v>
      </c>
      <c r="N16">
        <v>0</v>
      </c>
      <c r="O16">
        <v>0</v>
      </c>
      <c r="P16">
        <v>0</v>
      </c>
    </row>
    <row r="17" spans="1:23">
      <c r="A17" s="4">
        <v>46126</v>
      </c>
      <c r="B17" t="s">
        <v>78</v>
      </c>
      <c r="D17" t="s">
        <v>111</v>
      </c>
      <c r="I17" s="5" t="s">
        <v>67</v>
      </c>
      <c r="J17" t="s">
        <v>34</v>
      </c>
      <c r="L17">
        <v>1498</v>
      </c>
      <c r="M17">
        <v>1442</v>
      </c>
      <c r="N17">
        <v>1050</v>
      </c>
      <c r="O17">
        <v>0</v>
      </c>
      <c r="P17">
        <v>2</v>
      </c>
    </row>
    <row r="18" spans="1:23">
      <c r="A18" s="4">
        <v>46126</v>
      </c>
      <c r="B18" t="s">
        <v>78</v>
      </c>
      <c r="D18" t="s">
        <v>112</v>
      </c>
      <c r="I18" s="5" t="s">
        <v>64</v>
      </c>
      <c r="J18" t="s">
        <v>34</v>
      </c>
      <c r="L18">
        <v>498</v>
      </c>
      <c r="M18">
        <v>484</v>
      </c>
      <c r="N18">
        <v>352</v>
      </c>
      <c r="O18">
        <v>0</v>
      </c>
      <c r="P18">
        <v>0</v>
      </c>
    </row>
    <row r="19" spans="1:23">
      <c r="A19" s="4">
        <v>46126</v>
      </c>
      <c r="B19" t="s">
        <v>78</v>
      </c>
      <c r="D19" t="s">
        <v>119</v>
      </c>
      <c r="I19" s="5" t="s">
        <v>64</v>
      </c>
      <c r="J19" t="s">
        <v>34</v>
      </c>
      <c r="L19">
        <v>498</v>
      </c>
      <c r="M19">
        <v>486</v>
      </c>
      <c r="N19">
        <v>365</v>
      </c>
      <c r="O19">
        <v>0</v>
      </c>
      <c r="P19">
        <v>0</v>
      </c>
    </row>
    <row r="20" spans="1:23">
      <c r="A20" s="4">
        <v>46126</v>
      </c>
      <c r="B20" t="s">
        <v>78</v>
      </c>
      <c r="D20" t="s">
        <v>117</v>
      </c>
      <c r="I20" s="5"/>
      <c r="J20" t="s">
        <v>34</v>
      </c>
      <c r="K20" t="s">
        <v>69</v>
      </c>
      <c r="L20">
        <v>139</v>
      </c>
      <c r="M20">
        <v>48</v>
      </c>
      <c r="N20">
        <v>9</v>
      </c>
      <c r="O20">
        <v>1</v>
      </c>
      <c r="P20">
        <v>0</v>
      </c>
    </row>
    <row r="21" spans="1:23">
      <c r="A21" s="4">
        <v>46126</v>
      </c>
      <c r="B21" t="s">
        <v>78</v>
      </c>
      <c r="D21" t="s">
        <v>122</v>
      </c>
      <c r="I21" s="5"/>
      <c r="J21" t="s">
        <v>34</v>
      </c>
      <c r="K21" t="s">
        <v>121</v>
      </c>
      <c r="L21">
        <v>48</v>
      </c>
      <c r="M21">
        <v>0</v>
      </c>
      <c r="N21">
        <v>0</v>
      </c>
      <c r="O21">
        <v>0</v>
      </c>
      <c r="P21">
        <v>0</v>
      </c>
    </row>
    <row r="22" spans="1:23" ht="6.6" customHeight="1">
      <c r="A22" s="22"/>
      <c r="B22" s="23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5"/>
      <c r="R22" s="25"/>
      <c r="S22" s="24"/>
      <c r="T22" s="24"/>
      <c r="U22" s="24"/>
      <c r="V22" s="25"/>
      <c r="W22" s="26"/>
    </row>
    <row r="23" spans="1:23">
      <c r="A23" s="6">
        <v>46127</v>
      </c>
      <c r="B23" s="7" t="s">
        <v>124</v>
      </c>
      <c r="C23" s="18"/>
      <c r="D23" s="18" t="s">
        <v>107</v>
      </c>
      <c r="E23" s="18" t="s">
        <v>109</v>
      </c>
      <c r="F23" s="18" t="s">
        <v>110</v>
      </c>
      <c r="G23" s="18"/>
      <c r="H23" s="18"/>
      <c r="I23" s="14"/>
      <c r="J23" s="18" t="s">
        <v>34</v>
      </c>
      <c r="K23" s="18" t="s">
        <v>106</v>
      </c>
      <c r="L23" s="7">
        <v>109</v>
      </c>
      <c r="M23" s="7">
        <v>6</v>
      </c>
      <c r="N23" s="7">
        <v>0</v>
      </c>
      <c r="O23" s="7">
        <v>0</v>
      </c>
      <c r="P23" s="7">
        <v>0</v>
      </c>
      <c r="Q23" s="32">
        <f t="shared" ref="Q23:R38" si="0">M23/L23</f>
        <v>5.5045871559633031E-2</v>
      </c>
      <c r="R23" s="32">
        <f t="shared" si="0"/>
        <v>0</v>
      </c>
      <c r="S23" s="7"/>
      <c r="T23" s="7"/>
      <c r="U23" s="7"/>
      <c r="V23" s="7"/>
      <c r="W23" s="7"/>
    </row>
    <row r="24" spans="1:23">
      <c r="A24" s="6">
        <v>46127</v>
      </c>
      <c r="B24" s="7" t="s">
        <v>124</v>
      </c>
      <c r="C24" s="18"/>
      <c r="D24" s="18" t="s">
        <v>144</v>
      </c>
      <c r="E24" s="18" t="s">
        <v>109</v>
      </c>
      <c r="F24" s="18" t="s">
        <v>145</v>
      </c>
      <c r="G24" s="18"/>
      <c r="H24" s="18"/>
      <c r="I24" s="30" t="s">
        <v>130</v>
      </c>
      <c r="J24" s="18"/>
      <c r="K24" s="18" t="s">
        <v>157</v>
      </c>
      <c r="L24" s="7">
        <v>2</v>
      </c>
      <c r="M24" s="7">
        <v>1</v>
      </c>
      <c r="N24" s="7">
        <v>0</v>
      </c>
      <c r="O24" s="7">
        <v>0</v>
      </c>
      <c r="P24" s="7">
        <v>0</v>
      </c>
      <c r="Q24" s="32">
        <f t="shared" si="0"/>
        <v>0.5</v>
      </c>
      <c r="R24" s="32">
        <f t="shared" si="0"/>
        <v>0</v>
      </c>
      <c r="S24" s="7"/>
      <c r="T24" s="7"/>
      <c r="U24" s="7"/>
      <c r="V24" s="7"/>
      <c r="W24" s="7"/>
    </row>
    <row r="25" spans="1:23">
      <c r="A25" s="6">
        <v>46127</v>
      </c>
      <c r="B25" s="7" t="s">
        <v>124</v>
      </c>
      <c r="C25" s="18"/>
      <c r="D25" s="18" t="s">
        <v>146</v>
      </c>
      <c r="E25" s="18" t="s">
        <v>109</v>
      </c>
      <c r="F25" s="18" t="s">
        <v>147</v>
      </c>
      <c r="G25" s="18"/>
      <c r="H25" s="18"/>
      <c r="I25" s="30" t="s">
        <v>143</v>
      </c>
      <c r="J25" s="18"/>
      <c r="K25" s="18" t="s">
        <v>149</v>
      </c>
      <c r="L25" s="7">
        <v>1</v>
      </c>
      <c r="M25" s="7">
        <v>1</v>
      </c>
      <c r="N25" s="7">
        <v>0</v>
      </c>
      <c r="O25" s="7">
        <v>0</v>
      </c>
      <c r="P25" s="7">
        <v>0</v>
      </c>
      <c r="Q25" s="32">
        <f t="shared" si="0"/>
        <v>1</v>
      </c>
      <c r="R25" s="32">
        <f t="shared" si="0"/>
        <v>0</v>
      </c>
      <c r="S25" s="7"/>
      <c r="T25" s="7"/>
      <c r="U25" s="7"/>
      <c r="V25" s="7"/>
      <c r="W25" s="7"/>
    </row>
    <row r="26" spans="1:23">
      <c r="A26" s="6">
        <v>46127</v>
      </c>
      <c r="B26" s="7" t="s">
        <v>124</v>
      </c>
      <c r="C26" s="7"/>
      <c r="D26" s="31" t="s">
        <v>152</v>
      </c>
      <c r="E26" s="7"/>
      <c r="F26" s="7"/>
      <c r="G26" s="7"/>
      <c r="H26" s="7"/>
      <c r="I26" s="14" t="s">
        <v>67</v>
      </c>
      <c r="J26" s="7" t="s">
        <v>34</v>
      </c>
      <c r="K26" s="7"/>
      <c r="L26" s="7">
        <v>1498</v>
      </c>
      <c r="M26" s="7">
        <v>1440</v>
      </c>
      <c r="N26" s="7">
        <v>1057</v>
      </c>
      <c r="O26" s="7">
        <v>0</v>
      </c>
      <c r="P26" s="7">
        <v>2</v>
      </c>
      <c r="Q26" s="32">
        <f t="shared" si="0"/>
        <v>0.96128170894526033</v>
      </c>
      <c r="R26" s="32">
        <f t="shared" si="0"/>
        <v>0.73402777777777772</v>
      </c>
      <c r="S26" s="7"/>
      <c r="T26" s="7"/>
      <c r="U26" s="7"/>
      <c r="V26" s="7"/>
      <c r="W26" s="7"/>
    </row>
    <row r="27" spans="1:23">
      <c r="A27" s="6">
        <v>46127</v>
      </c>
      <c r="B27" s="7" t="s">
        <v>124</v>
      </c>
      <c r="C27" s="7"/>
      <c r="D27" s="31" t="s">
        <v>153</v>
      </c>
      <c r="E27" s="7"/>
      <c r="F27" s="7"/>
      <c r="G27" s="7"/>
      <c r="H27" s="7"/>
      <c r="I27" s="14" t="s">
        <v>64</v>
      </c>
      <c r="J27" s="7" t="s">
        <v>34</v>
      </c>
      <c r="K27" s="7"/>
      <c r="L27" s="7">
        <v>498</v>
      </c>
      <c r="M27" s="7">
        <v>482</v>
      </c>
      <c r="N27" s="7">
        <v>367</v>
      </c>
      <c r="O27" s="7">
        <v>0</v>
      </c>
      <c r="P27" s="7">
        <v>0</v>
      </c>
      <c r="Q27" s="32">
        <f t="shared" si="0"/>
        <v>0.96787148594377514</v>
      </c>
      <c r="R27" s="32">
        <f t="shared" si="0"/>
        <v>0.7614107883817427</v>
      </c>
      <c r="S27" s="7"/>
      <c r="T27" s="7"/>
      <c r="U27" s="7"/>
      <c r="V27" s="7"/>
      <c r="W27" s="7"/>
    </row>
    <row r="28" spans="1:23">
      <c r="A28" s="6">
        <v>46127</v>
      </c>
      <c r="B28" s="7" t="s">
        <v>124</v>
      </c>
      <c r="C28" s="7"/>
      <c r="D28" s="31" t="s">
        <v>154</v>
      </c>
      <c r="E28" s="7"/>
      <c r="F28" s="7"/>
      <c r="G28" s="7"/>
      <c r="H28" s="7"/>
      <c r="I28" s="14" t="s">
        <v>64</v>
      </c>
      <c r="J28" s="7" t="s">
        <v>34</v>
      </c>
      <c r="K28" s="7"/>
      <c r="L28" s="7">
        <v>498</v>
      </c>
      <c r="M28" s="7">
        <v>485</v>
      </c>
      <c r="N28" s="7">
        <v>350</v>
      </c>
      <c r="O28" s="7">
        <v>0</v>
      </c>
      <c r="P28" s="7">
        <v>0</v>
      </c>
      <c r="Q28" s="32">
        <f t="shared" si="0"/>
        <v>0.97389558232931728</v>
      </c>
      <c r="R28" s="32">
        <f t="shared" si="0"/>
        <v>0.72164948453608246</v>
      </c>
      <c r="S28" s="7"/>
      <c r="T28" s="7"/>
      <c r="U28" s="7"/>
      <c r="V28" s="7"/>
      <c r="W28" s="7"/>
    </row>
    <row r="29" spans="1:23">
      <c r="A29" s="6">
        <v>46127</v>
      </c>
      <c r="B29" s="7" t="s">
        <v>124</v>
      </c>
      <c r="C29" s="7"/>
      <c r="D29" s="7" t="s">
        <v>148</v>
      </c>
      <c r="E29" s="7" t="s">
        <v>109</v>
      </c>
      <c r="F29" s="7" t="s">
        <v>150</v>
      </c>
      <c r="G29" s="7" t="s">
        <v>85</v>
      </c>
      <c r="H29" s="7" t="s">
        <v>149</v>
      </c>
      <c r="I29" s="14"/>
      <c r="J29" s="7" t="s">
        <v>34</v>
      </c>
      <c r="K29" s="7" t="s">
        <v>149</v>
      </c>
      <c r="L29" s="7">
        <v>141</v>
      </c>
      <c r="M29" s="7">
        <v>14</v>
      </c>
      <c r="N29" s="7">
        <v>3</v>
      </c>
      <c r="O29" s="7">
        <v>0</v>
      </c>
      <c r="P29" s="7">
        <v>0</v>
      </c>
      <c r="Q29" s="32">
        <f t="shared" si="0"/>
        <v>9.9290780141843976E-2</v>
      </c>
      <c r="R29" s="32">
        <f t="shared" si="0"/>
        <v>0.21428571428571427</v>
      </c>
      <c r="S29" s="7"/>
      <c r="T29" s="7"/>
      <c r="U29" s="7"/>
      <c r="V29" s="7"/>
      <c r="W29" s="7"/>
    </row>
    <row r="30" spans="1:23">
      <c r="A30" s="6">
        <v>46127</v>
      </c>
      <c r="B30" s="7" t="s">
        <v>124</v>
      </c>
      <c r="C30" s="7"/>
      <c r="D30" s="7" t="s">
        <v>151</v>
      </c>
      <c r="E30" s="7" t="s">
        <v>109</v>
      </c>
      <c r="F30" s="7" t="s">
        <v>150</v>
      </c>
      <c r="G30" s="7" t="s">
        <v>85</v>
      </c>
      <c r="H30" s="7" t="s">
        <v>121</v>
      </c>
      <c r="I30" s="14"/>
      <c r="J30" s="7" t="s">
        <v>34</v>
      </c>
      <c r="K30" s="7" t="s">
        <v>121</v>
      </c>
      <c r="L30" s="7">
        <v>89</v>
      </c>
      <c r="M30" s="7">
        <v>2</v>
      </c>
      <c r="N30" s="7">
        <v>1</v>
      </c>
      <c r="O30" s="7">
        <v>0</v>
      </c>
      <c r="P30" s="7">
        <v>0</v>
      </c>
      <c r="Q30" s="32">
        <f t="shared" si="0"/>
        <v>2.247191011235955E-2</v>
      </c>
      <c r="R30" s="32">
        <f t="shared" si="0"/>
        <v>0.5</v>
      </c>
      <c r="S30" s="7"/>
      <c r="T30" s="7"/>
      <c r="U30" s="7"/>
      <c r="V30" s="7"/>
      <c r="W30" s="7"/>
    </row>
    <row r="31" spans="1:23">
      <c r="A31" s="6">
        <v>46127</v>
      </c>
      <c r="B31" s="7" t="s">
        <v>124</v>
      </c>
      <c r="C31" s="18"/>
      <c r="D31" s="18" t="s">
        <v>108</v>
      </c>
      <c r="E31" s="18" t="s">
        <v>116</v>
      </c>
      <c r="F31" s="18" t="s">
        <v>115</v>
      </c>
      <c r="G31" s="18"/>
      <c r="H31" s="18"/>
      <c r="I31" s="14"/>
      <c r="J31" s="18" t="s">
        <v>35</v>
      </c>
      <c r="K31" s="18" t="s">
        <v>106</v>
      </c>
      <c r="L31" s="7">
        <v>109</v>
      </c>
      <c r="M31" s="7">
        <v>5</v>
      </c>
      <c r="N31" s="7">
        <v>2</v>
      </c>
      <c r="O31" s="7">
        <v>0</v>
      </c>
      <c r="P31" s="7">
        <v>0</v>
      </c>
      <c r="Q31" s="32">
        <f t="shared" si="0"/>
        <v>4.5871559633027525E-2</v>
      </c>
      <c r="R31" s="32">
        <f t="shared" si="0"/>
        <v>0.4</v>
      </c>
      <c r="S31" s="7"/>
      <c r="T31" s="7"/>
      <c r="U31" s="7"/>
      <c r="V31" s="7"/>
      <c r="W31" s="7"/>
    </row>
    <row r="32" spans="1:23">
      <c r="A32" s="6">
        <v>46127</v>
      </c>
      <c r="B32" s="7" t="s">
        <v>124</v>
      </c>
      <c r="C32" s="18"/>
      <c r="D32" s="18" t="s">
        <v>155</v>
      </c>
      <c r="E32" s="18" t="s">
        <v>116</v>
      </c>
      <c r="F32" s="18" t="s">
        <v>156</v>
      </c>
      <c r="G32" s="18"/>
      <c r="H32" s="18"/>
      <c r="I32" s="30" t="s">
        <v>130</v>
      </c>
      <c r="J32" s="18"/>
      <c r="K32" s="18" t="s">
        <v>157</v>
      </c>
      <c r="L32" s="7">
        <v>2</v>
      </c>
      <c r="M32" s="7">
        <v>0</v>
      </c>
      <c r="N32" s="7">
        <v>0</v>
      </c>
      <c r="O32" s="7">
        <v>0</v>
      </c>
      <c r="P32" s="7">
        <v>0</v>
      </c>
      <c r="Q32" s="32">
        <f t="shared" si="0"/>
        <v>0</v>
      </c>
      <c r="R32" s="32" t="e">
        <f t="shared" si="0"/>
        <v>#DIV/0!</v>
      </c>
      <c r="S32" s="7"/>
      <c r="T32" s="7"/>
      <c r="U32" s="7"/>
      <c r="V32" s="7"/>
      <c r="W32" s="7"/>
    </row>
    <row r="33" spans="1:23">
      <c r="A33" s="6">
        <v>46127</v>
      </c>
      <c r="B33" s="7" t="s">
        <v>124</v>
      </c>
      <c r="C33" s="18"/>
      <c r="D33" s="18" t="s">
        <v>158</v>
      </c>
      <c r="E33" s="18" t="s">
        <v>116</v>
      </c>
      <c r="F33" s="18" t="s">
        <v>159</v>
      </c>
      <c r="G33" s="18"/>
      <c r="H33" s="18"/>
      <c r="I33" s="30" t="s">
        <v>143</v>
      </c>
      <c r="J33" s="18"/>
      <c r="K33" s="18" t="s">
        <v>149</v>
      </c>
      <c r="L33" s="7">
        <v>1</v>
      </c>
      <c r="M33" s="7">
        <v>1</v>
      </c>
      <c r="N33" s="7">
        <v>0</v>
      </c>
      <c r="O33" s="7">
        <v>0</v>
      </c>
      <c r="P33" s="7">
        <v>0</v>
      </c>
      <c r="Q33" s="32">
        <f t="shared" si="0"/>
        <v>1</v>
      </c>
      <c r="R33" s="32">
        <f t="shared" si="0"/>
        <v>0</v>
      </c>
      <c r="S33" s="7"/>
      <c r="T33" s="7"/>
      <c r="U33" s="7"/>
      <c r="V33" s="7"/>
      <c r="W33" s="7"/>
    </row>
    <row r="34" spans="1:23">
      <c r="A34" s="6">
        <v>46127</v>
      </c>
      <c r="B34" s="7" t="s">
        <v>124</v>
      </c>
      <c r="C34" s="7"/>
      <c r="D34" s="31" t="s">
        <v>163</v>
      </c>
      <c r="E34" s="7"/>
      <c r="F34" s="7"/>
      <c r="G34" s="7"/>
      <c r="H34" s="7"/>
      <c r="I34" s="14" t="s">
        <v>67</v>
      </c>
      <c r="J34" s="7" t="s">
        <v>35</v>
      </c>
      <c r="K34" s="7"/>
      <c r="L34" s="7">
        <v>1499</v>
      </c>
      <c r="M34" s="7">
        <v>1430</v>
      </c>
      <c r="N34" s="7">
        <v>985</v>
      </c>
      <c r="O34" s="7">
        <v>0</v>
      </c>
      <c r="P34" s="7">
        <v>0</v>
      </c>
      <c r="Q34" s="32">
        <f t="shared" si="0"/>
        <v>0.95396931287525022</v>
      </c>
      <c r="R34" s="32">
        <f t="shared" si="0"/>
        <v>0.68881118881118886</v>
      </c>
      <c r="S34" s="7"/>
      <c r="T34" s="7"/>
      <c r="U34" s="7"/>
      <c r="V34" s="7"/>
      <c r="W34" s="7"/>
    </row>
    <row r="35" spans="1:23">
      <c r="A35" s="6">
        <v>46127</v>
      </c>
      <c r="B35" s="7" t="s">
        <v>124</v>
      </c>
      <c r="C35" s="7"/>
      <c r="D35" s="31" t="s">
        <v>164</v>
      </c>
      <c r="E35" s="7"/>
      <c r="F35" s="7"/>
      <c r="G35" s="7"/>
      <c r="H35" s="7"/>
      <c r="I35" s="14" t="s">
        <v>68</v>
      </c>
      <c r="J35" s="7" t="s">
        <v>35</v>
      </c>
      <c r="K35" s="7"/>
      <c r="L35" s="7">
        <v>500</v>
      </c>
      <c r="M35" s="7">
        <v>487</v>
      </c>
      <c r="N35" s="7">
        <v>329</v>
      </c>
      <c r="O35" s="7">
        <v>0</v>
      </c>
      <c r="P35" s="7">
        <v>0</v>
      </c>
      <c r="Q35" s="32">
        <f t="shared" si="0"/>
        <v>0.97399999999999998</v>
      </c>
      <c r="R35" s="32">
        <f t="shared" si="0"/>
        <v>0.67556468172484596</v>
      </c>
      <c r="S35" s="7"/>
      <c r="T35" s="7"/>
      <c r="U35" s="7"/>
      <c r="V35" s="7"/>
      <c r="W35" s="7"/>
    </row>
    <row r="36" spans="1:23">
      <c r="A36" s="6">
        <v>46127</v>
      </c>
      <c r="B36" s="7" t="s">
        <v>124</v>
      </c>
      <c r="C36" s="7"/>
      <c r="D36" s="31" t="s">
        <v>165</v>
      </c>
      <c r="E36" s="7"/>
      <c r="F36" s="7"/>
      <c r="G36" s="7"/>
      <c r="H36" s="7"/>
      <c r="I36" s="14" t="s">
        <v>68</v>
      </c>
      <c r="J36" s="7"/>
      <c r="K36" s="7"/>
      <c r="L36" s="7">
        <v>500</v>
      </c>
      <c r="M36" s="7">
        <v>486</v>
      </c>
      <c r="N36" s="7">
        <v>317</v>
      </c>
      <c r="O36" s="7">
        <v>0</v>
      </c>
      <c r="P36" s="7">
        <v>0</v>
      </c>
      <c r="Q36" s="32">
        <f t="shared" si="0"/>
        <v>0.97199999999999998</v>
      </c>
      <c r="R36" s="32">
        <f t="shared" si="0"/>
        <v>0.65226337448559668</v>
      </c>
      <c r="S36" s="7"/>
      <c r="T36" s="7"/>
      <c r="U36" s="7"/>
      <c r="V36" s="7"/>
      <c r="W36" s="7"/>
    </row>
    <row r="37" spans="1:23">
      <c r="A37" s="6">
        <v>46127</v>
      </c>
      <c r="B37" s="7" t="s">
        <v>124</v>
      </c>
      <c r="C37" s="7"/>
      <c r="D37" s="7" t="s">
        <v>160</v>
      </c>
      <c r="E37" s="7" t="s">
        <v>116</v>
      </c>
      <c r="F37" s="7" t="s">
        <v>161</v>
      </c>
      <c r="G37" s="7" t="s">
        <v>85</v>
      </c>
      <c r="H37" s="7" t="s">
        <v>149</v>
      </c>
      <c r="I37" s="14"/>
      <c r="J37" s="7" t="s">
        <v>35</v>
      </c>
      <c r="K37" s="7" t="s">
        <v>149</v>
      </c>
      <c r="L37" s="7">
        <v>141</v>
      </c>
      <c r="M37" s="7">
        <v>33</v>
      </c>
      <c r="N37" s="7">
        <v>9</v>
      </c>
      <c r="O37" s="7">
        <v>1</v>
      </c>
      <c r="P37" s="7">
        <v>0</v>
      </c>
      <c r="Q37" s="32">
        <f t="shared" si="0"/>
        <v>0.23404255319148937</v>
      </c>
      <c r="R37" s="32">
        <f t="shared" si="0"/>
        <v>0.27272727272727271</v>
      </c>
      <c r="S37" s="7"/>
      <c r="T37" s="7"/>
      <c r="U37" s="7"/>
      <c r="V37" s="7"/>
      <c r="W37" s="7"/>
    </row>
    <row r="38" spans="1:23">
      <c r="A38" s="6">
        <v>46127</v>
      </c>
      <c r="B38" s="7" t="s">
        <v>124</v>
      </c>
      <c r="C38" s="7"/>
      <c r="D38" s="7" t="s">
        <v>162</v>
      </c>
      <c r="E38" s="7" t="s">
        <v>116</v>
      </c>
      <c r="F38" s="7" t="s">
        <v>161</v>
      </c>
      <c r="G38" s="7" t="s">
        <v>85</v>
      </c>
      <c r="H38" s="7" t="s">
        <v>121</v>
      </c>
      <c r="I38" s="14"/>
      <c r="J38" s="7" t="s">
        <v>35</v>
      </c>
      <c r="K38" s="7" t="s">
        <v>121</v>
      </c>
      <c r="L38" s="7">
        <v>192</v>
      </c>
      <c r="M38" s="7">
        <v>25</v>
      </c>
      <c r="N38" s="7">
        <v>15</v>
      </c>
      <c r="O38" s="7">
        <v>1</v>
      </c>
      <c r="P38" s="7">
        <v>0</v>
      </c>
      <c r="Q38" s="32">
        <f t="shared" si="0"/>
        <v>0.13020833333333334</v>
      </c>
      <c r="R38" s="32">
        <f t="shared" si="0"/>
        <v>0.6</v>
      </c>
      <c r="S38" s="7"/>
      <c r="T38" s="7"/>
      <c r="U38" s="7"/>
      <c r="V38" s="7"/>
      <c r="W38" s="7"/>
    </row>
    <row r="39" spans="1:23" ht="6.6" customHeight="1">
      <c r="A39" s="22"/>
      <c r="B39" s="23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5"/>
      <c r="R39" s="25"/>
      <c r="S39" s="24"/>
      <c r="T39" s="24"/>
      <c r="U39" s="24"/>
      <c r="V39" s="25"/>
      <c r="W39" s="26"/>
    </row>
    <row r="40" spans="1:23">
      <c r="A40" s="6">
        <v>46128</v>
      </c>
      <c r="B40" s="7" t="s">
        <v>166</v>
      </c>
      <c r="C40" s="18"/>
      <c r="D40" s="18" t="s">
        <v>185</v>
      </c>
      <c r="E40" s="18" t="s">
        <v>109</v>
      </c>
      <c r="F40" s="18" t="s">
        <v>110</v>
      </c>
      <c r="G40" s="18"/>
      <c r="H40" s="18" t="s">
        <v>106</v>
      </c>
      <c r="I40" s="30" t="s">
        <v>167</v>
      </c>
      <c r="J40" s="18" t="s">
        <v>34</v>
      </c>
      <c r="K40" s="18" t="s">
        <v>106</v>
      </c>
      <c r="L40" s="7">
        <v>77</v>
      </c>
      <c r="M40" s="7">
        <v>1</v>
      </c>
      <c r="N40" s="7">
        <v>0</v>
      </c>
      <c r="O40" s="7">
        <v>0</v>
      </c>
      <c r="P40" s="7">
        <v>1</v>
      </c>
      <c r="Q40" s="32">
        <f t="shared" ref="Q40:R49" si="1">M40/L40</f>
        <v>1.2987012987012988E-2</v>
      </c>
      <c r="R40" s="32">
        <f t="shared" si="1"/>
        <v>0</v>
      </c>
      <c r="S40" s="7"/>
      <c r="T40" s="7"/>
      <c r="U40" s="7"/>
      <c r="V40" s="7"/>
      <c r="W40" s="7"/>
    </row>
    <row r="41" spans="1:23">
      <c r="A41" s="6">
        <v>46128</v>
      </c>
      <c r="B41" s="7" t="s">
        <v>166</v>
      </c>
      <c r="C41" s="18"/>
      <c r="D41" s="18" t="s">
        <v>144</v>
      </c>
      <c r="E41" s="18" t="s">
        <v>109</v>
      </c>
      <c r="F41" s="18" t="s">
        <v>145</v>
      </c>
      <c r="G41" s="18"/>
      <c r="H41" s="18" t="s">
        <v>157</v>
      </c>
      <c r="I41" s="30" t="s">
        <v>169</v>
      </c>
      <c r="J41" s="18" t="s">
        <v>34</v>
      </c>
      <c r="K41" s="18" t="s">
        <v>157</v>
      </c>
      <c r="L41" s="7">
        <v>5</v>
      </c>
      <c r="M41" s="7">
        <v>2</v>
      </c>
      <c r="N41" s="7">
        <v>1</v>
      </c>
      <c r="O41" s="7">
        <v>0</v>
      </c>
      <c r="P41" s="7">
        <v>0</v>
      </c>
      <c r="Q41" s="32">
        <f t="shared" si="1"/>
        <v>0.4</v>
      </c>
      <c r="R41" s="32">
        <f t="shared" si="1"/>
        <v>0.5</v>
      </c>
      <c r="S41" s="7"/>
      <c r="T41" s="7"/>
      <c r="U41" s="7"/>
      <c r="V41" s="7"/>
      <c r="W41" s="7"/>
    </row>
    <row r="42" spans="1:23">
      <c r="A42" s="6">
        <v>46128</v>
      </c>
      <c r="B42" s="7" t="s">
        <v>166</v>
      </c>
      <c r="C42" s="18"/>
      <c r="D42" s="18" t="s">
        <v>146</v>
      </c>
      <c r="E42" s="18" t="s">
        <v>109</v>
      </c>
      <c r="F42" s="18" t="s">
        <v>147</v>
      </c>
      <c r="G42" s="18"/>
      <c r="H42" s="18" t="s">
        <v>149</v>
      </c>
      <c r="I42" s="30" t="s">
        <v>169</v>
      </c>
      <c r="J42" s="18" t="s">
        <v>34</v>
      </c>
      <c r="K42" s="18" t="s">
        <v>149</v>
      </c>
      <c r="L42" s="7">
        <v>2</v>
      </c>
      <c r="M42" s="7">
        <v>1</v>
      </c>
      <c r="N42" s="7">
        <v>0</v>
      </c>
      <c r="O42" s="7">
        <v>0</v>
      </c>
      <c r="P42" s="7">
        <v>0</v>
      </c>
      <c r="Q42" s="32">
        <f t="shared" si="1"/>
        <v>0.5</v>
      </c>
      <c r="R42" s="32">
        <f t="shared" si="1"/>
        <v>0</v>
      </c>
      <c r="S42" s="7"/>
      <c r="T42" s="7"/>
      <c r="U42" s="7"/>
      <c r="V42" s="7"/>
      <c r="W42" s="7"/>
    </row>
    <row r="43" spans="1:23">
      <c r="A43" s="6">
        <v>46128</v>
      </c>
      <c r="B43" s="7" t="s">
        <v>166</v>
      </c>
      <c r="C43" s="18"/>
      <c r="D43" s="18" t="s">
        <v>187</v>
      </c>
      <c r="E43" s="18" t="s">
        <v>109</v>
      </c>
      <c r="F43" s="18" t="s">
        <v>188</v>
      </c>
      <c r="G43" s="18"/>
      <c r="H43" s="18"/>
      <c r="I43" s="30" t="s">
        <v>168</v>
      </c>
      <c r="J43" s="18" t="s">
        <v>34</v>
      </c>
      <c r="K43" s="18" t="s">
        <v>186</v>
      </c>
      <c r="L43" s="7">
        <v>32</v>
      </c>
      <c r="M43" s="7">
        <v>1</v>
      </c>
      <c r="N43" s="7">
        <v>0</v>
      </c>
      <c r="O43" s="7">
        <v>0</v>
      </c>
      <c r="P43" s="7">
        <v>0</v>
      </c>
      <c r="Q43" s="32">
        <f t="shared" si="1"/>
        <v>3.125E-2</v>
      </c>
      <c r="R43" s="32">
        <f t="shared" si="1"/>
        <v>0</v>
      </c>
      <c r="S43" s="7"/>
      <c r="T43" s="7"/>
      <c r="U43" s="7"/>
      <c r="V43" s="7"/>
      <c r="W43" s="7"/>
    </row>
    <row r="44" spans="1:23">
      <c r="A44" s="6">
        <v>46128</v>
      </c>
      <c r="B44" s="7" t="s">
        <v>166</v>
      </c>
      <c r="C44" s="7"/>
      <c r="D44" s="31" t="s">
        <v>172</v>
      </c>
      <c r="E44" s="7"/>
      <c r="F44" s="7"/>
      <c r="G44" s="7"/>
      <c r="H44" s="7"/>
      <c r="I44" s="14" t="s">
        <v>67</v>
      </c>
      <c r="J44" s="7" t="s">
        <v>34</v>
      </c>
      <c r="K44" s="7" t="s">
        <v>170</v>
      </c>
      <c r="L44" s="7">
        <v>1498</v>
      </c>
      <c r="M44" s="7">
        <v>1433</v>
      </c>
      <c r="N44" s="7">
        <v>1043</v>
      </c>
      <c r="O44" s="7">
        <v>0</v>
      </c>
      <c r="P44" s="7">
        <v>2</v>
      </c>
      <c r="Q44" s="32">
        <f t="shared" si="1"/>
        <v>0.9566088117489987</v>
      </c>
      <c r="R44" s="32">
        <f t="shared" si="1"/>
        <v>0.72784368457780879</v>
      </c>
      <c r="S44" s="7"/>
      <c r="T44" s="7"/>
      <c r="U44" s="7"/>
      <c r="V44" s="7"/>
      <c r="W44" s="7"/>
    </row>
    <row r="45" spans="1:23">
      <c r="A45" s="6">
        <v>46128</v>
      </c>
      <c r="B45" s="7" t="s">
        <v>166</v>
      </c>
      <c r="C45" s="7"/>
      <c r="D45" s="31" t="s">
        <v>173</v>
      </c>
      <c r="E45" s="7"/>
      <c r="F45" s="7"/>
      <c r="G45" s="7"/>
      <c r="H45" s="7"/>
      <c r="I45" s="47" t="s">
        <v>178</v>
      </c>
      <c r="J45" s="7" t="s">
        <v>34</v>
      </c>
      <c r="K45" s="7" t="s">
        <v>170</v>
      </c>
      <c r="L45" s="7">
        <v>386</v>
      </c>
      <c r="M45" s="7">
        <v>356</v>
      </c>
      <c r="N45" s="7">
        <v>264</v>
      </c>
      <c r="O45" s="7">
        <v>0</v>
      </c>
      <c r="P45" s="7">
        <v>0</v>
      </c>
      <c r="Q45" s="32">
        <f t="shared" si="1"/>
        <v>0.92227979274611394</v>
      </c>
      <c r="R45" s="32">
        <f t="shared" si="1"/>
        <v>0.7415730337078652</v>
      </c>
      <c r="S45" s="7"/>
      <c r="T45" s="7"/>
      <c r="U45" s="7"/>
      <c r="V45" s="7"/>
      <c r="W45" s="7"/>
    </row>
    <row r="46" spans="1:23">
      <c r="A46" s="6">
        <v>46128</v>
      </c>
      <c r="B46" s="7" t="s">
        <v>166</v>
      </c>
      <c r="C46" s="7"/>
      <c r="D46" s="31" t="s">
        <v>174</v>
      </c>
      <c r="E46" s="7"/>
      <c r="F46" s="7"/>
      <c r="G46" s="7"/>
      <c r="H46" s="7"/>
      <c r="I46" s="14" t="s">
        <v>64</v>
      </c>
      <c r="J46" s="7" t="s">
        <v>34</v>
      </c>
      <c r="K46" s="7" t="s">
        <v>171</v>
      </c>
      <c r="L46" s="7">
        <v>193</v>
      </c>
      <c r="M46" s="7">
        <v>126</v>
      </c>
      <c r="N46" s="7">
        <v>92</v>
      </c>
      <c r="O46" s="7">
        <v>0</v>
      </c>
      <c r="P46" s="7">
        <v>305</v>
      </c>
      <c r="Q46" s="32">
        <f t="shared" si="1"/>
        <v>0.65284974093264247</v>
      </c>
      <c r="R46" s="32">
        <f t="shared" si="1"/>
        <v>0.73015873015873012</v>
      </c>
      <c r="S46" s="7"/>
      <c r="T46" s="7"/>
      <c r="U46" s="7"/>
      <c r="V46" s="7"/>
      <c r="W46" s="7"/>
    </row>
    <row r="47" spans="1:23">
      <c r="A47" s="6">
        <v>46128</v>
      </c>
      <c r="B47" s="7" t="s">
        <v>166</v>
      </c>
      <c r="C47" s="7"/>
      <c r="D47" s="31" t="s">
        <v>175</v>
      </c>
      <c r="E47" s="7"/>
      <c r="F47" s="7"/>
      <c r="G47" s="7"/>
      <c r="H47" s="7"/>
      <c r="I47" s="14" t="s">
        <v>64</v>
      </c>
      <c r="J47" s="7" t="s">
        <v>34</v>
      </c>
      <c r="K47" s="7" t="s">
        <v>171</v>
      </c>
      <c r="L47" s="7">
        <v>193</v>
      </c>
      <c r="M47" s="7">
        <v>126</v>
      </c>
      <c r="N47" s="7">
        <v>89</v>
      </c>
      <c r="O47" s="7">
        <v>0</v>
      </c>
      <c r="P47" s="7">
        <v>0</v>
      </c>
      <c r="Q47" s="32">
        <f t="shared" si="1"/>
        <v>0.65284974093264247</v>
      </c>
      <c r="R47" s="32">
        <f t="shared" si="1"/>
        <v>0.70634920634920639</v>
      </c>
      <c r="S47" s="7"/>
      <c r="T47" s="7"/>
      <c r="U47" s="7"/>
      <c r="V47" s="7"/>
      <c r="W47" s="7"/>
    </row>
    <row r="48" spans="1:23">
      <c r="A48" s="6">
        <v>46128</v>
      </c>
      <c r="B48" s="7" t="s">
        <v>166</v>
      </c>
      <c r="C48" s="7"/>
      <c r="D48" s="31" t="s">
        <v>176</v>
      </c>
      <c r="E48" s="7" t="s">
        <v>109</v>
      </c>
      <c r="F48" s="7" t="s">
        <v>150</v>
      </c>
      <c r="G48" s="7" t="s">
        <v>85</v>
      </c>
      <c r="H48" s="7"/>
      <c r="I48" s="14"/>
      <c r="J48" s="7" t="s">
        <v>34</v>
      </c>
      <c r="K48" s="7" t="s">
        <v>149</v>
      </c>
      <c r="L48" s="7">
        <v>143</v>
      </c>
      <c r="M48" s="7">
        <v>19</v>
      </c>
      <c r="N48" s="7">
        <v>5</v>
      </c>
      <c r="O48" s="7">
        <v>1</v>
      </c>
      <c r="P48" s="7">
        <v>0</v>
      </c>
      <c r="Q48" s="32">
        <f t="shared" si="1"/>
        <v>0.13286713286713286</v>
      </c>
      <c r="R48" s="32">
        <f t="shared" si="1"/>
        <v>0.26315789473684209</v>
      </c>
      <c r="S48" s="7"/>
      <c r="T48" s="7"/>
      <c r="U48" s="7"/>
      <c r="V48" s="7"/>
      <c r="W48" s="7"/>
    </row>
    <row r="49" spans="1:23">
      <c r="A49" s="34">
        <v>46128</v>
      </c>
      <c r="B49" s="35" t="s">
        <v>166</v>
      </c>
      <c r="C49" s="35"/>
      <c r="D49" s="48" t="s">
        <v>177</v>
      </c>
      <c r="E49" s="35" t="s">
        <v>109</v>
      </c>
      <c r="F49" s="35" t="s">
        <v>150</v>
      </c>
      <c r="G49" s="7" t="s">
        <v>85</v>
      </c>
      <c r="H49" s="35"/>
      <c r="I49" s="36"/>
      <c r="J49" s="35" t="s">
        <v>34</v>
      </c>
      <c r="K49" s="35" t="s">
        <v>121</v>
      </c>
      <c r="L49" s="35">
        <v>178</v>
      </c>
      <c r="M49" s="35">
        <v>17</v>
      </c>
      <c r="N49" s="35">
        <v>8</v>
      </c>
      <c r="O49" s="35">
        <v>0</v>
      </c>
      <c r="P49" s="35">
        <v>15</v>
      </c>
      <c r="Q49" s="37">
        <f t="shared" si="1"/>
        <v>9.5505617977528087E-2</v>
      </c>
      <c r="R49" s="37">
        <f t="shared" si="1"/>
        <v>0.47058823529411764</v>
      </c>
      <c r="S49" s="35"/>
      <c r="T49" s="35"/>
      <c r="U49" s="35"/>
      <c r="V49" s="35"/>
      <c r="W49" s="35"/>
    </row>
    <row r="50" spans="1:23" ht="6.6" customHeight="1">
      <c r="A50" s="22"/>
      <c r="B50" s="23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5"/>
      <c r="R50" s="25"/>
      <c r="S50" s="24"/>
      <c r="T50" s="24"/>
      <c r="U50" s="24"/>
      <c r="V50" s="25"/>
      <c r="W50" s="26"/>
    </row>
    <row r="51" spans="1:23">
      <c r="A51" s="6">
        <v>46129</v>
      </c>
      <c r="B51" s="7" t="s">
        <v>206</v>
      </c>
      <c r="C51" s="18"/>
      <c r="D51" s="18" t="s">
        <v>185</v>
      </c>
      <c r="E51" s="18" t="s">
        <v>109</v>
      </c>
      <c r="F51" s="18" t="s">
        <v>110</v>
      </c>
      <c r="G51" s="18"/>
      <c r="H51" s="18" t="s">
        <v>106</v>
      </c>
      <c r="I51" s="30"/>
      <c r="J51" s="18" t="s">
        <v>34</v>
      </c>
      <c r="K51" s="18" t="s">
        <v>106</v>
      </c>
      <c r="L51" s="7">
        <v>111</v>
      </c>
      <c r="M51" s="7">
        <v>2</v>
      </c>
      <c r="N51" s="7">
        <v>0</v>
      </c>
      <c r="O51" s="7">
        <v>0</v>
      </c>
      <c r="P51" s="7">
        <v>0</v>
      </c>
      <c r="Q51" s="32">
        <f t="shared" ref="Q51:R62" si="2">M51/L51</f>
        <v>1.8018018018018018E-2</v>
      </c>
      <c r="R51" s="32">
        <f t="shared" si="2"/>
        <v>0</v>
      </c>
      <c r="S51" s="7"/>
      <c r="T51" s="7"/>
      <c r="U51" s="7"/>
      <c r="V51" s="7"/>
      <c r="W51" s="7"/>
    </row>
    <row r="52" spans="1:23">
      <c r="A52" s="6">
        <v>46129</v>
      </c>
      <c r="B52" s="7" t="s">
        <v>206</v>
      </c>
      <c r="C52" s="18"/>
      <c r="D52" s="18" t="s">
        <v>144</v>
      </c>
      <c r="E52" s="18" t="s">
        <v>109</v>
      </c>
      <c r="F52" s="18" t="s">
        <v>145</v>
      </c>
      <c r="G52" s="18"/>
      <c r="H52" s="18" t="s">
        <v>157</v>
      </c>
      <c r="I52" s="30"/>
      <c r="J52" s="18" t="s">
        <v>34</v>
      </c>
      <c r="K52" s="18" t="s">
        <v>157</v>
      </c>
      <c r="L52" s="7">
        <v>4</v>
      </c>
      <c r="M52" s="7">
        <v>4</v>
      </c>
      <c r="N52" s="7">
        <v>0</v>
      </c>
      <c r="O52" s="7">
        <v>0</v>
      </c>
      <c r="P52" s="7">
        <v>0</v>
      </c>
      <c r="Q52" s="32">
        <f t="shared" si="2"/>
        <v>1</v>
      </c>
      <c r="R52" s="32">
        <f t="shared" si="2"/>
        <v>0</v>
      </c>
      <c r="S52" s="7"/>
      <c r="T52" s="7"/>
      <c r="U52" s="7"/>
      <c r="V52" s="7"/>
      <c r="W52" s="7"/>
    </row>
    <row r="53" spans="1:23">
      <c r="A53" s="6">
        <v>46129</v>
      </c>
      <c r="B53" s="7" t="s">
        <v>206</v>
      </c>
      <c r="C53" s="18"/>
      <c r="D53" s="18" t="s">
        <v>146</v>
      </c>
      <c r="E53" s="18" t="s">
        <v>109</v>
      </c>
      <c r="F53" s="18" t="s">
        <v>147</v>
      </c>
      <c r="G53" s="18"/>
      <c r="H53" s="18" t="s">
        <v>149</v>
      </c>
      <c r="I53" s="30"/>
      <c r="J53" s="18" t="s">
        <v>34</v>
      </c>
      <c r="K53" s="18" t="s">
        <v>149</v>
      </c>
      <c r="L53" s="7">
        <v>3</v>
      </c>
      <c r="M53" s="7">
        <v>1</v>
      </c>
      <c r="N53" s="7">
        <v>1</v>
      </c>
      <c r="O53" s="7">
        <v>0</v>
      </c>
      <c r="P53" s="7">
        <v>0</v>
      </c>
      <c r="Q53" s="32">
        <f t="shared" si="2"/>
        <v>0.33333333333333331</v>
      </c>
      <c r="R53" s="32">
        <f t="shared" si="2"/>
        <v>1</v>
      </c>
      <c r="S53" s="7"/>
      <c r="T53" s="7"/>
      <c r="U53" s="7"/>
      <c r="V53" s="7"/>
      <c r="W53" s="7"/>
    </row>
    <row r="54" spans="1:23">
      <c r="A54" s="6">
        <v>46129</v>
      </c>
      <c r="B54" s="7" t="s">
        <v>206</v>
      </c>
      <c r="C54" s="18"/>
      <c r="D54" s="18" t="s">
        <v>187</v>
      </c>
      <c r="E54" s="18" t="s">
        <v>109</v>
      </c>
      <c r="F54" s="18" t="s">
        <v>188</v>
      </c>
      <c r="G54" s="18"/>
      <c r="H54" s="18"/>
      <c r="I54" s="30"/>
      <c r="J54" s="18" t="s">
        <v>34</v>
      </c>
      <c r="K54" s="18" t="s">
        <v>186</v>
      </c>
      <c r="L54" s="7">
        <v>56</v>
      </c>
      <c r="M54" s="7">
        <v>0</v>
      </c>
      <c r="N54" s="7">
        <v>0</v>
      </c>
      <c r="O54" s="7">
        <v>0</v>
      </c>
      <c r="P54" s="7">
        <v>0</v>
      </c>
      <c r="Q54" s="32">
        <f t="shared" si="2"/>
        <v>0</v>
      </c>
      <c r="R54" s="32" t="e">
        <f t="shared" si="2"/>
        <v>#DIV/0!</v>
      </c>
      <c r="S54" s="7"/>
      <c r="T54" s="7"/>
      <c r="U54" s="7"/>
      <c r="V54" s="7"/>
      <c r="W54" s="7"/>
    </row>
    <row r="55" spans="1:23">
      <c r="A55" s="6">
        <v>46129</v>
      </c>
      <c r="B55" s="7" t="s">
        <v>206</v>
      </c>
      <c r="C55" s="7"/>
      <c r="D55" s="31" t="s">
        <v>267</v>
      </c>
      <c r="E55" s="7"/>
      <c r="F55" s="7"/>
      <c r="G55" s="7"/>
      <c r="H55" s="7"/>
      <c r="I55" s="14" t="s">
        <v>67</v>
      </c>
      <c r="J55" s="7" t="s">
        <v>34</v>
      </c>
      <c r="K55" s="7" t="s">
        <v>170</v>
      </c>
      <c r="L55" s="7">
        <v>1498</v>
      </c>
      <c r="M55" s="7">
        <v>1440</v>
      </c>
      <c r="N55" s="7">
        <v>1072</v>
      </c>
      <c r="O55" s="7">
        <v>0</v>
      </c>
      <c r="P55" s="7">
        <v>2</v>
      </c>
      <c r="Q55" s="32">
        <f t="shared" si="2"/>
        <v>0.96128170894526033</v>
      </c>
      <c r="R55" s="32">
        <f t="shared" si="2"/>
        <v>0.74444444444444446</v>
      </c>
      <c r="S55" s="7"/>
      <c r="T55" s="7"/>
      <c r="U55" s="7"/>
      <c r="V55" s="7"/>
      <c r="W55" s="7"/>
    </row>
    <row r="56" spans="1:23">
      <c r="A56" s="6">
        <v>46129</v>
      </c>
      <c r="B56" s="7" t="s">
        <v>206</v>
      </c>
      <c r="C56" s="7"/>
      <c r="D56" s="65" t="s">
        <v>270</v>
      </c>
      <c r="E56" s="66"/>
      <c r="F56" s="7"/>
      <c r="G56" s="7"/>
      <c r="H56" s="7"/>
      <c r="I56" s="47" t="s">
        <v>211</v>
      </c>
      <c r="J56" s="7" t="s">
        <v>34</v>
      </c>
      <c r="K56" s="7" t="s">
        <v>170</v>
      </c>
      <c r="L56" s="7">
        <v>242</v>
      </c>
      <c r="M56" s="7">
        <v>231</v>
      </c>
      <c r="N56" s="7">
        <v>168</v>
      </c>
      <c r="O56" s="7">
        <v>0</v>
      </c>
      <c r="P56" s="7">
        <v>0</v>
      </c>
      <c r="Q56" s="32">
        <f t="shared" si="2"/>
        <v>0.95454545454545459</v>
      </c>
      <c r="R56" s="32">
        <f t="shared" si="2"/>
        <v>0.72727272727272729</v>
      </c>
      <c r="S56" s="7"/>
      <c r="T56" s="7"/>
      <c r="U56" s="7"/>
      <c r="V56" s="7"/>
      <c r="W56" s="7"/>
    </row>
    <row r="57" spans="1:23">
      <c r="A57" s="6">
        <v>46129</v>
      </c>
      <c r="B57" s="7" t="s">
        <v>206</v>
      </c>
      <c r="C57" s="7"/>
      <c r="D57" s="51" t="s">
        <v>174</v>
      </c>
      <c r="E57" s="7"/>
      <c r="F57" s="7"/>
      <c r="G57" s="7"/>
      <c r="H57" s="7"/>
      <c r="I57" s="14" t="s">
        <v>64</v>
      </c>
      <c r="J57" s="7" t="s">
        <v>34</v>
      </c>
      <c r="K57" s="7" t="s">
        <v>171</v>
      </c>
      <c r="L57" s="7"/>
      <c r="M57" s="7"/>
      <c r="N57" s="7"/>
      <c r="O57" s="7"/>
      <c r="P57" s="7"/>
      <c r="Q57" s="32" t="e">
        <f t="shared" si="2"/>
        <v>#DIV/0!</v>
      </c>
      <c r="R57" s="32" t="e">
        <f t="shared" si="2"/>
        <v>#DIV/0!</v>
      </c>
      <c r="S57" s="7"/>
      <c r="T57" s="7"/>
      <c r="U57" s="7"/>
      <c r="V57" s="7"/>
      <c r="W57" s="7"/>
    </row>
    <row r="58" spans="1:23">
      <c r="A58" s="6">
        <v>46129</v>
      </c>
      <c r="B58" s="7" t="s">
        <v>206</v>
      </c>
      <c r="C58" s="7"/>
      <c r="D58" s="51" t="s">
        <v>175</v>
      </c>
      <c r="E58" s="7"/>
      <c r="F58" s="7"/>
      <c r="G58" s="7"/>
      <c r="H58" s="7"/>
      <c r="I58" s="14" t="s">
        <v>64</v>
      </c>
      <c r="J58" s="7" t="s">
        <v>34</v>
      </c>
      <c r="K58" s="7" t="s">
        <v>171</v>
      </c>
      <c r="L58" s="7"/>
      <c r="M58" s="7"/>
      <c r="N58" s="7"/>
      <c r="O58" s="7"/>
      <c r="P58" s="7"/>
      <c r="Q58" s="32" t="e">
        <f t="shared" si="2"/>
        <v>#DIV/0!</v>
      </c>
      <c r="R58" s="32" t="e">
        <f t="shared" si="2"/>
        <v>#DIV/0!</v>
      </c>
      <c r="S58" s="7"/>
      <c r="T58" s="7"/>
      <c r="U58" s="7"/>
      <c r="V58" s="7"/>
      <c r="W58" s="7"/>
    </row>
    <row r="59" spans="1:23">
      <c r="A59" s="6">
        <v>46129</v>
      </c>
      <c r="B59" s="7" t="s">
        <v>206</v>
      </c>
      <c r="C59" s="62">
        <v>0.9375</v>
      </c>
      <c r="D59" s="31" t="s">
        <v>245</v>
      </c>
      <c r="E59" s="7" t="s">
        <v>252</v>
      </c>
      <c r="F59" s="7" t="s">
        <v>247</v>
      </c>
      <c r="G59" s="7"/>
      <c r="H59" s="7"/>
      <c r="I59" s="30" t="s">
        <v>209</v>
      </c>
      <c r="J59" s="7" t="s">
        <v>34</v>
      </c>
      <c r="K59" s="7" t="s">
        <v>149</v>
      </c>
      <c r="L59" s="7">
        <v>142</v>
      </c>
      <c r="M59" s="7">
        <v>19</v>
      </c>
      <c r="N59" s="7">
        <v>6</v>
      </c>
      <c r="O59" s="7">
        <v>1</v>
      </c>
      <c r="P59" s="7">
        <v>0</v>
      </c>
      <c r="Q59" s="32">
        <f t="shared" si="2"/>
        <v>0.13380281690140844</v>
      </c>
      <c r="R59" s="32">
        <f t="shared" si="2"/>
        <v>0.31578947368421051</v>
      </c>
      <c r="S59" s="7"/>
      <c r="T59" s="7"/>
      <c r="U59" s="7"/>
      <c r="V59" s="7"/>
      <c r="W59" s="7"/>
    </row>
    <row r="60" spans="1:23" ht="16.8">
      <c r="A60" s="6">
        <v>46129</v>
      </c>
      <c r="B60" s="7" t="s">
        <v>206</v>
      </c>
      <c r="C60" s="62">
        <v>0.95833333333333337</v>
      </c>
      <c r="D60" s="31" t="s">
        <v>246</v>
      </c>
      <c r="E60" s="7" t="s">
        <v>252</v>
      </c>
      <c r="F60" s="7" t="s">
        <v>248</v>
      </c>
      <c r="G60" s="7"/>
      <c r="H60" s="7"/>
      <c r="I60" s="30" t="s">
        <v>256</v>
      </c>
      <c r="J60" s="7" t="s">
        <v>34</v>
      </c>
      <c r="K60" s="52" t="s">
        <v>157</v>
      </c>
      <c r="L60" s="7">
        <v>52</v>
      </c>
      <c r="M60" s="7">
        <v>7</v>
      </c>
      <c r="N60" s="7">
        <v>0</v>
      </c>
      <c r="O60" s="7">
        <v>0</v>
      </c>
      <c r="P60" s="7">
        <v>0</v>
      </c>
      <c r="Q60" s="32">
        <f t="shared" si="2"/>
        <v>0.13461538461538461</v>
      </c>
      <c r="R60" s="32">
        <f t="shared" si="2"/>
        <v>0</v>
      </c>
      <c r="S60" s="7"/>
      <c r="T60" s="7"/>
      <c r="U60" s="7"/>
      <c r="V60" s="7"/>
      <c r="W60" s="7"/>
    </row>
    <row r="61" spans="1:23">
      <c r="A61" s="6">
        <v>46129</v>
      </c>
      <c r="B61" s="7" t="s">
        <v>206</v>
      </c>
      <c r="C61" s="62">
        <v>0.79166666666666663</v>
      </c>
      <c r="D61" s="31" t="s">
        <v>249</v>
      </c>
      <c r="E61" s="7" t="s">
        <v>252</v>
      </c>
      <c r="F61" s="7" t="s">
        <v>247</v>
      </c>
      <c r="G61" s="7"/>
      <c r="H61" s="7"/>
      <c r="I61" s="30" t="s">
        <v>209</v>
      </c>
      <c r="J61" s="7" t="s">
        <v>34</v>
      </c>
      <c r="K61" s="7" t="s">
        <v>121</v>
      </c>
      <c r="L61" s="7">
        <v>178</v>
      </c>
      <c r="M61" s="7">
        <v>21</v>
      </c>
      <c r="N61" s="7">
        <v>16</v>
      </c>
      <c r="O61" s="7">
        <v>0</v>
      </c>
      <c r="P61" s="7">
        <v>0</v>
      </c>
      <c r="Q61" s="32">
        <f t="shared" si="2"/>
        <v>0.11797752808988764</v>
      </c>
      <c r="R61" s="32">
        <f t="shared" si="2"/>
        <v>0.76190476190476186</v>
      </c>
      <c r="S61" s="7"/>
      <c r="T61" s="7"/>
      <c r="U61" s="7"/>
      <c r="V61" s="7"/>
      <c r="W61" s="7"/>
    </row>
    <row r="62" spans="1:23" ht="16.8">
      <c r="A62" s="6">
        <v>46129</v>
      </c>
      <c r="B62" s="35" t="s">
        <v>206</v>
      </c>
      <c r="C62" s="64">
        <v>0.85416666666666663</v>
      </c>
      <c r="D62" s="31" t="s">
        <v>250</v>
      </c>
      <c r="E62" s="7" t="s">
        <v>252</v>
      </c>
      <c r="F62" s="7" t="s">
        <v>248</v>
      </c>
      <c r="G62" s="35"/>
      <c r="H62" s="35"/>
      <c r="I62" s="63" t="s">
        <v>251</v>
      </c>
      <c r="J62" s="35" t="s">
        <v>34</v>
      </c>
      <c r="K62" s="53" t="s">
        <v>210</v>
      </c>
      <c r="L62" s="35">
        <v>55</v>
      </c>
      <c r="M62" s="35">
        <v>1</v>
      </c>
      <c r="N62" s="35">
        <v>0</v>
      </c>
      <c r="O62" s="35">
        <v>0</v>
      </c>
      <c r="P62" s="35">
        <v>0</v>
      </c>
      <c r="Q62" s="37">
        <f t="shared" si="2"/>
        <v>1.8181818181818181E-2</v>
      </c>
      <c r="R62" s="37">
        <f t="shared" si="2"/>
        <v>0</v>
      </c>
      <c r="S62" s="35"/>
      <c r="T62" s="35"/>
      <c r="U62" s="35"/>
      <c r="V62" s="35"/>
      <c r="W62" s="35"/>
    </row>
    <row r="63" spans="1:23" ht="6.6" customHeight="1">
      <c r="A63" s="22"/>
      <c r="B63" s="23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5"/>
      <c r="R63" s="25"/>
      <c r="S63" s="24"/>
      <c r="T63" s="24"/>
      <c r="U63" s="24"/>
      <c r="V63" s="25"/>
      <c r="W63" s="26"/>
    </row>
    <row r="64" spans="1:23">
      <c r="A64" s="6">
        <v>46130</v>
      </c>
      <c r="B64" s="7" t="s">
        <v>26</v>
      </c>
      <c r="C64" s="18"/>
      <c r="D64" s="18" t="s">
        <v>185</v>
      </c>
      <c r="E64" s="18" t="s">
        <v>109</v>
      </c>
      <c r="F64" s="18" t="s">
        <v>110</v>
      </c>
      <c r="G64" s="18"/>
      <c r="H64" s="18" t="s">
        <v>106</v>
      </c>
      <c r="I64" s="30"/>
      <c r="J64" s="18" t="s">
        <v>34</v>
      </c>
      <c r="K64" s="18" t="s">
        <v>106</v>
      </c>
      <c r="L64" s="7">
        <v>112</v>
      </c>
      <c r="M64" s="7">
        <v>1</v>
      </c>
      <c r="N64" s="7">
        <v>1</v>
      </c>
      <c r="O64" s="7">
        <v>0</v>
      </c>
      <c r="P64" s="7">
        <v>0</v>
      </c>
      <c r="Q64" s="32">
        <f t="shared" ref="Q64:R75" si="3">M64/L64</f>
        <v>8.9285714285714281E-3</v>
      </c>
      <c r="R64" s="32">
        <f t="shared" si="3"/>
        <v>1</v>
      </c>
      <c r="S64" s="7"/>
      <c r="T64" s="7"/>
      <c r="U64" s="7"/>
      <c r="V64" s="7"/>
      <c r="W64" s="7"/>
    </row>
    <row r="65" spans="1:23">
      <c r="A65" s="6">
        <v>46130</v>
      </c>
      <c r="B65" s="7" t="s">
        <v>26</v>
      </c>
      <c r="C65" s="18"/>
      <c r="D65" s="18" t="s">
        <v>144</v>
      </c>
      <c r="E65" s="18" t="s">
        <v>109</v>
      </c>
      <c r="F65" s="18" t="s">
        <v>145</v>
      </c>
      <c r="G65" s="18"/>
      <c r="H65" s="18" t="s">
        <v>157</v>
      </c>
      <c r="I65" s="30"/>
      <c r="J65" s="18" t="s">
        <v>34</v>
      </c>
      <c r="K65" s="18" t="s">
        <v>157</v>
      </c>
      <c r="L65" s="7">
        <v>2</v>
      </c>
      <c r="M65" s="7">
        <v>1</v>
      </c>
      <c r="N65" s="7">
        <v>1</v>
      </c>
      <c r="O65" s="7">
        <v>0</v>
      </c>
      <c r="P65" s="7">
        <v>0</v>
      </c>
      <c r="Q65" s="32">
        <f t="shared" si="3"/>
        <v>0.5</v>
      </c>
      <c r="R65" s="32">
        <f t="shared" si="3"/>
        <v>1</v>
      </c>
      <c r="S65" s="7"/>
      <c r="T65" s="7"/>
      <c r="U65" s="7"/>
      <c r="V65" s="7"/>
      <c r="W65" s="7"/>
    </row>
    <row r="66" spans="1:23">
      <c r="A66" s="6">
        <v>46130</v>
      </c>
      <c r="B66" s="7" t="s">
        <v>26</v>
      </c>
      <c r="C66" s="18"/>
      <c r="D66" s="18" t="s">
        <v>146</v>
      </c>
      <c r="E66" s="18" t="s">
        <v>109</v>
      </c>
      <c r="F66" s="18" t="s">
        <v>147</v>
      </c>
      <c r="G66" s="18"/>
      <c r="H66" s="18" t="s">
        <v>149</v>
      </c>
      <c r="I66" s="30"/>
      <c r="J66" s="18" t="s">
        <v>34</v>
      </c>
      <c r="K66" s="18" t="s">
        <v>149</v>
      </c>
      <c r="L66" s="7">
        <v>3</v>
      </c>
      <c r="M66" s="7">
        <v>3</v>
      </c>
      <c r="N66" s="7">
        <v>1</v>
      </c>
      <c r="O66" s="7">
        <v>0</v>
      </c>
      <c r="P66" s="7">
        <v>0</v>
      </c>
      <c r="Q66" s="32">
        <f t="shared" si="3"/>
        <v>1</v>
      </c>
      <c r="R66" s="32">
        <f t="shared" si="3"/>
        <v>0.33333333333333331</v>
      </c>
      <c r="S66" s="7"/>
      <c r="T66" s="7"/>
      <c r="U66" s="7"/>
      <c r="V66" s="7"/>
      <c r="W66" s="7"/>
    </row>
    <row r="67" spans="1:23">
      <c r="A67" s="6">
        <v>46130</v>
      </c>
      <c r="B67" s="7" t="s">
        <v>26</v>
      </c>
      <c r="C67" s="18"/>
      <c r="D67" s="18" t="s">
        <v>187</v>
      </c>
      <c r="E67" s="18" t="s">
        <v>109</v>
      </c>
      <c r="F67" s="18" t="s">
        <v>188</v>
      </c>
      <c r="G67" s="18"/>
      <c r="H67" s="18"/>
      <c r="I67" s="30"/>
      <c r="J67" s="18" t="s">
        <v>34</v>
      </c>
      <c r="K67" s="18" t="s">
        <v>186</v>
      </c>
      <c r="L67" s="7">
        <v>80</v>
      </c>
      <c r="M67" s="7">
        <v>1</v>
      </c>
      <c r="N67" s="7">
        <v>0</v>
      </c>
      <c r="O67" s="7">
        <v>0</v>
      </c>
      <c r="P67" s="7">
        <v>0</v>
      </c>
      <c r="Q67" s="32">
        <f t="shared" si="3"/>
        <v>1.2500000000000001E-2</v>
      </c>
      <c r="R67" s="32">
        <f t="shared" si="3"/>
        <v>0</v>
      </c>
      <c r="S67" s="7"/>
      <c r="T67" s="7"/>
      <c r="U67" s="7"/>
      <c r="V67" s="7"/>
      <c r="W67" s="7"/>
    </row>
    <row r="68" spans="1:23">
      <c r="A68" s="6">
        <v>46130</v>
      </c>
      <c r="B68" s="7" t="s">
        <v>26</v>
      </c>
      <c r="C68" s="7"/>
      <c r="D68" s="31" t="s">
        <v>273</v>
      </c>
      <c r="E68" s="7"/>
      <c r="F68" s="7"/>
      <c r="G68" s="7"/>
      <c r="H68" s="7"/>
      <c r="I68" s="14" t="s">
        <v>67</v>
      </c>
      <c r="J68" s="7" t="s">
        <v>34</v>
      </c>
      <c r="K68" s="7" t="s">
        <v>170</v>
      </c>
      <c r="L68" s="7">
        <v>1498</v>
      </c>
      <c r="M68" s="7">
        <v>1451</v>
      </c>
      <c r="N68" s="7">
        <v>1064</v>
      </c>
      <c r="O68" s="7">
        <v>0</v>
      </c>
      <c r="P68" s="7">
        <v>2</v>
      </c>
      <c r="Q68" s="32">
        <f t="shared" si="3"/>
        <v>0.96862483311081438</v>
      </c>
      <c r="R68" s="32">
        <f t="shared" si="3"/>
        <v>0.7332873880082702</v>
      </c>
      <c r="S68" s="7"/>
      <c r="T68" s="7"/>
      <c r="U68" s="7"/>
      <c r="V68" s="7"/>
      <c r="W68" s="7"/>
    </row>
    <row r="69" spans="1:23">
      <c r="A69" s="6">
        <v>46130</v>
      </c>
      <c r="B69" s="7" t="s">
        <v>26</v>
      </c>
      <c r="C69" s="7"/>
      <c r="D69" s="65" t="s">
        <v>270</v>
      </c>
      <c r="E69" s="7"/>
      <c r="F69" s="7"/>
      <c r="G69" s="7"/>
      <c r="H69" s="7"/>
      <c r="I69" s="47" t="s">
        <v>211</v>
      </c>
      <c r="J69" s="7" t="s">
        <v>34</v>
      </c>
      <c r="K69" s="7" t="s">
        <v>170</v>
      </c>
      <c r="L69" s="7">
        <v>474</v>
      </c>
      <c r="M69" s="7">
        <v>456</v>
      </c>
      <c r="N69" s="7">
        <v>327</v>
      </c>
      <c r="O69" s="7">
        <v>0</v>
      </c>
      <c r="P69" s="7">
        <v>0</v>
      </c>
      <c r="Q69" s="32">
        <f t="shared" si="3"/>
        <v>0.96202531645569622</v>
      </c>
      <c r="R69" s="32">
        <f t="shared" si="3"/>
        <v>0.71710526315789469</v>
      </c>
      <c r="S69" s="7"/>
      <c r="T69" s="7"/>
      <c r="U69" s="7"/>
      <c r="V69" s="7"/>
      <c r="W69" s="7"/>
    </row>
    <row r="70" spans="1:23">
      <c r="A70" s="6">
        <v>46130</v>
      </c>
      <c r="B70" s="7" t="s">
        <v>26</v>
      </c>
      <c r="C70" s="7"/>
      <c r="D70" s="51" t="s">
        <v>174</v>
      </c>
      <c r="E70" s="7"/>
      <c r="F70" s="7"/>
      <c r="G70" s="7"/>
      <c r="H70" s="7"/>
      <c r="I70" s="14" t="s">
        <v>64</v>
      </c>
      <c r="J70" s="7" t="s">
        <v>34</v>
      </c>
      <c r="K70" s="7" t="s">
        <v>171</v>
      </c>
      <c r="L70" s="7"/>
      <c r="M70" s="7"/>
      <c r="N70" s="7"/>
      <c r="O70" s="7"/>
      <c r="P70" s="7"/>
      <c r="Q70" s="32" t="e">
        <f t="shared" si="3"/>
        <v>#DIV/0!</v>
      </c>
      <c r="R70" s="32" t="e">
        <f t="shared" si="3"/>
        <v>#DIV/0!</v>
      </c>
      <c r="S70" s="7"/>
      <c r="T70" s="7"/>
      <c r="U70" s="7"/>
      <c r="V70" s="7"/>
      <c r="W70" s="7"/>
    </row>
    <row r="71" spans="1:23">
      <c r="A71" s="6">
        <v>46130</v>
      </c>
      <c r="B71" s="7" t="s">
        <v>26</v>
      </c>
      <c r="C71" s="7"/>
      <c r="D71" s="51" t="s">
        <v>175</v>
      </c>
      <c r="E71" s="7"/>
      <c r="F71" s="7"/>
      <c r="G71" s="7"/>
      <c r="H71" s="7"/>
      <c r="I71" s="14" t="s">
        <v>64</v>
      </c>
      <c r="J71" s="7" t="s">
        <v>34</v>
      </c>
      <c r="K71" s="7" t="s">
        <v>171</v>
      </c>
      <c r="L71" s="7"/>
      <c r="M71" s="7"/>
      <c r="N71" s="7"/>
      <c r="O71" s="7"/>
      <c r="P71" s="7"/>
      <c r="Q71" s="32" t="e">
        <f t="shared" si="3"/>
        <v>#DIV/0!</v>
      </c>
      <c r="R71" s="32" t="e">
        <f t="shared" si="3"/>
        <v>#DIV/0!</v>
      </c>
      <c r="S71" s="7"/>
      <c r="T71" s="7"/>
      <c r="U71" s="7"/>
      <c r="V71" s="7"/>
      <c r="W71" s="7"/>
    </row>
    <row r="72" spans="1:23">
      <c r="A72" s="6">
        <v>46130</v>
      </c>
      <c r="B72" s="7" t="s">
        <v>26</v>
      </c>
      <c r="C72" s="62">
        <v>0.9375</v>
      </c>
      <c r="D72" s="31" t="s">
        <v>259</v>
      </c>
      <c r="E72" s="7" t="s">
        <v>109</v>
      </c>
      <c r="F72" s="7" t="s">
        <v>150</v>
      </c>
      <c r="G72" s="7" t="s">
        <v>85</v>
      </c>
      <c r="H72" s="7"/>
      <c r="I72" s="30"/>
      <c r="J72" s="7" t="s">
        <v>34</v>
      </c>
      <c r="K72" s="7" t="s">
        <v>149</v>
      </c>
      <c r="L72" s="7">
        <v>147</v>
      </c>
      <c r="M72" s="7">
        <v>32</v>
      </c>
      <c r="N72" s="7">
        <v>4</v>
      </c>
      <c r="O72" s="7">
        <v>0</v>
      </c>
      <c r="P72" s="7">
        <v>0</v>
      </c>
      <c r="Q72" s="32">
        <f t="shared" si="3"/>
        <v>0.21768707482993196</v>
      </c>
      <c r="R72" s="32">
        <f t="shared" si="3"/>
        <v>0.125</v>
      </c>
      <c r="S72" s="7"/>
      <c r="T72" s="7"/>
      <c r="U72" s="7"/>
      <c r="V72" s="7"/>
      <c r="W72" s="7"/>
    </row>
    <row r="73" spans="1:23" ht="16.8">
      <c r="A73" s="6">
        <v>46130</v>
      </c>
      <c r="B73" s="7" t="s">
        <v>26</v>
      </c>
      <c r="C73" s="62">
        <v>0.95833333333333337</v>
      </c>
      <c r="D73" s="31" t="s">
        <v>246</v>
      </c>
      <c r="E73" s="7" t="s">
        <v>252</v>
      </c>
      <c r="F73" s="7" t="s">
        <v>248</v>
      </c>
      <c r="G73" s="7"/>
      <c r="H73" s="7"/>
      <c r="I73" s="30"/>
      <c r="J73" s="7" t="s">
        <v>34</v>
      </c>
      <c r="K73" s="52" t="s">
        <v>157</v>
      </c>
      <c r="L73" s="7">
        <v>121</v>
      </c>
      <c r="M73" s="7">
        <v>39</v>
      </c>
      <c r="N73" s="7">
        <v>8</v>
      </c>
      <c r="O73" s="7">
        <v>0</v>
      </c>
      <c r="P73" s="7">
        <v>0</v>
      </c>
      <c r="Q73" s="32">
        <f t="shared" si="3"/>
        <v>0.32231404958677684</v>
      </c>
      <c r="R73" s="32">
        <f t="shared" si="3"/>
        <v>0.20512820512820512</v>
      </c>
      <c r="S73" s="7"/>
      <c r="T73" s="7"/>
      <c r="U73" s="7"/>
      <c r="V73" s="7"/>
      <c r="W73" s="7"/>
    </row>
    <row r="74" spans="1:23">
      <c r="A74" s="6">
        <v>46130</v>
      </c>
      <c r="B74" s="7" t="s">
        <v>26</v>
      </c>
      <c r="C74" s="62">
        <v>0.79166666666666663</v>
      </c>
      <c r="D74" s="48" t="s">
        <v>260</v>
      </c>
      <c r="E74" s="35" t="s">
        <v>109</v>
      </c>
      <c r="F74" s="35" t="s">
        <v>150</v>
      </c>
      <c r="G74" s="7" t="s">
        <v>85</v>
      </c>
      <c r="H74" s="7"/>
      <c r="I74" s="30"/>
      <c r="J74" s="7" t="s">
        <v>34</v>
      </c>
      <c r="K74" s="7" t="s">
        <v>121</v>
      </c>
      <c r="L74" s="7">
        <v>178</v>
      </c>
      <c r="M74" s="7">
        <v>19</v>
      </c>
      <c r="N74" s="7">
        <v>13</v>
      </c>
      <c r="O74" s="7">
        <v>0</v>
      </c>
      <c r="P74" s="7">
        <v>0</v>
      </c>
      <c r="Q74" s="32">
        <f t="shared" si="3"/>
        <v>0.10674157303370786</v>
      </c>
      <c r="R74" s="32">
        <f t="shared" si="3"/>
        <v>0.68421052631578949</v>
      </c>
      <c r="S74" s="7"/>
      <c r="T74" s="7"/>
      <c r="U74" s="7"/>
      <c r="V74" s="7"/>
      <c r="W74" s="7"/>
    </row>
    <row r="75" spans="1:23" ht="16.8">
      <c r="A75" s="6">
        <v>46130</v>
      </c>
      <c r="B75" s="35" t="s">
        <v>26</v>
      </c>
      <c r="C75" s="64">
        <v>0.85416666666666663</v>
      </c>
      <c r="D75" s="31" t="s">
        <v>250</v>
      </c>
      <c r="E75" s="7" t="s">
        <v>252</v>
      </c>
      <c r="F75" s="7" t="s">
        <v>248</v>
      </c>
      <c r="G75" s="35"/>
      <c r="H75" s="35"/>
      <c r="I75" s="63"/>
      <c r="J75" s="35" t="s">
        <v>34</v>
      </c>
      <c r="K75" s="53" t="s">
        <v>210</v>
      </c>
      <c r="L75" s="35">
        <v>92</v>
      </c>
      <c r="M75" s="35">
        <v>0</v>
      </c>
      <c r="N75" s="35">
        <v>0</v>
      </c>
      <c r="O75" s="35">
        <v>0</v>
      </c>
      <c r="P75" s="35">
        <v>0</v>
      </c>
      <c r="Q75" s="37">
        <f t="shared" si="3"/>
        <v>0</v>
      </c>
      <c r="R75" s="37" t="e">
        <f t="shared" si="3"/>
        <v>#DIV/0!</v>
      </c>
      <c r="S75" s="35"/>
      <c r="T75" s="35"/>
      <c r="U75" s="35"/>
      <c r="V75" s="35"/>
      <c r="W75" s="35"/>
    </row>
    <row r="76" spans="1:23" ht="6.6" customHeight="1">
      <c r="A76" s="22"/>
      <c r="B76" s="23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5"/>
      <c r="R76" s="25"/>
      <c r="S76" s="24"/>
      <c r="T76" s="24"/>
      <c r="U76" s="24"/>
      <c r="V76" s="25"/>
      <c r="W76" s="26"/>
    </row>
    <row r="77" spans="1:23">
      <c r="A77" s="6">
        <v>46131</v>
      </c>
      <c r="B77" s="7" t="s">
        <v>33</v>
      </c>
      <c r="C77" s="18"/>
      <c r="D77" s="18" t="s">
        <v>185</v>
      </c>
      <c r="E77" s="18" t="s">
        <v>109</v>
      </c>
      <c r="F77" s="18" t="s">
        <v>110</v>
      </c>
      <c r="G77" s="18"/>
      <c r="H77" s="18" t="s">
        <v>106</v>
      </c>
      <c r="I77" s="30"/>
      <c r="J77" s="18" t="s">
        <v>34</v>
      </c>
      <c r="K77" s="18" t="s">
        <v>106</v>
      </c>
      <c r="L77" s="7">
        <v>101</v>
      </c>
      <c r="M77" s="7">
        <v>7</v>
      </c>
      <c r="N77" s="7">
        <v>2</v>
      </c>
      <c r="O77" s="7">
        <v>0</v>
      </c>
      <c r="P77" s="7">
        <v>0</v>
      </c>
      <c r="Q77" s="32">
        <f t="shared" ref="Q77:R88" si="4">M77/L77</f>
        <v>6.9306930693069313E-2</v>
      </c>
      <c r="R77" s="32">
        <f t="shared" si="4"/>
        <v>0.2857142857142857</v>
      </c>
      <c r="S77" s="7"/>
      <c r="T77" s="7"/>
      <c r="U77" s="7"/>
      <c r="V77" s="7"/>
      <c r="W77" s="7"/>
    </row>
    <row r="78" spans="1:23">
      <c r="A78" s="6">
        <v>46131</v>
      </c>
      <c r="B78" s="7" t="s">
        <v>33</v>
      </c>
      <c r="C78" s="18"/>
      <c r="D78" s="18" t="s">
        <v>144</v>
      </c>
      <c r="E78" s="18" t="s">
        <v>109</v>
      </c>
      <c r="F78" s="18" t="s">
        <v>145</v>
      </c>
      <c r="G78" s="18"/>
      <c r="H78" s="18" t="s">
        <v>157</v>
      </c>
      <c r="I78" s="30"/>
      <c r="J78" s="18" t="s">
        <v>34</v>
      </c>
      <c r="K78" s="18" t="s">
        <v>157</v>
      </c>
      <c r="L78" s="7">
        <v>6</v>
      </c>
      <c r="M78" s="7">
        <v>1</v>
      </c>
      <c r="N78" s="7">
        <v>1</v>
      </c>
      <c r="O78" s="7">
        <v>0</v>
      </c>
      <c r="P78" s="7">
        <v>0</v>
      </c>
      <c r="Q78" s="32">
        <f t="shared" si="4"/>
        <v>0.16666666666666666</v>
      </c>
      <c r="R78" s="32">
        <f t="shared" si="4"/>
        <v>1</v>
      </c>
      <c r="S78" s="7"/>
      <c r="T78" s="7"/>
      <c r="U78" s="7"/>
      <c r="V78" s="7"/>
      <c r="W78" s="7"/>
    </row>
    <row r="79" spans="1:23">
      <c r="A79" s="6">
        <v>46131</v>
      </c>
      <c r="B79" s="7" t="s">
        <v>33</v>
      </c>
      <c r="C79" s="18"/>
      <c r="D79" s="18" t="s">
        <v>146</v>
      </c>
      <c r="E79" s="18" t="s">
        <v>109</v>
      </c>
      <c r="F79" s="18" t="s">
        <v>147</v>
      </c>
      <c r="G79" s="18"/>
      <c r="H79" s="18" t="s">
        <v>149</v>
      </c>
      <c r="I79" s="30"/>
      <c r="J79" s="18" t="s">
        <v>34</v>
      </c>
      <c r="K79" s="18" t="s">
        <v>149</v>
      </c>
      <c r="L79" s="7">
        <v>4</v>
      </c>
      <c r="M79" s="7">
        <v>3</v>
      </c>
      <c r="N79" s="7">
        <v>2</v>
      </c>
      <c r="O79" s="7">
        <v>0</v>
      </c>
      <c r="P79" s="7">
        <v>0</v>
      </c>
      <c r="Q79" s="32">
        <f t="shared" si="4"/>
        <v>0.75</v>
      </c>
      <c r="R79" s="32">
        <f t="shared" si="4"/>
        <v>0.66666666666666663</v>
      </c>
      <c r="S79" s="7"/>
      <c r="T79" s="7"/>
      <c r="U79" s="7"/>
      <c r="V79" s="7"/>
      <c r="W79" s="7"/>
    </row>
    <row r="80" spans="1:23">
      <c r="A80" s="6">
        <v>46131</v>
      </c>
      <c r="B80" s="7" t="s">
        <v>33</v>
      </c>
      <c r="C80" s="18"/>
      <c r="D80" s="18" t="s">
        <v>187</v>
      </c>
      <c r="E80" s="18" t="s">
        <v>109</v>
      </c>
      <c r="F80" s="18" t="s">
        <v>188</v>
      </c>
      <c r="G80" s="18"/>
      <c r="H80" s="18"/>
      <c r="I80" s="30"/>
      <c r="J80" s="18" t="s">
        <v>34</v>
      </c>
      <c r="K80" s="18" t="s">
        <v>186</v>
      </c>
      <c r="L80" s="7">
        <v>84</v>
      </c>
      <c r="M80" s="7">
        <v>3</v>
      </c>
      <c r="N80" s="7">
        <v>1</v>
      </c>
      <c r="O80" s="7">
        <v>0</v>
      </c>
      <c r="P80" s="7">
        <v>0</v>
      </c>
      <c r="Q80" s="32">
        <f t="shared" si="4"/>
        <v>3.5714285714285712E-2</v>
      </c>
      <c r="R80" s="32">
        <f t="shared" si="4"/>
        <v>0.33333333333333331</v>
      </c>
      <c r="S80" s="7"/>
      <c r="T80" s="7"/>
      <c r="U80" s="7"/>
      <c r="V80" s="7"/>
      <c r="W80" s="7"/>
    </row>
    <row r="81" spans="1:23">
      <c r="A81" s="6">
        <v>46131</v>
      </c>
      <c r="B81" s="7" t="s">
        <v>33</v>
      </c>
      <c r="C81" s="7"/>
      <c r="D81" s="31" t="s">
        <v>275</v>
      </c>
      <c r="E81" s="7"/>
      <c r="F81" s="7"/>
      <c r="G81" s="7"/>
      <c r="H81" s="7"/>
      <c r="I81" s="14" t="s">
        <v>67</v>
      </c>
      <c r="J81" s="7" t="s">
        <v>34</v>
      </c>
      <c r="K81" s="7" t="s">
        <v>170</v>
      </c>
      <c r="L81" s="7">
        <v>1498</v>
      </c>
      <c r="M81" s="7">
        <v>1428</v>
      </c>
      <c r="N81" s="7">
        <v>1065</v>
      </c>
      <c r="O81" s="7">
        <v>0</v>
      </c>
      <c r="P81" s="7">
        <v>2</v>
      </c>
      <c r="Q81" s="32">
        <f t="shared" si="4"/>
        <v>0.95327102803738317</v>
      </c>
      <c r="R81" s="32">
        <f t="shared" si="4"/>
        <v>0.74579831932773111</v>
      </c>
      <c r="S81" s="7"/>
      <c r="T81" s="7"/>
      <c r="U81" s="7"/>
      <c r="V81" s="7"/>
      <c r="W81" s="7"/>
    </row>
    <row r="82" spans="1:23">
      <c r="A82" s="6">
        <v>46131</v>
      </c>
      <c r="B82" s="7" t="s">
        <v>33</v>
      </c>
      <c r="C82" s="7"/>
      <c r="D82" s="65" t="s">
        <v>270</v>
      </c>
      <c r="E82" s="7"/>
      <c r="F82" s="7"/>
      <c r="G82" s="7"/>
      <c r="H82" s="7"/>
      <c r="I82" s="47" t="s">
        <v>211</v>
      </c>
      <c r="J82" s="7" t="s">
        <v>34</v>
      </c>
      <c r="K82" s="7" t="s">
        <v>170</v>
      </c>
      <c r="L82" s="7">
        <v>494</v>
      </c>
      <c r="M82" s="7">
        <v>466</v>
      </c>
      <c r="N82" s="7">
        <v>360</v>
      </c>
      <c r="O82" s="7">
        <v>0</v>
      </c>
      <c r="P82" s="7">
        <v>0</v>
      </c>
      <c r="Q82" s="32">
        <f t="shared" si="4"/>
        <v>0.94331983805668018</v>
      </c>
      <c r="R82" s="32">
        <f t="shared" si="4"/>
        <v>0.77253218884120167</v>
      </c>
      <c r="S82" s="7"/>
      <c r="T82" s="7"/>
      <c r="U82" s="7"/>
      <c r="V82" s="7"/>
      <c r="W82" s="7"/>
    </row>
    <row r="83" spans="1:23">
      <c r="A83" s="6">
        <v>46131</v>
      </c>
      <c r="B83" s="7" t="s">
        <v>33</v>
      </c>
      <c r="C83" s="7"/>
      <c r="D83" s="51" t="s">
        <v>174</v>
      </c>
      <c r="E83" s="7"/>
      <c r="F83" s="7"/>
      <c r="G83" s="7"/>
      <c r="H83" s="7"/>
      <c r="I83" s="14" t="s">
        <v>64</v>
      </c>
      <c r="J83" s="7" t="s">
        <v>34</v>
      </c>
      <c r="K83" s="7" t="s">
        <v>171</v>
      </c>
      <c r="L83" s="7"/>
      <c r="M83" s="7"/>
      <c r="N83" s="7"/>
      <c r="O83" s="7"/>
      <c r="P83" s="7"/>
      <c r="Q83" s="32" t="e">
        <f t="shared" si="4"/>
        <v>#DIV/0!</v>
      </c>
      <c r="R83" s="32" t="e">
        <f t="shared" si="4"/>
        <v>#DIV/0!</v>
      </c>
      <c r="S83" s="7"/>
      <c r="T83" s="7"/>
      <c r="U83" s="7"/>
      <c r="V83" s="7"/>
      <c r="W83" s="7"/>
    </row>
    <row r="84" spans="1:23">
      <c r="A84" s="6">
        <v>46131</v>
      </c>
      <c r="B84" s="7" t="s">
        <v>33</v>
      </c>
      <c r="C84" s="7"/>
      <c r="D84" s="51" t="s">
        <v>175</v>
      </c>
      <c r="E84" s="7"/>
      <c r="F84" s="7"/>
      <c r="G84" s="7"/>
      <c r="H84" s="7"/>
      <c r="I84" s="14" t="s">
        <v>64</v>
      </c>
      <c r="J84" s="7" t="s">
        <v>34</v>
      </c>
      <c r="K84" s="7" t="s">
        <v>171</v>
      </c>
      <c r="L84" s="7"/>
      <c r="M84" s="7"/>
      <c r="N84" s="7"/>
      <c r="O84" s="7"/>
      <c r="P84" s="7"/>
      <c r="Q84" s="32" t="e">
        <f t="shared" si="4"/>
        <v>#DIV/0!</v>
      </c>
      <c r="R84" s="32" t="e">
        <f t="shared" si="4"/>
        <v>#DIV/0!</v>
      </c>
      <c r="S84" s="7"/>
      <c r="T84" s="7"/>
      <c r="U84" s="7"/>
      <c r="V84" s="7"/>
      <c r="W84" s="7"/>
    </row>
    <row r="85" spans="1:23">
      <c r="A85" s="6">
        <v>46131</v>
      </c>
      <c r="B85" s="7" t="s">
        <v>33</v>
      </c>
      <c r="C85" s="62">
        <v>0.9375</v>
      </c>
      <c r="D85" s="31" t="s">
        <v>266</v>
      </c>
      <c r="E85" s="7" t="s">
        <v>252</v>
      </c>
      <c r="F85" s="7" t="s">
        <v>247</v>
      </c>
      <c r="G85" s="7" t="s">
        <v>85</v>
      </c>
      <c r="H85" s="7"/>
      <c r="I85" s="30"/>
      <c r="J85" s="7" t="s">
        <v>34</v>
      </c>
      <c r="K85" s="7" t="s">
        <v>149</v>
      </c>
      <c r="L85" s="7">
        <v>148</v>
      </c>
      <c r="M85" s="7">
        <v>29</v>
      </c>
      <c r="N85" s="7">
        <v>4</v>
      </c>
      <c r="O85" s="7">
        <v>0</v>
      </c>
      <c r="P85" s="7">
        <v>0</v>
      </c>
      <c r="Q85" s="32">
        <f t="shared" si="4"/>
        <v>0.19594594594594594</v>
      </c>
      <c r="R85" s="32">
        <f t="shared" si="4"/>
        <v>0.13793103448275862</v>
      </c>
      <c r="S85" s="7"/>
      <c r="T85" s="7"/>
      <c r="U85" s="7"/>
      <c r="V85" s="7"/>
      <c r="W85" s="7"/>
    </row>
    <row r="86" spans="1:23" ht="16.8">
      <c r="A86" s="6">
        <v>46131</v>
      </c>
      <c r="B86" s="7" t="s">
        <v>33</v>
      </c>
      <c r="C86" s="62">
        <v>0.95833333333333337</v>
      </c>
      <c r="D86" s="31" t="s">
        <v>246</v>
      </c>
      <c r="E86" s="7" t="s">
        <v>252</v>
      </c>
      <c r="F86" s="7" t="s">
        <v>248</v>
      </c>
      <c r="G86" s="7"/>
      <c r="H86" s="7"/>
      <c r="I86" s="30"/>
      <c r="J86" s="7" t="s">
        <v>34</v>
      </c>
      <c r="K86" s="52" t="s">
        <v>157</v>
      </c>
      <c r="L86" s="7">
        <v>23</v>
      </c>
      <c r="M86" s="7">
        <v>11</v>
      </c>
      <c r="N86" s="7">
        <v>3</v>
      </c>
      <c r="O86" s="7">
        <v>1</v>
      </c>
      <c r="P86" s="7">
        <v>0</v>
      </c>
      <c r="Q86" s="32">
        <f t="shared" si="4"/>
        <v>0.47826086956521741</v>
      </c>
      <c r="R86" s="32">
        <f t="shared" si="4"/>
        <v>0.27272727272727271</v>
      </c>
      <c r="S86" s="7"/>
      <c r="T86" s="7"/>
      <c r="U86" s="7"/>
      <c r="V86" s="7"/>
      <c r="W86" s="7"/>
    </row>
    <row r="87" spans="1:23">
      <c r="A87" s="6">
        <v>46131</v>
      </c>
      <c r="B87" s="7" t="s">
        <v>33</v>
      </c>
      <c r="C87" s="62">
        <v>0.79166666666666663</v>
      </c>
      <c r="D87" s="31" t="s">
        <v>263</v>
      </c>
      <c r="E87" s="7" t="s">
        <v>252</v>
      </c>
      <c r="F87" s="7" t="s">
        <v>247</v>
      </c>
      <c r="G87" s="7" t="s">
        <v>85</v>
      </c>
      <c r="H87" s="7"/>
      <c r="I87" s="30"/>
      <c r="J87" s="7" t="s">
        <v>34</v>
      </c>
      <c r="K87" s="7" t="s">
        <v>121</v>
      </c>
      <c r="L87" s="7">
        <v>179</v>
      </c>
      <c r="M87" s="7">
        <v>21</v>
      </c>
      <c r="N87" s="7">
        <v>17</v>
      </c>
      <c r="O87" s="7">
        <v>0</v>
      </c>
      <c r="P87" s="7">
        <v>0</v>
      </c>
      <c r="Q87" s="32">
        <f t="shared" si="4"/>
        <v>0.11731843575418995</v>
      </c>
      <c r="R87" s="32">
        <f t="shared" si="4"/>
        <v>0.80952380952380953</v>
      </c>
      <c r="S87" s="7"/>
      <c r="T87" s="7"/>
      <c r="U87" s="7"/>
      <c r="V87" s="7"/>
      <c r="W87" s="7"/>
    </row>
    <row r="88" spans="1:23" ht="16.8">
      <c r="A88" s="6">
        <v>46131</v>
      </c>
      <c r="B88" s="35" t="s">
        <v>33</v>
      </c>
      <c r="C88" s="64">
        <v>0.85416666666666663</v>
      </c>
      <c r="D88" s="31" t="s">
        <v>250</v>
      </c>
      <c r="E88" s="7" t="s">
        <v>252</v>
      </c>
      <c r="F88" s="7" t="s">
        <v>248</v>
      </c>
      <c r="G88" s="35"/>
      <c r="H88" s="35"/>
      <c r="I88" s="63"/>
      <c r="J88" s="35" t="s">
        <v>34</v>
      </c>
      <c r="K88" s="53" t="s">
        <v>210</v>
      </c>
      <c r="L88" s="35">
        <v>92</v>
      </c>
      <c r="M88" s="35">
        <v>0</v>
      </c>
      <c r="N88" s="35">
        <v>0</v>
      </c>
      <c r="O88" s="35">
        <v>0</v>
      </c>
      <c r="P88" s="35">
        <v>0</v>
      </c>
      <c r="Q88" s="37">
        <f t="shared" si="4"/>
        <v>0</v>
      </c>
      <c r="R88" s="37" t="e">
        <f t="shared" si="4"/>
        <v>#DIV/0!</v>
      </c>
      <c r="S88" s="35"/>
      <c r="T88" s="35"/>
      <c r="U88" s="35"/>
      <c r="V88" s="35"/>
      <c r="W88" s="35"/>
    </row>
    <row r="89" spans="1:23" ht="6.6" customHeight="1">
      <c r="A89" s="22"/>
      <c r="B89" s="23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5"/>
      <c r="R89" s="25"/>
      <c r="S89" s="24"/>
      <c r="T89" s="24"/>
      <c r="U89" s="24"/>
      <c r="V89" s="25"/>
      <c r="W89" s="26"/>
    </row>
    <row r="90" spans="1:23">
      <c r="A90" s="6">
        <v>46132</v>
      </c>
      <c r="B90" s="7" t="s">
        <v>36</v>
      </c>
      <c r="C90" s="18"/>
      <c r="D90" s="18" t="s">
        <v>185</v>
      </c>
      <c r="E90" s="18" t="s">
        <v>109</v>
      </c>
      <c r="F90" s="18" t="s">
        <v>110</v>
      </c>
      <c r="G90" s="18"/>
      <c r="H90" s="18" t="s">
        <v>106</v>
      </c>
      <c r="I90" s="30"/>
      <c r="J90" s="18" t="s">
        <v>34</v>
      </c>
      <c r="K90" s="18" t="s">
        <v>106</v>
      </c>
      <c r="L90" s="7">
        <v>105</v>
      </c>
      <c r="M90" s="7">
        <v>3</v>
      </c>
      <c r="N90" s="7">
        <v>1</v>
      </c>
      <c r="O90" s="7">
        <v>0</v>
      </c>
      <c r="P90" s="7">
        <v>0</v>
      </c>
      <c r="Q90" s="32">
        <f t="shared" ref="Q90:R100" si="5">M90/L90</f>
        <v>2.8571428571428571E-2</v>
      </c>
      <c r="R90" s="32">
        <f t="shared" si="5"/>
        <v>0.33333333333333331</v>
      </c>
      <c r="S90" s="7"/>
      <c r="T90" s="7"/>
      <c r="U90" s="7"/>
      <c r="V90" s="7"/>
      <c r="W90" s="7"/>
    </row>
    <row r="91" spans="1:23">
      <c r="A91" s="6">
        <v>46132</v>
      </c>
      <c r="B91" s="7" t="s">
        <v>36</v>
      </c>
      <c r="C91" s="18"/>
      <c r="D91" s="18" t="s">
        <v>144</v>
      </c>
      <c r="E91" s="18" t="s">
        <v>312</v>
      </c>
      <c r="F91" s="18" t="s">
        <v>145</v>
      </c>
      <c r="G91" s="18"/>
      <c r="H91" s="18" t="s">
        <v>157</v>
      </c>
      <c r="I91" s="30"/>
      <c r="J91" s="18" t="s">
        <v>34</v>
      </c>
      <c r="K91" s="18" t="s">
        <v>157</v>
      </c>
      <c r="L91" s="7">
        <v>4</v>
      </c>
      <c r="M91" s="7">
        <v>1</v>
      </c>
      <c r="N91" s="7">
        <v>0</v>
      </c>
      <c r="O91" s="7">
        <v>0</v>
      </c>
      <c r="P91" s="7">
        <v>0</v>
      </c>
      <c r="Q91" s="32">
        <f t="shared" si="5"/>
        <v>0.25</v>
      </c>
      <c r="R91" s="32">
        <f t="shared" si="5"/>
        <v>0</v>
      </c>
      <c r="S91" s="7"/>
      <c r="T91" s="7"/>
      <c r="U91" s="7"/>
      <c r="V91" s="7"/>
      <c r="W91" s="7"/>
    </row>
    <row r="92" spans="1:23">
      <c r="A92" s="6">
        <v>46132</v>
      </c>
      <c r="B92" s="7" t="s">
        <v>36</v>
      </c>
      <c r="C92" s="18"/>
      <c r="D92" s="18" t="s">
        <v>146</v>
      </c>
      <c r="E92" s="18" t="s">
        <v>109</v>
      </c>
      <c r="F92" s="18" t="s">
        <v>147</v>
      </c>
      <c r="G92" s="18"/>
      <c r="H92" s="18" t="s">
        <v>149</v>
      </c>
      <c r="I92" s="30"/>
      <c r="J92" s="18" t="s">
        <v>34</v>
      </c>
      <c r="K92" s="18" t="s">
        <v>149</v>
      </c>
      <c r="L92" s="7">
        <v>3</v>
      </c>
      <c r="M92" s="7">
        <v>2</v>
      </c>
      <c r="N92" s="7">
        <v>0</v>
      </c>
      <c r="O92" s="7">
        <v>0</v>
      </c>
      <c r="P92" s="7">
        <v>0</v>
      </c>
      <c r="Q92" s="32">
        <f t="shared" si="5"/>
        <v>0.66666666666666663</v>
      </c>
      <c r="R92" s="32">
        <f t="shared" si="5"/>
        <v>0</v>
      </c>
      <c r="S92" s="7"/>
      <c r="T92" s="7"/>
      <c r="U92" s="7"/>
      <c r="V92" s="7"/>
      <c r="W92" s="7"/>
    </row>
    <row r="93" spans="1:23">
      <c r="A93" s="6">
        <v>46132</v>
      </c>
      <c r="B93" s="7" t="s">
        <v>36</v>
      </c>
      <c r="C93" s="18"/>
      <c r="D93" s="18" t="s">
        <v>187</v>
      </c>
      <c r="E93" s="18" t="s">
        <v>109</v>
      </c>
      <c r="F93" s="18" t="s">
        <v>188</v>
      </c>
      <c r="G93" s="18"/>
      <c r="H93" s="18"/>
      <c r="I93" s="30"/>
      <c r="J93" s="18" t="s">
        <v>34</v>
      </c>
      <c r="K93" s="18" t="s">
        <v>186</v>
      </c>
      <c r="L93" s="7">
        <v>57</v>
      </c>
      <c r="M93" s="7">
        <v>1</v>
      </c>
      <c r="N93" s="7">
        <v>0</v>
      </c>
      <c r="O93" s="7">
        <v>0</v>
      </c>
      <c r="P93" s="7">
        <v>0</v>
      </c>
      <c r="Q93" s="32">
        <f t="shared" si="5"/>
        <v>1.7543859649122806E-2</v>
      </c>
      <c r="R93" s="32">
        <f t="shared" si="5"/>
        <v>0</v>
      </c>
      <c r="S93" s="7"/>
      <c r="T93" s="7"/>
      <c r="U93" s="7"/>
      <c r="V93" s="7"/>
      <c r="W93" s="7"/>
    </row>
    <row r="94" spans="1:23">
      <c r="A94" s="6">
        <v>46132</v>
      </c>
      <c r="B94" s="7" t="s">
        <v>36</v>
      </c>
      <c r="C94" s="7"/>
      <c r="D94" s="31" t="s">
        <v>288</v>
      </c>
      <c r="E94" s="7"/>
      <c r="F94" s="7"/>
      <c r="G94" s="7"/>
      <c r="H94" s="7"/>
      <c r="I94" s="14" t="s">
        <v>67</v>
      </c>
      <c r="J94" s="7" t="s">
        <v>34</v>
      </c>
      <c r="K94" s="7" t="s">
        <v>170</v>
      </c>
      <c r="L94" s="7">
        <v>1497</v>
      </c>
      <c r="M94" s="7">
        <v>1441</v>
      </c>
      <c r="N94" s="7">
        <v>1049</v>
      </c>
      <c r="O94" s="7">
        <v>0</v>
      </c>
      <c r="P94" s="7">
        <v>3</v>
      </c>
      <c r="Q94" s="32">
        <f t="shared" si="5"/>
        <v>0.96259185036740147</v>
      </c>
      <c r="R94" s="32">
        <f t="shared" si="5"/>
        <v>0.7279666897987509</v>
      </c>
      <c r="S94" s="7"/>
      <c r="T94" s="7"/>
      <c r="U94" s="7"/>
      <c r="V94" s="7"/>
      <c r="W94" s="7"/>
    </row>
    <row r="95" spans="1:23">
      <c r="A95" s="6">
        <v>46132</v>
      </c>
      <c r="B95" s="7" t="s">
        <v>36</v>
      </c>
      <c r="C95" s="7"/>
      <c r="D95" s="65" t="s">
        <v>289</v>
      </c>
      <c r="E95" s="7"/>
      <c r="F95" s="7"/>
      <c r="G95" s="7"/>
      <c r="H95" s="7"/>
      <c r="I95" s="47" t="s">
        <v>278</v>
      </c>
      <c r="J95" s="7" t="s">
        <v>34</v>
      </c>
      <c r="K95" s="7" t="s">
        <v>170</v>
      </c>
      <c r="L95" s="7">
        <v>356</v>
      </c>
      <c r="M95" s="7">
        <v>333</v>
      </c>
      <c r="N95" s="7">
        <v>249</v>
      </c>
      <c r="O95" s="7">
        <v>0</v>
      </c>
      <c r="P95" s="7">
        <v>0</v>
      </c>
      <c r="Q95" s="32">
        <f t="shared" si="5"/>
        <v>0.9353932584269663</v>
      </c>
      <c r="R95" s="32">
        <f t="shared" si="5"/>
        <v>0.74774774774774777</v>
      </c>
      <c r="S95" s="7"/>
      <c r="T95" s="7"/>
      <c r="U95" s="7"/>
      <c r="V95" s="7"/>
      <c r="W95" s="7"/>
    </row>
    <row r="96" spans="1:23">
      <c r="A96" s="6">
        <v>46132</v>
      </c>
      <c r="B96" s="7" t="s">
        <v>36</v>
      </c>
      <c r="C96" s="7"/>
      <c r="D96" s="65" t="s">
        <v>270</v>
      </c>
      <c r="E96" s="7"/>
      <c r="F96" s="7"/>
      <c r="G96" s="7"/>
      <c r="H96" s="7"/>
      <c r="I96" s="47" t="s">
        <v>277</v>
      </c>
      <c r="J96" s="7" t="s">
        <v>34</v>
      </c>
      <c r="K96" s="7" t="s">
        <v>170</v>
      </c>
      <c r="L96" s="7">
        <v>288</v>
      </c>
      <c r="M96" s="7">
        <v>277</v>
      </c>
      <c r="N96" s="7">
        <v>194</v>
      </c>
      <c r="O96" s="7">
        <v>0</v>
      </c>
      <c r="P96" s="7">
        <v>2</v>
      </c>
      <c r="Q96" s="32">
        <f t="shared" si="5"/>
        <v>0.96180555555555558</v>
      </c>
      <c r="R96" s="32">
        <f t="shared" si="5"/>
        <v>0.70036101083032487</v>
      </c>
      <c r="S96" s="7"/>
      <c r="T96" s="7"/>
      <c r="U96" s="7"/>
      <c r="V96" s="7"/>
      <c r="W96" s="7"/>
    </row>
    <row r="97" spans="1:27">
      <c r="A97" s="6">
        <v>46132</v>
      </c>
      <c r="B97" s="7" t="s">
        <v>36</v>
      </c>
      <c r="C97" s="62">
        <v>0.9375</v>
      </c>
      <c r="D97" s="31" t="s">
        <v>293</v>
      </c>
      <c r="E97" s="7" t="s">
        <v>252</v>
      </c>
      <c r="F97" s="7" t="s">
        <v>150</v>
      </c>
      <c r="G97" s="7" t="s">
        <v>85</v>
      </c>
      <c r="H97" s="7"/>
      <c r="I97" s="47" t="s">
        <v>292</v>
      </c>
      <c r="J97" s="7" t="s">
        <v>34</v>
      </c>
      <c r="K97" s="7" t="s">
        <v>149</v>
      </c>
      <c r="L97" s="7">
        <v>150</v>
      </c>
      <c r="M97" s="7">
        <v>32</v>
      </c>
      <c r="N97" s="7">
        <v>5</v>
      </c>
      <c r="O97" s="7">
        <v>4</v>
      </c>
      <c r="P97" s="7">
        <v>0</v>
      </c>
      <c r="Q97" s="32">
        <f t="shared" si="5"/>
        <v>0.21333333333333335</v>
      </c>
      <c r="R97" s="32">
        <f t="shared" si="5"/>
        <v>0.15625</v>
      </c>
      <c r="S97" s="7"/>
      <c r="T97" s="7"/>
      <c r="U97" s="7"/>
      <c r="V97" s="7"/>
      <c r="W97" s="7"/>
    </row>
    <row r="98" spans="1:27" ht="16.8">
      <c r="A98" s="6">
        <v>46132</v>
      </c>
      <c r="B98" s="7" t="s">
        <v>36</v>
      </c>
      <c r="C98" s="62">
        <v>0.95833333333333337</v>
      </c>
      <c r="D98" s="31" t="s">
        <v>294</v>
      </c>
      <c r="E98" s="7" t="s">
        <v>252</v>
      </c>
      <c r="F98" s="7" t="s">
        <v>248</v>
      </c>
      <c r="G98" s="7"/>
      <c r="H98" s="7"/>
      <c r="I98" s="47" t="s">
        <v>292</v>
      </c>
      <c r="J98" s="7" t="s">
        <v>34</v>
      </c>
      <c r="K98" s="52" t="s">
        <v>157</v>
      </c>
      <c r="L98" s="7">
        <v>107</v>
      </c>
      <c r="M98" s="7">
        <v>20</v>
      </c>
      <c r="N98" s="7">
        <v>1</v>
      </c>
      <c r="O98" s="7">
        <v>3</v>
      </c>
      <c r="P98" s="7">
        <v>0</v>
      </c>
      <c r="Q98" s="32">
        <f t="shared" si="5"/>
        <v>0.18691588785046728</v>
      </c>
      <c r="R98" s="32">
        <f t="shared" si="5"/>
        <v>0.05</v>
      </c>
      <c r="S98" s="7"/>
      <c r="T98" s="7"/>
      <c r="U98" s="7"/>
      <c r="V98" s="7"/>
      <c r="W98" s="7"/>
    </row>
    <row r="99" spans="1:27">
      <c r="A99" s="6">
        <v>46132</v>
      </c>
      <c r="B99" s="7" t="s">
        <v>36</v>
      </c>
      <c r="C99" s="62">
        <v>0.79166666666666663</v>
      </c>
      <c r="D99" s="31" t="s">
        <v>295</v>
      </c>
      <c r="E99" s="7" t="s">
        <v>252</v>
      </c>
      <c r="F99" s="35" t="s">
        <v>150</v>
      </c>
      <c r="G99" s="7" t="s">
        <v>85</v>
      </c>
      <c r="H99" s="7"/>
      <c r="I99" s="47" t="s">
        <v>292</v>
      </c>
      <c r="J99" s="7" t="s">
        <v>34</v>
      </c>
      <c r="K99" s="7" t="s">
        <v>121</v>
      </c>
      <c r="L99" s="7">
        <v>180</v>
      </c>
      <c r="M99" s="7">
        <v>19</v>
      </c>
      <c r="N99" s="7">
        <v>11</v>
      </c>
      <c r="O99" s="7">
        <v>0</v>
      </c>
      <c r="P99" s="7">
        <v>0</v>
      </c>
      <c r="Q99" s="32">
        <f t="shared" si="5"/>
        <v>0.10555555555555556</v>
      </c>
      <c r="R99" s="32">
        <f t="shared" si="5"/>
        <v>0.57894736842105265</v>
      </c>
      <c r="S99" s="7"/>
      <c r="T99" s="7"/>
      <c r="U99" s="7"/>
      <c r="V99" s="7"/>
      <c r="W99" s="7"/>
    </row>
    <row r="100" spans="1:27" ht="16.8">
      <c r="A100" s="6">
        <v>46132</v>
      </c>
      <c r="B100" s="35" t="s">
        <v>36</v>
      </c>
      <c r="C100" s="64">
        <v>0.85416666666666663</v>
      </c>
      <c r="D100" s="31" t="s">
        <v>296</v>
      </c>
      <c r="E100" s="7" t="s">
        <v>252</v>
      </c>
      <c r="F100" s="7" t="s">
        <v>248</v>
      </c>
      <c r="G100" s="35"/>
      <c r="H100" s="35"/>
      <c r="I100" s="47" t="s">
        <v>292</v>
      </c>
      <c r="J100" s="35" t="s">
        <v>34</v>
      </c>
      <c r="K100" s="53" t="s">
        <v>210</v>
      </c>
      <c r="L100" s="35">
        <v>195</v>
      </c>
      <c r="M100" s="35">
        <v>0</v>
      </c>
      <c r="N100" s="35">
        <v>0</v>
      </c>
      <c r="O100" s="35">
        <v>0</v>
      </c>
      <c r="P100" s="35">
        <v>0</v>
      </c>
      <c r="Q100" s="37">
        <f t="shared" si="5"/>
        <v>0</v>
      </c>
      <c r="R100" s="37" t="e">
        <f t="shared" si="5"/>
        <v>#DIV/0!</v>
      </c>
      <c r="S100" s="35"/>
      <c r="T100" s="35"/>
      <c r="U100" s="35"/>
      <c r="V100" s="35"/>
      <c r="W100" s="35"/>
    </row>
    <row r="101" spans="1:27" ht="6.6" customHeight="1">
      <c r="A101" s="22"/>
      <c r="B101" s="23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5"/>
      <c r="R101" s="25"/>
      <c r="S101" s="24"/>
      <c r="T101" s="24"/>
      <c r="U101" s="24"/>
      <c r="V101" s="25"/>
      <c r="W101" s="26"/>
    </row>
    <row r="102" spans="1:27">
      <c r="A102" s="6">
        <v>46133</v>
      </c>
      <c r="B102" s="7" t="s">
        <v>78</v>
      </c>
      <c r="C102" s="18"/>
      <c r="D102" s="18" t="s">
        <v>185</v>
      </c>
      <c r="E102" s="18" t="s">
        <v>109</v>
      </c>
      <c r="F102" s="18" t="s">
        <v>110</v>
      </c>
      <c r="G102" s="18"/>
      <c r="H102" s="18" t="s">
        <v>106</v>
      </c>
      <c r="I102" s="30"/>
      <c r="J102" s="18" t="s">
        <v>34</v>
      </c>
      <c r="K102" s="18" t="s">
        <v>106</v>
      </c>
      <c r="L102" s="7">
        <v>104</v>
      </c>
      <c r="M102" s="7">
        <v>2</v>
      </c>
      <c r="N102" s="7">
        <v>1</v>
      </c>
      <c r="O102" s="7">
        <v>0</v>
      </c>
      <c r="P102" s="7">
        <v>0</v>
      </c>
      <c r="Q102" s="32">
        <f t="shared" ref="Q102:R112" si="6">M102/L102</f>
        <v>1.9230769230769232E-2</v>
      </c>
      <c r="R102" s="32">
        <f t="shared" si="6"/>
        <v>0.5</v>
      </c>
      <c r="S102" s="7"/>
      <c r="T102" s="7"/>
      <c r="U102" s="7"/>
      <c r="V102" s="7"/>
      <c r="W102" s="7"/>
    </row>
    <row r="103" spans="1:27">
      <c r="A103" s="6">
        <v>46133</v>
      </c>
      <c r="B103" s="7" t="s">
        <v>78</v>
      </c>
      <c r="C103" s="18"/>
      <c r="D103" s="18" t="s">
        <v>144</v>
      </c>
      <c r="E103" s="18" t="s">
        <v>252</v>
      </c>
      <c r="F103" s="18" t="s">
        <v>145</v>
      </c>
      <c r="G103" s="18"/>
      <c r="H103" s="18" t="s">
        <v>157</v>
      </c>
      <c r="I103" s="30"/>
      <c r="J103" s="18" t="s">
        <v>34</v>
      </c>
      <c r="K103" s="18" t="s">
        <v>157</v>
      </c>
      <c r="L103" s="7">
        <v>9</v>
      </c>
      <c r="M103" s="7">
        <v>6</v>
      </c>
      <c r="N103" s="7">
        <v>1</v>
      </c>
      <c r="O103" s="7">
        <v>1</v>
      </c>
      <c r="P103" s="7">
        <v>0</v>
      </c>
      <c r="Q103" s="32">
        <f t="shared" si="6"/>
        <v>0.66666666666666663</v>
      </c>
      <c r="R103" s="32">
        <f t="shared" si="6"/>
        <v>0.16666666666666666</v>
      </c>
      <c r="S103" s="7"/>
      <c r="T103" s="7"/>
      <c r="U103" s="7"/>
      <c r="V103" s="7"/>
      <c r="W103" s="7"/>
    </row>
    <row r="104" spans="1:27">
      <c r="A104" s="6">
        <v>46133</v>
      </c>
      <c r="B104" s="7" t="s">
        <v>78</v>
      </c>
      <c r="C104" s="18"/>
      <c r="D104" s="18" t="s">
        <v>146</v>
      </c>
      <c r="E104" s="18" t="s">
        <v>109</v>
      </c>
      <c r="F104" s="18" t="s">
        <v>147</v>
      </c>
      <c r="G104" s="18"/>
      <c r="H104" s="18" t="s">
        <v>149</v>
      </c>
      <c r="I104" s="30"/>
      <c r="J104" s="18" t="s">
        <v>34</v>
      </c>
      <c r="K104" s="18" t="s">
        <v>149</v>
      </c>
      <c r="L104" s="7">
        <v>8</v>
      </c>
      <c r="M104" s="7">
        <v>5</v>
      </c>
      <c r="N104" s="7">
        <v>2</v>
      </c>
      <c r="O104" s="7">
        <v>0</v>
      </c>
      <c r="P104" s="7">
        <v>0</v>
      </c>
      <c r="Q104" s="32">
        <f t="shared" si="6"/>
        <v>0.625</v>
      </c>
      <c r="R104" s="32">
        <f t="shared" si="6"/>
        <v>0.4</v>
      </c>
      <c r="S104" s="7"/>
      <c r="T104" s="7"/>
      <c r="U104" s="7"/>
      <c r="V104" s="7"/>
      <c r="W104" s="7"/>
      <c r="Y104">
        <v>59</v>
      </c>
      <c r="Z104">
        <v>0</v>
      </c>
      <c r="AA104">
        <v>0</v>
      </c>
    </row>
    <row r="105" spans="1:27">
      <c r="A105" s="6">
        <v>46133</v>
      </c>
      <c r="B105" s="7" t="s">
        <v>78</v>
      </c>
      <c r="C105" s="18"/>
      <c r="D105" s="18" t="s">
        <v>187</v>
      </c>
      <c r="E105" s="18" t="s">
        <v>109</v>
      </c>
      <c r="F105" s="18" t="s">
        <v>188</v>
      </c>
      <c r="G105" s="18"/>
      <c r="H105" s="18"/>
      <c r="I105" s="30"/>
      <c r="J105" s="18" t="s">
        <v>34</v>
      </c>
      <c r="K105" s="18" t="s">
        <v>186</v>
      </c>
      <c r="L105" s="7">
        <v>59</v>
      </c>
      <c r="M105" s="7">
        <v>0</v>
      </c>
      <c r="N105" s="7">
        <v>0</v>
      </c>
      <c r="O105" s="7">
        <v>0</v>
      </c>
      <c r="P105" s="7">
        <v>0</v>
      </c>
      <c r="Q105" s="32">
        <f t="shared" si="6"/>
        <v>0</v>
      </c>
      <c r="R105" s="32" t="e">
        <f t="shared" si="6"/>
        <v>#DIV/0!</v>
      </c>
      <c r="S105" s="7"/>
      <c r="T105" s="7"/>
      <c r="U105" s="7"/>
      <c r="V105" s="7"/>
      <c r="W105" s="7"/>
      <c r="Y105">
        <v>495</v>
      </c>
      <c r="Z105">
        <v>37</v>
      </c>
      <c r="AA105">
        <v>22</v>
      </c>
    </row>
    <row r="106" spans="1:27">
      <c r="A106" s="6">
        <v>46133</v>
      </c>
      <c r="B106" s="7" t="s">
        <v>78</v>
      </c>
      <c r="C106" s="7"/>
      <c r="D106" s="31" t="s">
        <v>327</v>
      </c>
      <c r="E106" s="7" t="s">
        <v>252</v>
      </c>
      <c r="F106" s="7"/>
      <c r="G106" s="7"/>
      <c r="H106" s="7"/>
      <c r="I106" s="14" t="s">
        <v>67</v>
      </c>
      <c r="J106" s="7" t="s">
        <v>34</v>
      </c>
      <c r="K106" s="7" t="s">
        <v>170</v>
      </c>
      <c r="L106" s="7">
        <v>1497</v>
      </c>
      <c r="M106" s="7">
        <v>1444</v>
      </c>
      <c r="N106" s="7">
        <v>1049</v>
      </c>
      <c r="O106" s="7">
        <v>0</v>
      </c>
      <c r="P106" s="7">
        <v>3</v>
      </c>
      <c r="Q106" s="32">
        <f t="shared" si="6"/>
        <v>0.96459585838343354</v>
      </c>
      <c r="R106" s="32">
        <f t="shared" si="6"/>
        <v>0.72645429362880887</v>
      </c>
      <c r="S106" s="7"/>
      <c r="T106" s="7"/>
      <c r="U106" s="7"/>
      <c r="V106" s="7"/>
      <c r="W106" s="7"/>
      <c r="Y106">
        <v>58</v>
      </c>
      <c r="Z106">
        <v>0</v>
      </c>
      <c r="AA106">
        <v>0</v>
      </c>
    </row>
    <row r="107" spans="1:27">
      <c r="A107" s="6">
        <v>46133</v>
      </c>
      <c r="B107" s="7" t="s">
        <v>78</v>
      </c>
      <c r="C107" s="7"/>
      <c r="D107" s="65" t="s">
        <v>289</v>
      </c>
      <c r="E107" s="7" t="s">
        <v>252</v>
      </c>
      <c r="F107" s="7"/>
      <c r="G107" s="7"/>
      <c r="H107" s="7"/>
      <c r="I107" s="47"/>
      <c r="J107" s="7" t="s">
        <v>34</v>
      </c>
      <c r="K107" s="7" t="s">
        <v>170</v>
      </c>
      <c r="L107" s="7">
        <v>467</v>
      </c>
      <c r="M107" s="7">
        <v>439</v>
      </c>
      <c r="N107" s="7">
        <v>332</v>
      </c>
      <c r="O107" s="7">
        <v>0</v>
      </c>
      <c r="P107" s="7">
        <v>1</v>
      </c>
      <c r="Q107" s="32">
        <f t="shared" si="6"/>
        <v>0.94004282655246252</v>
      </c>
      <c r="R107" s="32">
        <f t="shared" si="6"/>
        <v>0.75626423690205014</v>
      </c>
      <c r="S107" s="7"/>
      <c r="T107" s="7"/>
      <c r="U107" s="7"/>
      <c r="V107" s="7"/>
      <c r="W107" s="7"/>
      <c r="Y107">
        <v>532</v>
      </c>
      <c r="Z107">
        <v>44</v>
      </c>
      <c r="AA107">
        <v>27</v>
      </c>
    </row>
    <row r="108" spans="1:27">
      <c r="A108" s="6">
        <v>46133</v>
      </c>
      <c r="B108" s="7" t="s">
        <v>78</v>
      </c>
      <c r="C108" s="7"/>
      <c r="D108" s="65" t="s">
        <v>328</v>
      </c>
      <c r="E108" s="7" t="s">
        <v>252</v>
      </c>
      <c r="F108" s="7"/>
      <c r="G108" s="7"/>
      <c r="H108" s="7"/>
      <c r="I108" s="47" t="s">
        <v>326</v>
      </c>
      <c r="J108" s="7" t="s">
        <v>34</v>
      </c>
      <c r="K108" s="7" t="s">
        <v>170</v>
      </c>
      <c r="L108" s="7">
        <v>386</v>
      </c>
      <c r="M108" s="7">
        <v>366</v>
      </c>
      <c r="N108" s="7">
        <v>266</v>
      </c>
      <c r="O108" s="7">
        <v>0</v>
      </c>
      <c r="P108" s="7">
        <v>0</v>
      </c>
      <c r="Q108" s="32">
        <f t="shared" si="6"/>
        <v>0.94818652849740936</v>
      </c>
      <c r="R108" s="32">
        <f t="shared" si="6"/>
        <v>0.72677595628415304</v>
      </c>
      <c r="S108" s="7"/>
      <c r="T108" s="7"/>
      <c r="U108" s="7"/>
      <c r="V108" s="7"/>
      <c r="W108" s="7"/>
      <c r="Y108">
        <f>SUM(Y104:Y107)</f>
        <v>1144</v>
      </c>
      <c r="Z108">
        <f>SUM(Z104:Z107)</f>
        <v>81</v>
      </c>
      <c r="AA108">
        <f>SUM(AA104:AA107)</f>
        <v>49</v>
      </c>
    </row>
    <row r="109" spans="1:27">
      <c r="A109" s="6">
        <v>46133</v>
      </c>
      <c r="B109" s="7" t="s">
        <v>78</v>
      </c>
      <c r="C109" s="62">
        <v>0.9375</v>
      </c>
      <c r="D109" s="31" t="s">
        <v>333</v>
      </c>
      <c r="E109" s="7" t="s">
        <v>252</v>
      </c>
      <c r="F109" s="7" t="s">
        <v>334</v>
      </c>
      <c r="G109" s="7"/>
      <c r="H109" s="7"/>
      <c r="I109" s="47" t="s">
        <v>209</v>
      </c>
      <c r="J109" s="7" t="s">
        <v>34</v>
      </c>
      <c r="K109" s="7" t="s">
        <v>149</v>
      </c>
      <c r="L109" s="7">
        <v>144</v>
      </c>
      <c r="M109" s="7">
        <v>27</v>
      </c>
      <c r="N109" s="7">
        <v>3</v>
      </c>
      <c r="O109" s="7">
        <v>2</v>
      </c>
      <c r="P109" s="7">
        <v>0</v>
      </c>
      <c r="Q109" s="32">
        <f t="shared" si="6"/>
        <v>0.1875</v>
      </c>
      <c r="R109" s="32">
        <f t="shared" si="6"/>
        <v>0.1111111111111111</v>
      </c>
      <c r="S109" s="7"/>
      <c r="T109" s="7"/>
      <c r="U109" s="7"/>
      <c r="V109" s="7"/>
      <c r="W109" s="7"/>
    </row>
    <row r="110" spans="1:27" ht="16.8">
      <c r="A110" s="6">
        <v>46133</v>
      </c>
      <c r="B110" s="7" t="s">
        <v>78</v>
      </c>
      <c r="C110" s="62">
        <v>0.95833333333333337</v>
      </c>
      <c r="D110" s="31" t="s">
        <v>335</v>
      </c>
      <c r="E110" s="7" t="s">
        <v>252</v>
      </c>
      <c r="F110" s="7" t="s">
        <v>336</v>
      </c>
      <c r="G110" s="7"/>
      <c r="H110" s="7"/>
      <c r="I110" s="47" t="s">
        <v>209</v>
      </c>
      <c r="J110" s="7" t="s">
        <v>34</v>
      </c>
      <c r="K110" s="52" t="s">
        <v>157</v>
      </c>
      <c r="L110" s="7">
        <v>192</v>
      </c>
      <c r="M110" s="7">
        <v>48</v>
      </c>
      <c r="N110" s="7">
        <v>7</v>
      </c>
      <c r="O110" s="7">
        <v>1</v>
      </c>
      <c r="P110" s="7">
        <v>0</v>
      </c>
      <c r="Q110" s="32">
        <f t="shared" si="6"/>
        <v>0.25</v>
      </c>
      <c r="R110" s="32">
        <f t="shared" si="6"/>
        <v>0.14583333333333334</v>
      </c>
      <c r="S110" s="7"/>
      <c r="T110" s="7"/>
      <c r="U110" s="7"/>
      <c r="V110" s="7"/>
      <c r="W110" s="7"/>
    </row>
    <row r="111" spans="1:27">
      <c r="A111" s="6">
        <v>46133</v>
      </c>
      <c r="B111" s="7" t="s">
        <v>78</v>
      </c>
      <c r="C111" s="62">
        <v>0.79166666666666663</v>
      </c>
      <c r="D111" s="31" t="s">
        <v>337</v>
      </c>
      <c r="E111" s="7" t="s">
        <v>252</v>
      </c>
      <c r="F111" s="7" t="s">
        <v>334</v>
      </c>
      <c r="G111" s="7"/>
      <c r="H111" s="7"/>
      <c r="I111" s="47" t="s">
        <v>209</v>
      </c>
      <c r="J111" s="7" t="s">
        <v>34</v>
      </c>
      <c r="K111" s="7" t="s">
        <v>121</v>
      </c>
      <c r="L111" s="7">
        <v>187</v>
      </c>
      <c r="M111" s="7">
        <v>17</v>
      </c>
      <c r="N111" s="7">
        <v>10</v>
      </c>
      <c r="O111" s="7">
        <v>0</v>
      </c>
      <c r="P111" s="7">
        <v>0</v>
      </c>
      <c r="Q111" s="32">
        <f t="shared" si="6"/>
        <v>9.0909090909090912E-2</v>
      </c>
      <c r="R111" s="32">
        <f t="shared" si="6"/>
        <v>0.58823529411764708</v>
      </c>
      <c r="S111" s="7"/>
      <c r="T111" s="7"/>
      <c r="U111" s="7"/>
      <c r="V111" s="7"/>
      <c r="W111" s="7"/>
    </row>
    <row r="112" spans="1:27" ht="16.8">
      <c r="A112" s="6">
        <v>46133</v>
      </c>
      <c r="B112" s="35" t="s">
        <v>78</v>
      </c>
      <c r="C112" s="64">
        <v>0.85416666666666663</v>
      </c>
      <c r="D112" s="31" t="s">
        <v>338</v>
      </c>
      <c r="E112" s="7" t="s">
        <v>252</v>
      </c>
      <c r="F112" s="7" t="s">
        <v>336</v>
      </c>
      <c r="G112" s="35"/>
      <c r="H112" s="35"/>
      <c r="I112" s="47" t="s">
        <v>209</v>
      </c>
      <c r="J112" s="35" t="s">
        <v>34</v>
      </c>
      <c r="K112" s="53" t="s">
        <v>210</v>
      </c>
      <c r="L112" s="35">
        <v>308</v>
      </c>
      <c r="M112" s="35">
        <v>20</v>
      </c>
      <c r="N112" s="35">
        <v>12</v>
      </c>
      <c r="O112" s="35">
        <v>0</v>
      </c>
      <c r="P112" s="35">
        <v>0</v>
      </c>
      <c r="Q112" s="37">
        <f t="shared" si="6"/>
        <v>6.4935064935064929E-2</v>
      </c>
      <c r="R112" s="37">
        <f t="shared" si="6"/>
        <v>0.6</v>
      </c>
      <c r="S112" s="35"/>
      <c r="T112" s="35"/>
      <c r="U112" s="35"/>
      <c r="V112" s="35"/>
      <c r="W112" s="35"/>
    </row>
    <row r="113" spans="1:23" ht="6.6" customHeight="1">
      <c r="A113" s="22"/>
      <c r="B113" s="23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5"/>
      <c r="R113" s="25"/>
      <c r="S113" s="24"/>
      <c r="T113" s="24"/>
      <c r="U113" s="24"/>
      <c r="V113" s="25"/>
      <c r="W113" s="26"/>
    </row>
    <row r="114" spans="1:23">
      <c r="A114" s="6">
        <v>46134</v>
      </c>
      <c r="B114" s="7" t="s">
        <v>124</v>
      </c>
      <c r="C114" s="18"/>
      <c r="D114" s="18" t="s">
        <v>185</v>
      </c>
      <c r="E114" s="18" t="s">
        <v>109</v>
      </c>
      <c r="F114" s="18" t="s">
        <v>110</v>
      </c>
      <c r="G114" s="18"/>
      <c r="H114" s="18" t="s">
        <v>106</v>
      </c>
      <c r="I114" s="30"/>
      <c r="J114" s="18" t="s">
        <v>34</v>
      </c>
      <c r="K114" s="18" t="s">
        <v>106</v>
      </c>
      <c r="L114" s="7">
        <v>104</v>
      </c>
      <c r="M114" s="7">
        <v>2</v>
      </c>
      <c r="N114" s="7">
        <v>1</v>
      </c>
      <c r="O114" s="7">
        <v>0</v>
      </c>
      <c r="P114" s="7">
        <v>3</v>
      </c>
      <c r="Q114" s="32">
        <f t="shared" ref="Q114:R125" si="7">M114/L114</f>
        <v>1.9230769230769232E-2</v>
      </c>
      <c r="R114" s="32">
        <f t="shared" si="7"/>
        <v>0.5</v>
      </c>
      <c r="S114" s="7"/>
      <c r="T114" s="7"/>
      <c r="U114" s="7"/>
      <c r="V114" s="7"/>
      <c r="W114" s="7"/>
    </row>
    <row r="115" spans="1:23">
      <c r="A115" s="6">
        <v>46134</v>
      </c>
      <c r="B115" s="7" t="s">
        <v>124</v>
      </c>
      <c r="C115" s="18"/>
      <c r="D115" s="18" t="s">
        <v>144</v>
      </c>
      <c r="E115" s="18" t="s">
        <v>252</v>
      </c>
      <c r="F115" s="18" t="s">
        <v>145</v>
      </c>
      <c r="G115" s="18"/>
      <c r="H115" s="18" t="s">
        <v>157</v>
      </c>
      <c r="I115" s="30"/>
      <c r="J115" s="18" t="s">
        <v>34</v>
      </c>
      <c r="K115" s="18" t="s">
        <v>157</v>
      </c>
      <c r="L115" s="7">
        <v>16</v>
      </c>
      <c r="M115" s="7">
        <v>3</v>
      </c>
      <c r="N115" s="7">
        <v>0</v>
      </c>
      <c r="O115" s="7">
        <v>1</v>
      </c>
      <c r="P115" s="7">
        <v>0</v>
      </c>
      <c r="Q115" s="32">
        <f t="shared" si="7"/>
        <v>0.1875</v>
      </c>
      <c r="R115" s="32">
        <f t="shared" si="7"/>
        <v>0</v>
      </c>
      <c r="S115" s="7"/>
      <c r="T115" s="7"/>
      <c r="U115" s="7"/>
      <c r="V115" s="7"/>
      <c r="W115" s="7"/>
    </row>
    <row r="116" spans="1:23">
      <c r="A116" s="6">
        <v>46134</v>
      </c>
      <c r="B116" s="7" t="s">
        <v>124</v>
      </c>
      <c r="C116" s="18"/>
      <c r="D116" s="18" t="s">
        <v>146</v>
      </c>
      <c r="E116" s="18" t="s">
        <v>109</v>
      </c>
      <c r="F116" s="18" t="s">
        <v>147</v>
      </c>
      <c r="G116" s="18"/>
      <c r="H116" s="18" t="s">
        <v>149</v>
      </c>
      <c r="I116" s="30"/>
      <c r="J116" s="18" t="s">
        <v>34</v>
      </c>
      <c r="K116" s="18" t="s">
        <v>149</v>
      </c>
      <c r="L116" s="7">
        <v>9</v>
      </c>
      <c r="M116" s="7">
        <v>5</v>
      </c>
      <c r="N116" s="7">
        <v>0</v>
      </c>
      <c r="O116" s="7">
        <v>0</v>
      </c>
      <c r="P116" s="7">
        <v>0</v>
      </c>
      <c r="Q116" s="32">
        <f t="shared" si="7"/>
        <v>0.55555555555555558</v>
      </c>
      <c r="R116" s="32">
        <f t="shared" si="7"/>
        <v>0</v>
      </c>
      <c r="S116" s="7"/>
      <c r="T116" s="7"/>
      <c r="U116" s="7"/>
      <c r="V116" s="7"/>
      <c r="W116" s="7"/>
    </row>
    <row r="117" spans="1:23">
      <c r="A117" s="6">
        <v>46134</v>
      </c>
      <c r="B117" s="7" t="s">
        <v>124</v>
      </c>
      <c r="C117" s="18"/>
      <c r="D117" s="18" t="s">
        <v>187</v>
      </c>
      <c r="E117" s="18" t="s">
        <v>109</v>
      </c>
      <c r="F117" s="18" t="s">
        <v>188</v>
      </c>
      <c r="G117" s="18"/>
      <c r="H117" s="18"/>
      <c r="I117" s="30"/>
      <c r="J117" s="18" t="s">
        <v>34</v>
      </c>
      <c r="K117" s="18" t="s">
        <v>186</v>
      </c>
      <c r="L117" s="7">
        <v>1248</v>
      </c>
      <c r="M117" s="7">
        <v>2</v>
      </c>
      <c r="N117" s="7">
        <v>1</v>
      </c>
      <c r="O117" s="7">
        <v>0</v>
      </c>
      <c r="P117" s="7">
        <v>1</v>
      </c>
      <c r="Q117" s="32">
        <f t="shared" si="7"/>
        <v>1.6025641025641025E-3</v>
      </c>
      <c r="R117" s="32">
        <f t="shared" si="7"/>
        <v>0.5</v>
      </c>
      <c r="S117" s="7"/>
      <c r="T117" s="7"/>
      <c r="U117" s="7"/>
      <c r="V117" s="7"/>
      <c r="W117" s="7"/>
    </row>
    <row r="118" spans="1:23">
      <c r="A118" s="6">
        <v>46134</v>
      </c>
      <c r="B118" s="7" t="s">
        <v>124</v>
      </c>
      <c r="C118" s="7"/>
      <c r="D118" s="7" t="s">
        <v>399</v>
      </c>
      <c r="E118" s="7" t="s">
        <v>252</v>
      </c>
      <c r="F118" s="7"/>
      <c r="G118" s="7"/>
      <c r="H118" s="7"/>
      <c r="I118" s="14" t="s">
        <v>67</v>
      </c>
      <c r="J118" s="7" t="s">
        <v>34</v>
      </c>
      <c r="K118" s="7" t="s">
        <v>170</v>
      </c>
      <c r="L118" s="7">
        <v>1497</v>
      </c>
      <c r="M118" s="7">
        <v>1455</v>
      </c>
      <c r="N118" s="7">
        <v>1067</v>
      </c>
      <c r="O118" s="7">
        <v>0</v>
      </c>
      <c r="P118" s="7">
        <v>3</v>
      </c>
      <c r="Q118" s="32">
        <f t="shared" si="7"/>
        <v>0.97194388777555107</v>
      </c>
      <c r="R118" s="32">
        <f t="shared" si="7"/>
        <v>0.73333333333333328</v>
      </c>
      <c r="S118" s="7"/>
      <c r="T118" s="7"/>
      <c r="U118" s="7"/>
      <c r="V118" s="7"/>
      <c r="W118" s="7"/>
    </row>
    <row r="119" spans="1:23">
      <c r="A119" s="6">
        <v>46134</v>
      </c>
      <c r="B119" s="7" t="s">
        <v>124</v>
      </c>
      <c r="C119" s="7"/>
      <c r="D119" s="65" t="s">
        <v>289</v>
      </c>
      <c r="E119" s="7" t="s">
        <v>252</v>
      </c>
      <c r="F119" s="7"/>
      <c r="G119" s="7"/>
      <c r="H119" s="7"/>
      <c r="I119" s="47"/>
      <c r="J119" s="7" t="s">
        <v>34</v>
      </c>
      <c r="K119" s="7" t="s">
        <v>170</v>
      </c>
      <c r="L119" s="7">
        <v>478</v>
      </c>
      <c r="M119" s="7">
        <v>464</v>
      </c>
      <c r="N119" s="7">
        <v>353</v>
      </c>
      <c r="O119" s="7">
        <v>0</v>
      </c>
      <c r="P119" s="7">
        <v>1</v>
      </c>
      <c r="Q119" s="32">
        <f t="shared" si="7"/>
        <v>0.97071129707112969</v>
      </c>
      <c r="R119" s="32">
        <f t="shared" si="7"/>
        <v>0.76077586206896552</v>
      </c>
      <c r="S119" s="7"/>
      <c r="T119" s="7"/>
      <c r="U119" s="7"/>
      <c r="V119" s="7"/>
      <c r="W119" s="7"/>
    </row>
    <row r="120" spans="1:23">
      <c r="A120" s="6">
        <v>46134</v>
      </c>
      <c r="B120" s="7" t="s">
        <v>124</v>
      </c>
      <c r="C120" s="7"/>
      <c r="D120" s="65" t="s">
        <v>328</v>
      </c>
      <c r="E120" s="7" t="s">
        <v>252</v>
      </c>
      <c r="F120" s="7"/>
      <c r="G120" s="7"/>
      <c r="H120" s="7"/>
      <c r="I120" s="47" t="s">
        <v>326</v>
      </c>
      <c r="J120" s="7" t="s">
        <v>34</v>
      </c>
      <c r="K120" s="7" t="s">
        <v>170</v>
      </c>
      <c r="L120" s="7">
        <v>469</v>
      </c>
      <c r="M120" s="7">
        <v>453</v>
      </c>
      <c r="N120" s="7">
        <v>329</v>
      </c>
      <c r="O120" s="7">
        <v>0</v>
      </c>
      <c r="P120" s="7">
        <v>1</v>
      </c>
      <c r="Q120" s="32">
        <f t="shared" si="7"/>
        <v>0.9658848614072495</v>
      </c>
      <c r="R120" s="32">
        <f t="shared" si="7"/>
        <v>0.72626931567328923</v>
      </c>
      <c r="S120" s="7"/>
      <c r="T120" s="7"/>
      <c r="U120" s="7"/>
      <c r="V120" s="7"/>
      <c r="W120" s="7"/>
    </row>
    <row r="121" spans="1:23">
      <c r="A121" s="6">
        <v>46134</v>
      </c>
      <c r="B121" s="7" t="s">
        <v>124</v>
      </c>
      <c r="C121" s="62">
        <v>0.9375</v>
      </c>
      <c r="D121" s="31" t="s">
        <v>401</v>
      </c>
      <c r="E121" s="7" t="s">
        <v>252</v>
      </c>
      <c r="F121" s="7" t="s">
        <v>150</v>
      </c>
      <c r="G121" s="7" t="s">
        <v>85</v>
      </c>
      <c r="H121" s="7"/>
      <c r="I121" s="47"/>
      <c r="J121" s="7" t="s">
        <v>34</v>
      </c>
      <c r="K121" s="7" t="s">
        <v>149</v>
      </c>
      <c r="L121" s="7">
        <v>151</v>
      </c>
      <c r="M121" s="7">
        <v>24</v>
      </c>
      <c r="N121" s="7">
        <v>6</v>
      </c>
      <c r="O121" s="7">
        <v>3</v>
      </c>
      <c r="P121" s="7">
        <v>0</v>
      </c>
      <c r="Q121" s="32">
        <f t="shared" si="7"/>
        <v>0.15894039735099338</v>
      </c>
      <c r="R121" s="32">
        <f t="shared" si="7"/>
        <v>0.25</v>
      </c>
      <c r="S121" s="7"/>
      <c r="T121" s="7"/>
      <c r="U121" s="7"/>
      <c r="V121" s="7"/>
      <c r="W121" s="7"/>
    </row>
    <row r="122" spans="1:23" ht="16.8">
      <c r="A122" s="6">
        <v>46134</v>
      </c>
      <c r="B122" s="7" t="s">
        <v>124</v>
      </c>
      <c r="C122" s="62">
        <v>0.95833333333333337</v>
      </c>
      <c r="D122" s="31" t="s">
        <v>402</v>
      </c>
      <c r="E122" s="7" t="s">
        <v>252</v>
      </c>
      <c r="F122" s="7" t="s">
        <v>248</v>
      </c>
      <c r="G122" s="7"/>
      <c r="H122" s="7"/>
      <c r="I122" s="47"/>
      <c r="J122" s="7" t="s">
        <v>34</v>
      </c>
      <c r="K122" s="52" t="s">
        <v>157</v>
      </c>
      <c r="L122" s="7">
        <v>204</v>
      </c>
      <c r="M122" s="7">
        <v>35</v>
      </c>
      <c r="N122" s="7">
        <v>5</v>
      </c>
      <c r="O122" s="7">
        <v>1</v>
      </c>
      <c r="P122" s="7">
        <v>0</v>
      </c>
      <c r="Q122" s="32">
        <f t="shared" si="7"/>
        <v>0.17156862745098039</v>
      </c>
      <c r="R122" s="32">
        <f t="shared" si="7"/>
        <v>0.14285714285714285</v>
      </c>
      <c r="S122" s="7"/>
      <c r="T122" s="7"/>
      <c r="U122" s="7"/>
      <c r="V122" s="7"/>
      <c r="W122" s="7"/>
    </row>
    <row r="123" spans="1:23" ht="16.8">
      <c r="A123" s="6">
        <v>46134</v>
      </c>
      <c r="B123" s="7" t="s">
        <v>124</v>
      </c>
      <c r="C123" s="62">
        <v>0.82291666666666663</v>
      </c>
      <c r="D123" s="31" t="s">
        <v>421</v>
      </c>
      <c r="E123" s="31" t="s">
        <v>252</v>
      </c>
      <c r="F123" s="31" t="s">
        <v>334</v>
      </c>
      <c r="G123" s="7"/>
      <c r="H123" s="7"/>
      <c r="I123" s="47" t="s">
        <v>419</v>
      </c>
      <c r="J123" s="7" t="s">
        <v>34</v>
      </c>
      <c r="K123" s="52" t="s">
        <v>420</v>
      </c>
      <c r="L123" s="7">
        <v>125</v>
      </c>
      <c r="M123" s="7">
        <v>29</v>
      </c>
      <c r="N123" s="7">
        <v>4</v>
      </c>
      <c r="O123" s="7">
        <v>0</v>
      </c>
      <c r="P123" s="7">
        <v>0</v>
      </c>
      <c r="Q123" s="32">
        <f t="shared" si="7"/>
        <v>0.23200000000000001</v>
      </c>
      <c r="R123" s="32">
        <f t="shared" si="7"/>
        <v>0.13793103448275862</v>
      </c>
      <c r="S123" s="7"/>
      <c r="T123" s="7"/>
      <c r="U123" s="7"/>
      <c r="V123" s="7"/>
      <c r="W123" s="7"/>
    </row>
    <row r="124" spans="1:23">
      <c r="A124" s="6">
        <v>46134</v>
      </c>
      <c r="B124" s="7" t="s">
        <v>124</v>
      </c>
      <c r="C124" s="62">
        <v>0.79166666666666663</v>
      </c>
      <c r="D124" s="31" t="s">
        <v>403</v>
      </c>
      <c r="E124" s="7" t="s">
        <v>252</v>
      </c>
      <c r="F124" s="35" t="s">
        <v>150</v>
      </c>
      <c r="G124" s="7" t="s">
        <v>85</v>
      </c>
      <c r="H124" s="7"/>
      <c r="I124" s="47"/>
      <c r="J124" s="7" t="s">
        <v>34</v>
      </c>
      <c r="K124" s="7" t="s">
        <v>121</v>
      </c>
      <c r="L124" s="7">
        <v>214</v>
      </c>
      <c r="M124" s="7">
        <v>18</v>
      </c>
      <c r="N124" s="7">
        <v>11</v>
      </c>
      <c r="O124" s="7">
        <v>0</v>
      </c>
      <c r="P124" s="7">
        <v>0</v>
      </c>
      <c r="Q124" s="32">
        <f t="shared" si="7"/>
        <v>8.4112149532710276E-2</v>
      </c>
      <c r="R124" s="32">
        <f t="shared" si="7"/>
        <v>0.61111111111111116</v>
      </c>
      <c r="S124" s="7"/>
      <c r="T124" s="7"/>
      <c r="U124" s="7"/>
      <c r="V124" s="7"/>
      <c r="W124" s="7"/>
    </row>
    <row r="125" spans="1:23" ht="16.8">
      <c r="A125" s="6">
        <v>46134</v>
      </c>
      <c r="B125" s="35" t="s">
        <v>124</v>
      </c>
      <c r="C125" s="64">
        <v>0.85416666666666663</v>
      </c>
      <c r="D125" s="31" t="s">
        <v>404</v>
      </c>
      <c r="E125" s="7" t="s">
        <v>252</v>
      </c>
      <c r="F125" s="7" t="s">
        <v>248</v>
      </c>
      <c r="G125" s="35"/>
      <c r="H125" s="35"/>
      <c r="I125" s="47"/>
      <c r="J125" s="35" t="s">
        <v>34</v>
      </c>
      <c r="K125" s="53" t="s">
        <v>210</v>
      </c>
      <c r="L125" s="35">
        <v>449</v>
      </c>
      <c r="M125" s="35">
        <v>31</v>
      </c>
      <c r="N125" s="35">
        <v>20</v>
      </c>
      <c r="O125" s="35">
        <v>0</v>
      </c>
      <c r="P125" s="35">
        <v>0</v>
      </c>
      <c r="Q125" s="37">
        <f t="shared" si="7"/>
        <v>6.9042316258351888E-2</v>
      </c>
      <c r="R125" s="37">
        <f t="shared" si="7"/>
        <v>0.64516129032258063</v>
      </c>
      <c r="S125" s="35"/>
      <c r="T125" s="35"/>
      <c r="U125" s="35"/>
      <c r="V125" s="35"/>
      <c r="W125" s="35"/>
    </row>
    <row r="126" spans="1:23" ht="6.6" customHeight="1">
      <c r="A126" s="22"/>
      <c r="B126" s="23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5"/>
      <c r="R126" s="25"/>
      <c r="S126" s="24"/>
      <c r="T126" s="24"/>
      <c r="U126" s="24"/>
      <c r="V126" s="25"/>
      <c r="W126" s="26"/>
    </row>
    <row r="127" spans="1:23">
      <c r="A127" s="6">
        <v>46135</v>
      </c>
      <c r="B127" s="7" t="s">
        <v>166</v>
      </c>
      <c r="C127" s="18"/>
      <c r="D127" s="18" t="s">
        <v>185</v>
      </c>
      <c r="E127" s="18" t="s">
        <v>109</v>
      </c>
      <c r="F127" s="18" t="s">
        <v>110</v>
      </c>
      <c r="G127" s="18"/>
      <c r="H127" s="18" t="s">
        <v>106</v>
      </c>
      <c r="I127" s="30"/>
      <c r="J127" s="18" t="s">
        <v>34</v>
      </c>
      <c r="K127" s="18" t="s">
        <v>106</v>
      </c>
      <c r="L127" s="7">
        <v>340</v>
      </c>
      <c r="M127" s="7">
        <v>9</v>
      </c>
      <c r="N127" s="7">
        <v>2</v>
      </c>
      <c r="O127" s="7">
        <v>0</v>
      </c>
      <c r="P127" s="7">
        <v>1</v>
      </c>
      <c r="Q127" s="69">
        <f t="shared" ref="Q127:R139" si="8">M127/L127</f>
        <v>2.6470588235294117E-2</v>
      </c>
      <c r="R127" s="69">
        <f t="shared" si="8"/>
        <v>0.22222222222222221</v>
      </c>
      <c r="S127" s="7"/>
      <c r="T127" s="7"/>
      <c r="U127" s="7"/>
      <c r="V127" s="7"/>
      <c r="W127" s="7"/>
    </row>
    <row r="128" spans="1:23">
      <c r="A128" s="6">
        <v>46135</v>
      </c>
      <c r="B128" s="7" t="s">
        <v>166</v>
      </c>
      <c r="C128" s="18"/>
      <c r="D128" s="18" t="s">
        <v>144</v>
      </c>
      <c r="E128" s="18" t="s">
        <v>252</v>
      </c>
      <c r="F128" s="18" t="s">
        <v>145</v>
      </c>
      <c r="G128" s="18"/>
      <c r="H128" s="18" t="s">
        <v>157</v>
      </c>
      <c r="I128" s="30"/>
      <c r="J128" s="18" t="s">
        <v>34</v>
      </c>
      <c r="K128" s="18" t="s">
        <v>157</v>
      </c>
      <c r="L128" s="7">
        <v>131</v>
      </c>
      <c r="M128" s="7">
        <v>55</v>
      </c>
      <c r="N128" s="7">
        <v>13</v>
      </c>
      <c r="O128" s="7">
        <v>9</v>
      </c>
      <c r="P128" s="7">
        <v>0</v>
      </c>
      <c r="Q128" s="69">
        <f t="shared" si="8"/>
        <v>0.41984732824427479</v>
      </c>
      <c r="R128" s="69">
        <f t="shared" si="8"/>
        <v>0.23636363636363636</v>
      </c>
      <c r="S128" s="7"/>
      <c r="T128" s="7"/>
      <c r="U128" s="7"/>
      <c r="V128" s="7"/>
      <c r="W128" s="7"/>
    </row>
    <row r="129" spans="1:27">
      <c r="A129" s="6">
        <v>46135</v>
      </c>
      <c r="B129" s="7" t="s">
        <v>166</v>
      </c>
      <c r="C129" s="18"/>
      <c r="D129" s="18" t="s">
        <v>146</v>
      </c>
      <c r="E129" s="18" t="s">
        <v>109</v>
      </c>
      <c r="F129" s="18" t="s">
        <v>147</v>
      </c>
      <c r="G129" s="18"/>
      <c r="H129" s="18" t="s">
        <v>149</v>
      </c>
      <c r="I129" s="30"/>
      <c r="J129" s="18" t="s">
        <v>34</v>
      </c>
      <c r="K129" s="18" t="s">
        <v>149</v>
      </c>
      <c r="L129" s="7">
        <v>48</v>
      </c>
      <c r="M129" s="7">
        <v>26</v>
      </c>
      <c r="N129" s="7">
        <v>13</v>
      </c>
      <c r="O129" s="7">
        <v>5</v>
      </c>
      <c r="P129" s="7">
        <v>0</v>
      </c>
      <c r="Q129" s="69">
        <f t="shared" si="8"/>
        <v>0.54166666666666663</v>
      </c>
      <c r="R129" s="69">
        <f t="shared" si="8"/>
        <v>0.5</v>
      </c>
      <c r="S129" s="7"/>
      <c r="T129" s="7"/>
      <c r="U129" s="7"/>
      <c r="V129" s="7"/>
      <c r="W129" s="7"/>
    </row>
    <row r="130" spans="1:27">
      <c r="A130" s="6">
        <v>46135</v>
      </c>
      <c r="B130" s="7" t="s">
        <v>166</v>
      </c>
      <c r="C130" s="18"/>
      <c r="D130" s="18" t="s">
        <v>187</v>
      </c>
      <c r="E130" s="18" t="s">
        <v>109</v>
      </c>
      <c r="F130" s="18" t="s">
        <v>188</v>
      </c>
      <c r="G130" s="18"/>
      <c r="H130" s="18" t="s">
        <v>186</v>
      </c>
      <c r="I130" s="30"/>
      <c r="J130" s="18" t="s">
        <v>34</v>
      </c>
      <c r="K130" s="18" t="s">
        <v>186</v>
      </c>
      <c r="L130" s="7">
        <v>1277</v>
      </c>
      <c r="M130" s="7">
        <v>4</v>
      </c>
      <c r="N130" s="7">
        <v>2</v>
      </c>
      <c r="O130" s="7">
        <v>0</v>
      </c>
      <c r="P130" s="7">
        <v>1</v>
      </c>
      <c r="Q130" s="69">
        <f t="shared" si="8"/>
        <v>3.1323414252153485E-3</v>
      </c>
      <c r="R130" s="69">
        <f t="shared" si="8"/>
        <v>0.5</v>
      </c>
      <c r="S130" s="7"/>
      <c r="T130" s="7"/>
      <c r="U130" s="7"/>
      <c r="V130" s="7"/>
      <c r="W130" s="7"/>
      <c r="Y130">
        <v>1277</v>
      </c>
      <c r="Z130">
        <v>4</v>
      </c>
      <c r="AA130">
        <v>2</v>
      </c>
    </row>
    <row r="131" spans="1:27">
      <c r="A131" s="6">
        <v>46135</v>
      </c>
      <c r="B131" s="7" t="s">
        <v>166</v>
      </c>
      <c r="C131" s="7"/>
      <c r="D131" s="51" t="s">
        <v>399</v>
      </c>
      <c r="E131" s="7" t="s">
        <v>252</v>
      </c>
      <c r="F131" s="7"/>
      <c r="G131" s="7"/>
      <c r="H131" s="7" t="s">
        <v>170</v>
      </c>
      <c r="I131" s="14" t="s">
        <v>67</v>
      </c>
      <c r="J131" s="7" t="s">
        <v>34</v>
      </c>
      <c r="K131" s="7" t="s">
        <v>170</v>
      </c>
      <c r="L131" s="7"/>
      <c r="M131" s="7"/>
      <c r="N131" s="7"/>
      <c r="O131" s="7"/>
      <c r="P131" s="7"/>
      <c r="Q131" s="69" t="e">
        <f t="shared" si="8"/>
        <v>#DIV/0!</v>
      </c>
      <c r="R131" s="69" t="e">
        <f t="shared" si="8"/>
        <v>#DIV/0!</v>
      </c>
      <c r="S131" s="7"/>
      <c r="T131" s="7"/>
      <c r="U131" s="7"/>
      <c r="V131" s="7"/>
      <c r="W131" s="7"/>
      <c r="Y131">
        <v>760</v>
      </c>
      <c r="Z131">
        <v>57</v>
      </c>
      <c r="AA131">
        <v>32</v>
      </c>
    </row>
    <row r="132" spans="1:27">
      <c r="A132" s="6">
        <v>46135</v>
      </c>
      <c r="B132" s="7" t="s">
        <v>166</v>
      </c>
      <c r="C132" s="7"/>
      <c r="D132" s="90" t="s">
        <v>289</v>
      </c>
      <c r="E132" s="7" t="s">
        <v>252</v>
      </c>
      <c r="F132" s="7"/>
      <c r="G132" s="7"/>
      <c r="H132" s="7" t="s">
        <v>170</v>
      </c>
      <c r="I132" s="84" t="s">
        <v>452</v>
      </c>
      <c r="J132" s="7" t="s">
        <v>34</v>
      </c>
      <c r="K132" s="7" t="s">
        <v>170</v>
      </c>
      <c r="L132" s="7"/>
      <c r="M132" s="7"/>
      <c r="N132" s="7"/>
      <c r="O132" s="7"/>
      <c r="P132" s="7"/>
      <c r="Q132" s="69" t="e">
        <f t="shared" si="8"/>
        <v>#DIV/0!</v>
      </c>
      <c r="R132" s="69" t="e">
        <f t="shared" si="8"/>
        <v>#DIV/0!</v>
      </c>
      <c r="S132" s="7"/>
      <c r="T132" s="7"/>
      <c r="U132" s="7"/>
      <c r="V132" s="7"/>
      <c r="W132" s="7"/>
      <c r="Y132">
        <v>1272</v>
      </c>
      <c r="Z132">
        <v>9</v>
      </c>
      <c r="AA132">
        <v>1</v>
      </c>
    </row>
    <row r="133" spans="1:27">
      <c r="A133" s="6">
        <v>46135</v>
      </c>
      <c r="B133" s="7" t="s">
        <v>166</v>
      </c>
      <c r="C133" s="7"/>
      <c r="D133" s="90" t="s">
        <v>289</v>
      </c>
      <c r="E133" s="7" t="s">
        <v>252</v>
      </c>
      <c r="F133" s="7"/>
      <c r="G133" s="7"/>
      <c r="H133" s="7" t="s">
        <v>170</v>
      </c>
      <c r="I133" s="84" t="s">
        <v>453</v>
      </c>
      <c r="J133" s="7" t="s">
        <v>34</v>
      </c>
      <c r="K133" s="7" t="s">
        <v>170</v>
      </c>
      <c r="L133" s="7"/>
      <c r="M133" s="7"/>
      <c r="N133" s="7"/>
      <c r="O133" s="7"/>
      <c r="P133" s="7"/>
      <c r="Q133" s="69" t="e">
        <f t="shared" si="8"/>
        <v>#DIV/0!</v>
      </c>
      <c r="R133" s="69" t="e">
        <f t="shared" si="8"/>
        <v>#DIV/0!</v>
      </c>
      <c r="S133" s="7"/>
      <c r="T133" s="7"/>
      <c r="U133" s="7"/>
      <c r="V133" s="7"/>
      <c r="W133" s="7"/>
      <c r="Y133">
        <v>803</v>
      </c>
      <c r="Z133">
        <v>57</v>
      </c>
      <c r="AA133">
        <v>31</v>
      </c>
    </row>
    <row r="134" spans="1:27">
      <c r="A134" s="6">
        <v>46135</v>
      </c>
      <c r="B134" s="7" t="s">
        <v>166</v>
      </c>
      <c r="C134" s="7"/>
      <c r="D134" s="65" t="s">
        <v>328</v>
      </c>
      <c r="E134" s="7" t="s">
        <v>252</v>
      </c>
      <c r="F134" s="7"/>
      <c r="G134" s="7"/>
      <c r="H134" s="7" t="s">
        <v>170</v>
      </c>
      <c r="I134" s="47"/>
      <c r="J134" s="7" t="s">
        <v>34</v>
      </c>
      <c r="K134" s="7" t="s">
        <v>170</v>
      </c>
      <c r="L134" s="7">
        <v>468</v>
      </c>
      <c r="M134" s="7">
        <v>444</v>
      </c>
      <c r="N134" s="7">
        <v>334</v>
      </c>
      <c r="O134" s="7">
        <v>0</v>
      </c>
      <c r="P134" s="7">
        <v>1</v>
      </c>
      <c r="Q134" s="69">
        <f t="shared" si="8"/>
        <v>0.94871794871794868</v>
      </c>
      <c r="R134" s="69">
        <f t="shared" si="8"/>
        <v>0.75225225225225223</v>
      </c>
      <c r="S134" s="7"/>
      <c r="T134" s="7"/>
      <c r="U134" s="7"/>
      <c r="V134" s="7"/>
      <c r="W134" s="7"/>
      <c r="Y134">
        <f>SUM(Y130:Y133)</f>
        <v>4112</v>
      </c>
      <c r="Z134">
        <f>SUM(Z130:Z133)</f>
        <v>127</v>
      </c>
      <c r="AA134">
        <f>SUM(AA130:AA133)</f>
        <v>66</v>
      </c>
    </row>
    <row r="135" spans="1:27">
      <c r="A135" s="6">
        <v>46135</v>
      </c>
      <c r="B135" s="7" t="s">
        <v>166</v>
      </c>
      <c r="C135" s="62">
        <v>0.9375</v>
      </c>
      <c r="D135" s="77" t="s">
        <v>481</v>
      </c>
      <c r="E135" s="7" t="s">
        <v>252</v>
      </c>
      <c r="F135" s="77" t="s">
        <v>428</v>
      </c>
      <c r="G135" s="7"/>
      <c r="H135" s="7" t="s">
        <v>149</v>
      </c>
      <c r="I135" s="47"/>
      <c r="J135" s="7" t="s">
        <v>34</v>
      </c>
      <c r="K135" s="7" t="s">
        <v>149</v>
      </c>
      <c r="L135" s="7">
        <v>155</v>
      </c>
      <c r="M135" s="7">
        <v>23</v>
      </c>
      <c r="N135" s="7">
        <v>4</v>
      </c>
      <c r="O135" s="7">
        <v>0</v>
      </c>
      <c r="P135" s="7">
        <v>0</v>
      </c>
      <c r="Q135" s="69">
        <f t="shared" si="8"/>
        <v>0.14838709677419354</v>
      </c>
      <c r="R135" s="69">
        <f t="shared" si="8"/>
        <v>0.17391304347826086</v>
      </c>
      <c r="S135" s="7"/>
      <c r="T135" s="7"/>
      <c r="U135" s="7"/>
      <c r="V135" s="7"/>
      <c r="W135" s="7"/>
    </row>
    <row r="136" spans="1:27" ht="16.8">
      <c r="A136" s="6">
        <v>46135</v>
      </c>
      <c r="B136" s="7" t="s">
        <v>166</v>
      </c>
      <c r="C136" s="62">
        <v>0.95833333333333337</v>
      </c>
      <c r="D136" s="77" t="s">
        <v>491</v>
      </c>
      <c r="E136" s="7" t="s">
        <v>252</v>
      </c>
      <c r="F136" s="77" t="s">
        <v>430</v>
      </c>
      <c r="G136" s="7"/>
      <c r="H136" s="52" t="s">
        <v>157</v>
      </c>
      <c r="I136" s="47"/>
      <c r="J136" s="7" t="s">
        <v>34</v>
      </c>
      <c r="K136" s="52" t="s">
        <v>157</v>
      </c>
      <c r="L136" s="7">
        <v>230</v>
      </c>
      <c r="M136" s="7">
        <v>46</v>
      </c>
      <c r="N136" s="7">
        <v>5</v>
      </c>
      <c r="O136" s="7">
        <v>2</v>
      </c>
      <c r="P136" s="7">
        <v>0</v>
      </c>
      <c r="Q136" s="69">
        <f t="shared" si="8"/>
        <v>0.2</v>
      </c>
      <c r="R136" s="69">
        <f t="shared" si="8"/>
        <v>0.10869565217391304</v>
      </c>
      <c r="S136" s="7"/>
      <c r="T136" s="7"/>
      <c r="U136" s="7"/>
      <c r="V136" s="7"/>
      <c r="W136" s="7"/>
    </row>
    <row r="137" spans="1:27" ht="16.8">
      <c r="A137" s="6">
        <v>46135</v>
      </c>
      <c r="B137" s="7" t="s">
        <v>166</v>
      </c>
      <c r="C137" s="62">
        <v>0.82291666666666663</v>
      </c>
      <c r="D137" s="77" t="s">
        <v>492</v>
      </c>
      <c r="E137" s="7" t="s">
        <v>252</v>
      </c>
      <c r="F137" s="77" t="s">
        <v>432</v>
      </c>
      <c r="G137" s="7"/>
      <c r="H137" s="52" t="s">
        <v>420</v>
      </c>
      <c r="I137" s="47"/>
      <c r="J137" s="7" t="s">
        <v>34</v>
      </c>
      <c r="K137" s="52" t="s">
        <v>420</v>
      </c>
      <c r="L137" s="7">
        <v>131</v>
      </c>
      <c r="M137" s="7">
        <v>25</v>
      </c>
      <c r="N137" s="7">
        <v>3</v>
      </c>
      <c r="O137" s="7">
        <v>0</v>
      </c>
      <c r="P137" s="7">
        <v>0</v>
      </c>
      <c r="Q137" s="69">
        <f t="shared" si="8"/>
        <v>0.19083969465648856</v>
      </c>
      <c r="R137" s="69">
        <f t="shared" si="8"/>
        <v>0.12</v>
      </c>
      <c r="S137" s="7"/>
      <c r="T137" s="7"/>
      <c r="U137" s="7"/>
      <c r="V137" s="7"/>
      <c r="W137" s="7"/>
    </row>
    <row r="138" spans="1:27">
      <c r="A138" s="6">
        <v>46135</v>
      </c>
      <c r="B138" s="7" t="s">
        <v>166</v>
      </c>
      <c r="C138" s="62">
        <v>0.79166666666666663</v>
      </c>
      <c r="D138" s="77" t="s">
        <v>493</v>
      </c>
      <c r="E138" s="7" t="s">
        <v>252</v>
      </c>
      <c r="F138" s="77" t="s">
        <v>434</v>
      </c>
      <c r="G138" s="7"/>
      <c r="H138" s="7" t="s">
        <v>121</v>
      </c>
      <c r="I138" s="47"/>
      <c r="J138" s="7" t="s">
        <v>34</v>
      </c>
      <c r="K138" s="7" t="s">
        <v>121</v>
      </c>
      <c r="L138" s="7">
        <v>237</v>
      </c>
      <c r="M138" s="7">
        <v>25</v>
      </c>
      <c r="N138" s="7">
        <v>12</v>
      </c>
      <c r="O138" s="7">
        <v>0</v>
      </c>
      <c r="P138" s="7">
        <v>0</v>
      </c>
      <c r="Q138" s="69">
        <f t="shared" si="8"/>
        <v>0.10548523206751055</v>
      </c>
      <c r="R138" s="69">
        <f t="shared" si="8"/>
        <v>0.48</v>
      </c>
      <c r="S138" s="7"/>
      <c r="T138" s="7"/>
      <c r="U138" s="7"/>
      <c r="V138" s="7"/>
      <c r="W138" s="7"/>
    </row>
    <row r="139" spans="1:27" ht="16.8">
      <c r="A139" s="6">
        <v>46135</v>
      </c>
      <c r="B139" s="7" t="s">
        <v>166</v>
      </c>
      <c r="C139" s="64">
        <v>0.85416666666666663</v>
      </c>
      <c r="D139" s="7" t="s">
        <v>494</v>
      </c>
      <c r="E139" s="7" t="s">
        <v>252</v>
      </c>
      <c r="F139" s="7" t="s">
        <v>410</v>
      </c>
      <c r="G139" s="35"/>
      <c r="H139" s="53" t="s">
        <v>210</v>
      </c>
      <c r="I139" s="47"/>
      <c r="J139" s="35" t="s">
        <v>34</v>
      </c>
      <c r="K139" s="53" t="s">
        <v>210</v>
      </c>
      <c r="L139" s="35">
        <v>523</v>
      </c>
      <c r="M139" s="35">
        <v>32</v>
      </c>
      <c r="N139" s="35">
        <v>20</v>
      </c>
      <c r="O139" s="35">
        <v>0</v>
      </c>
      <c r="P139" s="35">
        <v>0</v>
      </c>
      <c r="Q139" s="94">
        <f t="shared" si="8"/>
        <v>6.1185468451242828E-2</v>
      </c>
      <c r="R139" s="94">
        <f t="shared" si="8"/>
        <v>0.625</v>
      </c>
      <c r="S139" s="35"/>
      <c r="T139" s="35"/>
      <c r="U139" s="35"/>
      <c r="V139" s="35"/>
      <c r="W139" s="35"/>
    </row>
    <row r="140" spans="1:27" ht="6.6" customHeight="1">
      <c r="A140" s="22"/>
      <c r="B140" s="23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5"/>
      <c r="R140" s="25"/>
      <c r="S140" s="24"/>
      <c r="T140" s="24"/>
      <c r="U140" s="24"/>
      <c r="V140" s="25"/>
      <c r="W140" s="26"/>
    </row>
    <row r="141" spans="1:27">
      <c r="A141" s="6">
        <v>46136</v>
      </c>
      <c r="B141" s="7" t="s">
        <v>553</v>
      </c>
      <c r="C141" s="18" t="s">
        <v>589</v>
      </c>
      <c r="D141" s="18" t="s">
        <v>185</v>
      </c>
      <c r="E141" s="18" t="s">
        <v>252</v>
      </c>
      <c r="F141" s="18" t="s">
        <v>110</v>
      </c>
      <c r="G141" s="18"/>
      <c r="H141" s="18" t="s">
        <v>106</v>
      </c>
      <c r="I141" s="30"/>
      <c r="J141" s="18" t="s">
        <v>34</v>
      </c>
      <c r="K141" s="18" t="s">
        <v>106</v>
      </c>
      <c r="L141" s="7">
        <v>749</v>
      </c>
      <c r="M141" s="7">
        <v>111</v>
      </c>
      <c r="N141" s="7">
        <v>36</v>
      </c>
      <c r="O141" s="7">
        <v>11</v>
      </c>
      <c r="P141" s="7">
        <v>0</v>
      </c>
      <c r="Q141" s="69">
        <f t="shared" ref="Q141:R154" si="9">M141/L141</f>
        <v>0.14819759679572764</v>
      </c>
      <c r="R141" s="69">
        <f t="shared" si="9"/>
        <v>0.32432432432432434</v>
      </c>
      <c r="S141" s="7"/>
      <c r="T141" s="7"/>
      <c r="U141" s="7"/>
      <c r="V141" s="7"/>
      <c r="W141" s="7"/>
    </row>
    <row r="142" spans="1:27">
      <c r="A142" s="6">
        <v>46136</v>
      </c>
      <c r="B142" s="7" t="s">
        <v>553</v>
      </c>
      <c r="C142" s="18" t="s">
        <v>590</v>
      </c>
      <c r="D142" s="18" t="s">
        <v>580</v>
      </c>
      <c r="E142" s="18" t="s">
        <v>252</v>
      </c>
      <c r="F142" s="18" t="s">
        <v>579</v>
      </c>
      <c r="G142" s="18"/>
      <c r="H142" s="18" t="s">
        <v>106</v>
      </c>
      <c r="I142" s="47" t="s">
        <v>554</v>
      </c>
      <c r="J142" s="18" t="s">
        <v>34</v>
      </c>
      <c r="K142" s="18" t="s">
        <v>106</v>
      </c>
      <c r="L142" s="7"/>
      <c r="M142" s="7"/>
      <c r="N142" s="7"/>
      <c r="O142" s="7"/>
      <c r="P142" s="7"/>
      <c r="Q142" s="69"/>
      <c r="R142" s="69"/>
      <c r="S142" s="7"/>
      <c r="T142" s="7"/>
      <c r="U142" s="7"/>
      <c r="V142" s="7"/>
      <c r="W142" s="7"/>
    </row>
    <row r="143" spans="1:27">
      <c r="A143" s="6">
        <v>46136</v>
      </c>
      <c r="B143" s="7" t="s">
        <v>553</v>
      </c>
      <c r="C143" s="18"/>
      <c r="D143" s="18" t="s">
        <v>144</v>
      </c>
      <c r="E143" s="18" t="s">
        <v>252</v>
      </c>
      <c r="F143" s="18" t="s">
        <v>145</v>
      </c>
      <c r="G143" s="18"/>
      <c r="H143" s="18" t="s">
        <v>157</v>
      </c>
      <c r="I143" s="47"/>
      <c r="J143" s="18" t="s">
        <v>34</v>
      </c>
      <c r="K143" s="18" t="s">
        <v>157</v>
      </c>
      <c r="L143" s="7">
        <v>336</v>
      </c>
      <c r="M143" s="7">
        <v>152</v>
      </c>
      <c r="N143" s="7">
        <v>27</v>
      </c>
      <c r="O143" s="7">
        <v>18</v>
      </c>
      <c r="P143" s="7">
        <v>0</v>
      </c>
      <c r="Q143" s="69">
        <f t="shared" si="9"/>
        <v>0.45238095238095238</v>
      </c>
      <c r="R143" s="69">
        <f t="shared" si="9"/>
        <v>0.17763157894736842</v>
      </c>
      <c r="S143" s="7"/>
      <c r="T143" s="7"/>
      <c r="U143" s="7"/>
      <c r="V143" s="7"/>
      <c r="W143" s="7"/>
    </row>
    <row r="144" spans="1:27">
      <c r="A144" s="6">
        <v>46136</v>
      </c>
      <c r="B144" s="7" t="s">
        <v>553</v>
      </c>
      <c r="C144" s="18"/>
      <c r="D144" s="18" t="s">
        <v>146</v>
      </c>
      <c r="E144" s="18" t="s">
        <v>252</v>
      </c>
      <c r="F144" s="18" t="s">
        <v>147</v>
      </c>
      <c r="G144" s="18"/>
      <c r="H144" s="18" t="s">
        <v>149</v>
      </c>
      <c r="I144" s="47"/>
      <c r="J144" s="18" t="s">
        <v>34</v>
      </c>
      <c r="K144" s="18" t="s">
        <v>149</v>
      </c>
      <c r="L144" s="7">
        <v>147</v>
      </c>
      <c r="M144" s="7">
        <v>84</v>
      </c>
      <c r="N144" s="7">
        <v>29</v>
      </c>
      <c r="O144" s="7">
        <v>12</v>
      </c>
      <c r="P144" s="7">
        <v>0</v>
      </c>
      <c r="Q144" s="69">
        <f t="shared" si="9"/>
        <v>0.5714285714285714</v>
      </c>
      <c r="R144" s="69">
        <f t="shared" si="9"/>
        <v>0.34523809523809523</v>
      </c>
      <c r="S144" s="7"/>
      <c r="T144" s="7"/>
      <c r="U144" s="7"/>
      <c r="V144" s="7"/>
      <c r="W144" s="7"/>
    </row>
    <row r="145" spans="1:23">
      <c r="A145" s="6">
        <v>46136</v>
      </c>
      <c r="B145" s="7" t="s">
        <v>553</v>
      </c>
      <c r="C145" s="18" t="s">
        <v>589</v>
      </c>
      <c r="D145" s="18" t="s">
        <v>187</v>
      </c>
      <c r="E145" s="18" t="s">
        <v>252</v>
      </c>
      <c r="F145" s="18" t="s">
        <v>188</v>
      </c>
      <c r="G145" s="18"/>
      <c r="H145" s="18" t="s">
        <v>186</v>
      </c>
      <c r="I145" s="47"/>
      <c r="J145" s="18" t="s">
        <v>34</v>
      </c>
      <c r="K145" s="18" t="s">
        <v>186</v>
      </c>
      <c r="L145" s="7">
        <v>2177</v>
      </c>
      <c r="M145" s="7">
        <v>12</v>
      </c>
      <c r="N145" s="7">
        <v>1</v>
      </c>
      <c r="O145" s="7">
        <v>0</v>
      </c>
      <c r="P145" s="7">
        <v>0</v>
      </c>
      <c r="Q145" s="69">
        <f t="shared" si="9"/>
        <v>5.5121727147450618E-3</v>
      </c>
      <c r="R145" s="69">
        <f t="shared" si="9"/>
        <v>8.3333333333333329E-2</v>
      </c>
      <c r="S145" s="7"/>
      <c r="T145" s="7"/>
      <c r="U145" s="7"/>
      <c r="V145" s="7"/>
      <c r="W145" s="7"/>
    </row>
    <row r="146" spans="1:23">
      <c r="A146" s="6">
        <v>46136</v>
      </c>
      <c r="B146" s="7" t="s">
        <v>553</v>
      </c>
      <c r="C146" s="18" t="s">
        <v>590</v>
      </c>
      <c r="D146" s="18" t="s">
        <v>580</v>
      </c>
      <c r="E146" s="18" t="s">
        <v>252</v>
      </c>
      <c r="F146" s="18" t="s">
        <v>579</v>
      </c>
      <c r="G146" s="18"/>
      <c r="H146" s="18" t="s">
        <v>186</v>
      </c>
      <c r="I146" s="14" t="s">
        <v>554</v>
      </c>
      <c r="J146" s="18" t="s">
        <v>34</v>
      </c>
      <c r="K146" s="18" t="s">
        <v>186</v>
      </c>
      <c r="L146" s="7"/>
      <c r="M146" s="7"/>
      <c r="N146" s="7"/>
      <c r="O146" s="7"/>
      <c r="P146" s="7"/>
      <c r="Q146" s="69"/>
      <c r="R146" s="69"/>
      <c r="S146" s="7"/>
      <c r="T146" s="7"/>
      <c r="U146" s="7"/>
      <c r="V146" s="7"/>
      <c r="W146" s="7"/>
    </row>
    <row r="147" spans="1:23">
      <c r="A147" s="6">
        <v>46136</v>
      </c>
      <c r="B147" s="7" t="s">
        <v>553</v>
      </c>
      <c r="C147" s="7"/>
      <c r="D147" s="7" t="s">
        <v>665</v>
      </c>
      <c r="E147" s="7" t="s">
        <v>252</v>
      </c>
      <c r="F147" s="7"/>
      <c r="G147" s="7"/>
      <c r="H147" s="7" t="s">
        <v>170</v>
      </c>
      <c r="I147" s="14" t="s">
        <v>67</v>
      </c>
      <c r="J147" s="7" t="s">
        <v>34</v>
      </c>
      <c r="K147" s="7" t="s">
        <v>170</v>
      </c>
      <c r="L147" s="7">
        <v>1497</v>
      </c>
      <c r="M147" s="7">
        <v>1415</v>
      </c>
      <c r="N147" s="7">
        <v>1018</v>
      </c>
      <c r="O147" s="7">
        <v>0</v>
      </c>
      <c r="P147" s="7">
        <v>3</v>
      </c>
      <c r="Q147" s="69">
        <f t="shared" si="9"/>
        <v>0.9452237808951236</v>
      </c>
      <c r="R147" s="69">
        <f t="shared" si="9"/>
        <v>0.719434628975265</v>
      </c>
      <c r="S147" s="7"/>
      <c r="T147" s="7"/>
      <c r="U147" s="7"/>
      <c r="V147" s="7"/>
      <c r="W147" s="7"/>
    </row>
    <row r="148" spans="1:23">
      <c r="A148" s="6">
        <v>46136</v>
      </c>
      <c r="B148" s="7" t="s">
        <v>553</v>
      </c>
      <c r="C148" s="7"/>
      <c r="D148" s="100" t="s">
        <v>666</v>
      </c>
      <c r="E148" s="7" t="s">
        <v>252</v>
      </c>
      <c r="F148" s="7"/>
      <c r="G148" s="7"/>
      <c r="H148" s="7" t="s">
        <v>170</v>
      </c>
      <c r="I148" s="84"/>
      <c r="J148" s="7" t="s">
        <v>34</v>
      </c>
      <c r="K148" s="7" t="s">
        <v>170</v>
      </c>
      <c r="L148" s="7">
        <v>236</v>
      </c>
      <c r="M148" s="7">
        <v>224</v>
      </c>
      <c r="N148" s="7">
        <v>172</v>
      </c>
      <c r="O148" s="7">
        <v>0</v>
      </c>
      <c r="P148" s="7">
        <v>0</v>
      </c>
      <c r="Q148" s="69">
        <f t="shared" si="9"/>
        <v>0.94915254237288138</v>
      </c>
      <c r="R148" s="69">
        <f t="shared" si="9"/>
        <v>0.7678571428571429</v>
      </c>
      <c r="S148" s="7"/>
      <c r="T148" s="7"/>
      <c r="U148" s="7"/>
      <c r="V148" s="7"/>
      <c r="W148" s="7"/>
    </row>
    <row r="149" spans="1:23">
      <c r="A149" s="6">
        <v>46136</v>
      </c>
      <c r="B149" s="7" t="s">
        <v>553</v>
      </c>
      <c r="C149" s="7"/>
      <c r="D149" s="100" t="s">
        <v>666</v>
      </c>
      <c r="E149" s="7" t="s">
        <v>252</v>
      </c>
      <c r="F149" s="7"/>
      <c r="G149" s="7"/>
      <c r="H149" s="7" t="s">
        <v>170</v>
      </c>
      <c r="I149" s="84"/>
      <c r="J149" s="7" t="s">
        <v>34</v>
      </c>
      <c r="K149" s="7" t="s">
        <v>170</v>
      </c>
      <c r="L149" s="7">
        <v>236</v>
      </c>
      <c r="M149" s="7">
        <v>224</v>
      </c>
      <c r="N149" s="7">
        <v>172</v>
      </c>
      <c r="O149" s="7">
        <v>0</v>
      </c>
      <c r="P149" s="7">
        <v>0</v>
      </c>
      <c r="Q149" s="69">
        <f t="shared" si="9"/>
        <v>0.94915254237288138</v>
      </c>
      <c r="R149" s="69">
        <f t="shared" si="9"/>
        <v>0.7678571428571429</v>
      </c>
      <c r="S149" s="7"/>
      <c r="T149" s="7"/>
      <c r="U149" s="7"/>
      <c r="V149" s="7"/>
      <c r="W149" s="7"/>
    </row>
    <row r="150" spans="1:23">
      <c r="A150" s="6">
        <v>46136</v>
      </c>
      <c r="B150" s="7" t="s">
        <v>553</v>
      </c>
      <c r="C150" s="62">
        <v>0.9375</v>
      </c>
      <c r="D150" s="7" t="s">
        <v>555</v>
      </c>
      <c r="E150" s="7" t="s">
        <v>252</v>
      </c>
      <c r="F150" s="7" t="s">
        <v>150</v>
      </c>
      <c r="G150" s="7"/>
      <c r="H150" s="7" t="s">
        <v>149</v>
      </c>
      <c r="I150" s="47"/>
      <c r="J150" s="7" t="s">
        <v>34</v>
      </c>
      <c r="K150" s="7" t="s">
        <v>149</v>
      </c>
      <c r="L150" s="7">
        <v>249</v>
      </c>
      <c r="M150" s="7">
        <v>66</v>
      </c>
      <c r="N150" s="7">
        <v>15</v>
      </c>
      <c r="O150" s="7">
        <v>2</v>
      </c>
      <c r="P150" s="7">
        <v>0</v>
      </c>
      <c r="Q150" s="69">
        <f t="shared" si="9"/>
        <v>0.26506024096385544</v>
      </c>
      <c r="R150" s="69">
        <f t="shared" si="9"/>
        <v>0.22727272727272727</v>
      </c>
      <c r="S150" s="7"/>
      <c r="T150" s="7"/>
      <c r="U150" s="7"/>
      <c r="V150" s="7"/>
      <c r="W150" s="7"/>
    </row>
    <row r="151" spans="1:23" ht="16.8">
      <c r="A151" s="6">
        <v>46136</v>
      </c>
      <c r="B151" s="7" t="s">
        <v>553</v>
      </c>
      <c r="C151" s="62">
        <v>0.95833333333333337</v>
      </c>
      <c r="D151" s="7" t="s">
        <v>556</v>
      </c>
      <c r="E151" s="7" t="s">
        <v>252</v>
      </c>
      <c r="F151" s="7" t="s">
        <v>248</v>
      </c>
      <c r="G151" s="7"/>
      <c r="H151" s="52" t="s">
        <v>157</v>
      </c>
      <c r="I151" s="47"/>
      <c r="J151" s="7" t="s">
        <v>34</v>
      </c>
      <c r="K151" s="52" t="s">
        <v>157</v>
      </c>
      <c r="L151" s="7">
        <v>515</v>
      </c>
      <c r="M151" s="7">
        <v>118</v>
      </c>
      <c r="N151" s="7">
        <v>18</v>
      </c>
      <c r="O151" s="7">
        <v>8</v>
      </c>
      <c r="P151" s="7">
        <v>0</v>
      </c>
      <c r="Q151" s="69">
        <f t="shared" si="9"/>
        <v>0.22912621359223301</v>
      </c>
      <c r="R151" s="69">
        <f t="shared" si="9"/>
        <v>0.15254237288135594</v>
      </c>
      <c r="S151" s="7"/>
      <c r="T151" s="7"/>
      <c r="U151" s="7"/>
      <c r="V151" s="7"/>
      <c r="W151" s="7"/>
    </row>
    <row r="152" spans="1:23" ht="16.8">
      <c r="A152" s="6">
        <v>46136</v>
      </c>
      <c r="B152" s="7" t="s">
        <v>553</v>
      </c>
      <c r="C152" s="62">
        <v>0.82291666666666663</v>
      </c>
      <c r="D152" s="7" t="s">
        <v>557</v>
      </c>
      <c r="E152" s="31" t="s">
        <v>252</v>
      </c>
      <c r="F152" s="31" t="s">
        <v>334</v>
      </c>
      <c r="G152" s="7"/>
      <c r="H152" s="52" t="s">
        <v>420</v>
      </c>
      <c r="I152" s="47"/>
      <c r="J152" s="7" t="s">
        <v>34</v>
      </c>
      <c r="K152" s="52" t="s">
        <v>420</v>
      </c>
      <c r="L152" s="7">
        <v>274</v>
      </c>
      <c r="M152" s="7">
        <v>72</v>
      </c>
      <c r="N152" s="7">
        <v>15</v>
      </c>
      <c r="O152" s="7">
        <v>4</v>
      </c>
      <c r="P152" s="7">
        <v>0</v>
      </c>
      <c r="Q152" s="69">
        <f t="shared" si="9"/>
        <v>0.26277372262773724</v>
      </c>
      <c r="R152" s="69">
        <f t="shared" si="9"/>
        <v>0.20833333333333334</v>
      </c>
      <c r="S152" s="7"/>
      <c r="T152" s="7"/>
      <c r="U152" s="7"/>
      <c r="V152" s="7"/>
      <c r="W152" s="7"/>
    </row>
    <row r="153" spans="1:23">
      <c r="A153" s="6">
        <v>46136</v>
      </c>
      <c r="B153" s="7" t="s">
        <v>553</v>
      </c>
      <c r="C153" s="62">
        <v>0.79166666666666663</v>
      </c>
      <c r="D153" s="7" t="s">
        <v>558</v>
      </c>
      <c r="E153" s="7" t="s">
        <v>252</v>
      </c>
      <c r="F153" s="35" t="s">
        <v>150</v>
      </c>
      <c r="G153" s="7"/>
      <c r="H153" s="7" t="s">
        <v>121</v>
      </c>
      <c r="I153" s="47"/>
      <c r="J153" s="7" t="s">
        <v>34</v>
      </c>
      <c r="K153" s="7" t="s">
        <v>121</v>
      </c>
      <c r="L153" s="7">
        <v>262</v>
      </c>
      <c r="M153" s="7">
        <v>19</v>
      </c>
      <c r="N153" s="7">
        <v>13</v>
      </c>
      <c r="O153" s="7">
        <v>0</v>
      </c>
      <c r="P153" s="7">
        <v>0</v>
      </c>
      <c r="Q153" s="69">
        <f t="shared" si="9"/>
        <v>7.2519083969465645E-2</v>
      </c>
      <c r="R153" s="69">
        <f t="shared" si="9"/>
        <v>0.68421052631578949</v>
      </c>
      <c r="S153" s="7"/>
      <c r="T153" s="7"/>
      <c r="U153" s="7"/>
      <c r="V153" s="7"/>
      <c r="W153" s="7"/>
    </row>
    <row r="154" spans="1:23" ht="16.8">
      <c r="A154" s="6">
        <v>46136</v>
      </c>
      <c r="B154" s="7" t="s">
        <v>553</v>
      </c>
      <c r="C154" s="64">
        <v>0.85416666666666663</v>
      </c>
      <c r="D154" s="7" t="s">
        <v>559</v>
      </c>
      <c r="E154" s="7" t="s">
        <v>252</v>
      </c>
      <c r="F154" s="7" t="s">
        <v>248</v>
      </c>
      <c r="G154" s="35"/>
      <c r="H154" s="53" t="s">
        <v>210</v>
      </c>
      <c r="I154" s="47"/>
      <c r="J154" s="35" t="s">
        <v>34</v>
      </c>
      <c r="K154" s="53" t="s">
        <v>210</v>
      </c>
      <c r="L154" s="35">
        <v>625</v>
      </c>
      <c r="M154" s="35">
        <v>37</v>
      </c>
      <c r="N154" s="35">
        <v>18</v>
      </c>
      <c r="O154" s="35">
        <v>0</v>
      </c>
      <c r="P154" s="35">
        <v>0</v>
      </c>
      <c r="Q154" s="94">
        <f t="shared" si="9"/>
        <v>5.9200000000000003E-2</v>
      </c>
      <c r="R154" s="94">
        <f t="shared" si="9"/>
        <v>0.48648648648648651</v>
      </c>
      <c r="S154" s="35"/>
      <c r="T154" s="35"/>
      <c r="U154" s="35"/>
      <c r="V154" s="35"/>
      <c r="W154" s="35"/>
    </row>
    <row r="155" spans="1:23" ht="6.6" customHeight="1">
      <c r="A155" s="22"/>
      <c r="B155" s="23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5"/>
      <c r="R155" s="25"/>
      <c r="S155" s="24"/>
      <c r="T155" s="24"/>
      <c r="U155" s="24"/>
      <c r="V155" s="25"/>
      <c r="W155" s="26"/>
    </row>
    <row r="156" spans="1:23">
      <c r="A156" s="6">
        <v>46137</v>
      </c>
      <c r="B156" s="7" t="s">
        <v>577</v>
      </c>
      <c r="C156" s="18" t="s">
        <v>589</v>
      </c>
      <c r="D156" s="18" t="s">
        <v>185</v>
      </c>
      <c r="E156" s="18" t="s">
        <v>252</v>
      </c>
      <c r="F156" s="18" t="s">
        <v>110</v>
      </c>
      <c r="G156" s="18"/>
      <c r="H156" s="18" t="s">
        <v>106</v>
      </c>
      <c r="I156" s="30"/>
      <c r="J156" s="18" t="s">
        <v>34</v>
      </c>
      <c r="K156" s="18" t="s">
        <v>106</v>
      </c>
      <c r="L156" s="7">
        <v>797</v>
      </c>
      <c r="M156" s="7">
        <v>32</v>
      </c>
      <c r="N156" s="7">
        <v>11</v>
      </c>
      <c r="O156" s="7">
        <v>4</v>
      </c>
      <c r="P156" s="7">
        <v>2</v>
      </c>
      <c r="Q156" s="69">
        <f t="shared" ref="Q156:R156" si="10">M156/L156</f>
        <v>4.0150564617314928E-2</v>
      </c>
      <c r="R156" s="69">
        <f t="shared" si="10"/>
        <v>0.34375</v>
      </c>
      <c r="S156" s="7"/>
      <c r="T156" s="7"/>
      <c r="U156" s="7"/>
      <c r="V156" s="7"/>
      <c r="W156" s="7"/>
    </row>
    <row r="157" spans="1:23">
      <c r="A157" s="6">
        <v>46137</v>
      </c>
      <c r="B157" s="7" t="s">
        <v>577</v>
      </c>
      <c r="C157" s="18" t="s">
        <v>590</v>
      </c>
      <c r="D157" s="18" t="s">
        <v>580</v>
      </c>
      <c r="E157" s="18" t="s">
        <v>252</v>
      </c>
      <c r="F157" s="18" t="s">
        <v>579</v>
      </c>
      <c r="G157" s="18"/>
      <c r="H157" s="18" t="s">
        <v>106</v>
      </c>
      <c r="I157" s="29"/>
      <c r="J157" s="18"/>
      <c r="K157" s="18"/>
      <c r="L157" s="7"/>
      <c r="M157" s="7"/>
      <c r="N157" s="7"/>
      <c r="O157" s="7"/>
      <c r="P157" s="7"/>
      <c r="Q157" s="69"/>
      <c r="R157" s="69"/>
      <c r="S157" s="7"/>
      <c r="T157" s="7"/>
      <c r="U157" s="7"/>
      <c r="V157" s="7"/>
      <c r="W157" s="7"/>
    </row>
    <row r="158" spans="1:23">
      <c r="A158" s="6">
        <v>46137</v>
      </c>
      <c r="B158" s="7" t="s">
        <v>577</v>
      </c>
      <c r="C158" s="18"/>
      <c r="D158" s="18" t="s">
        <v>144</v>
      </c>
      <c r="E158" s="18" t="s">
        <v>252</v>
      </c>
      <c r="F158" s="18" t="s">
        <v>145</v>
      </c>
      <c r="G158" s="18"/>
      <c r="H158" s="18" t="s">
        <v>157</v>
      </c>
      <c r="I158" s="30"/>
      <c r="J158" s="18" t="s">
        <v>34</v>
      </c>
      <c r="K158" s="18" t="s">
        <v>157</v>
      </c>
      <c r="L158" s="7">
        <v>81</v>
      </c>
      <c r="M158" s="7">
        <v>35</v>
      </c>
      <c r="N158" s="7">
        <v>13</v>
      </c>
      <c r="O158" s="7">
        <v>5</v>
      </c>
      <c r="P158" s="7">
        <v>0</v>
      </c>
      <c r="Q158" s="69">
        <f t="shared" ref="Q158:R160" si="11">M158/L158</f>
        <v>0.43209876543209874</v>
      </c>
      <c r="R158" s="69">
        <f t="shared" si="11"/>
        <v>0.37142857142857144</v>
      </c>
      <c r="S158" s="7"/>
      <c r="T158" s="7"/>
      <c r="U158" s="7"/>
      <c r="V158" s="7"/>
      <c r="W158" s="7"/>
    </row>
    <row r="159" spans="1:23">
      <c r="A159" s="6">
        <v>46137</v>
      </c>
      <c r="B159" s="7" t="s">
        <v>577</v>
      </c>
      <c r="C159" s="18"/>
      <c r="D159" s="18" t="s">
        <v>146</v>
      </c>
      <c r="E159" s="18" t="s">
        <v>252</v>
      </c>
      <c r="F159" s="18" t="s">
        <v>147</v>
      </c>
      <c r="G159" s="18"/>
      <c r="H159" s="18" t="s">
        <v>149</v>
      </c>
      <c r="I159" s="30"/>
      <c r="J159" s="18" t="s">
        <v>34</v>
      </c>
      <c r="K159" s="18" t="s">
        <v>149</v>
      </c>
      <c r="L159" s="7">
        <v>58</v>
      </c>
      <c r="M159" s="7">
        <v>40</v>
      </c>
      <c r="N159" s="7">
        <v>14</v>
      </c>
      <c r="O159" s="7">
        <v>2</v>
      </c>
      <c r="P159" s="7">
        <v>0</v>
      </c>
      <c r="Q159" s="69">
        <f t="shared" si="11"/>
        <v>0.68965517241379315</v>
      </c>
      <c r="R159" s="69">
        <f t="shared" si="11"/>
        <v>0.35</v>
      </c>
      <c r="S159" s="7"/>
      <c r="T159" s="7"/>
      <c r="U159" s="7"/>
      <c r="V159" s="7"/>
      <c r="W159" s="7"/>
    </row>
    <row r="160" spans="1:23">
      <c r="A160" s="6">
        <v>46137</v>
      </c>
      <c r="B160" s="7" t="s">
        <v>577</v>
      </c>
      <c r="C160" s="18" t="s">
        <v>589</v>
      </c>
      <c r="D160" s="18" t="s">
        <v>187</v>
      </c>
      <c r="E160" s="18" t="s">
        <v>252</v>
      </c>
      <c r="F160" s="18" t="s">
        <v>188</v>
      </c>
      <c r="G160" s="18"/>
      <c r="H160" s="18" t="s">
        <v>186</v>
      </c>
      <c r="I160" s="30"/>
      <c r="J160" s="18" t="s">
        <v>34</v>
      </c>
      <c r="K160" s="18" t="s">
        <v>186</v>
      </c>
      <c r="L160" s="7">
        <v>2208</v>
      </c>
      <c r="M160" s="7">
        <v>30</v>
      </c>
      <c r="N160" s="7">
        <v>6</v>
      </c>
      <c r="O160" s="7">
        <v>2</v>
      </c>
      <c r="P160" s="7">
        <v>4</v>
      </c>
      <c r="Q160" s="69">
        <f t="shared" si="11"/>
        <v>1.358695652173913E-2</v>
      </c>
      <c r="R160" s="69">
        <f t="shared" si="11"/>
        <v>0.2</v>
      </c>
      <c r="S160" s="7"/>
      <c r="T160" s="7"/>
      <c r="U160" s="7"/>
      <c r="V160" s="7"/>
      <c r="W160" s="7"/>
    </row>
    <row r="161" spans="1:23">
      <c r="A161" s="6">
        <v>46137</v>
      </c>
      <c r="B161" s="7" t="s">
        <v>577</v>
      </c>
      <c r="C161" s="18" t="s">
        <v>590</v>
      </c>
      <c r="D161" s="18" t="s">
        <v>580</v>
      </c>
      <c r="E161" s="18" t="s">
        <v>252</v>
      </c>
      <c r="F161" s="18" t="s">
        <v>579</v>
      </c>
      <c r="G161" s="18"/>
      <c r="H161" s="18" t="s">
        <v>186</v>
      </c>
      <c r="I161" s="29"/>
      <c r="J161" s="18"/>
      <c r="K161" s="18"/>
      <c r="L161" s="7"/>
      <c r="M161" s="7"/>
      <c r="N161" s="7"/>
      <c r="O161" s="7"/>
      <c r="P161" s="7"/>
      <c r="Q161" s="69"/>
      <c r="R161" s="69"/>
      <c r="S161" s="35"/>
      <c r="T161" s="35"/>
      <c r="U161" s="35"/>
      <c r="V161" s="7"/>
      <c r="W161" s="7"/>
    </row>
    <row r="162" spans="1:23">
      <c r="A162" s="6">
        <v>46137</v>
      </c>
      <c r="B162" s="7" t="s">
        <v>577</v>
      </c>
      <c r="C162" s="7"/>
      <c r="D162" s="7" t="s">
        <v>669</v>
      </c>
      <c r="E162" s="7" t="s">
        <v>252</v>
      </c>
      <c r="F162" s="7"/>
      <c r="G162" s="7"/>
      <c r="H162" s="7" t="s">
        <v>170</v>
      </c>
      <c r="I162" s="14" t="s">
        <v>67</v>
      </c>
      <c r="J162" s="7" t="s">
        <v>34</v>
      </c>
      <c r="K162" s="7" t="s">
        <v>170</v>
      </c>
      <c r="L162" s="7">
        <v>1497</v>
      </c>
      <c r="M162" s="7">
        <v>1442</v>
      </c>
      <c r="N162" s="7">
        <v>911</v>
      </c>
      <c r="O162" s="7">
        <v>0</v>
      </c>
      <c r="P162" s="7">
        <v>3</v>
      </c>
      <c r="Q162" s="69">
        <f t="shared" ref="Q162:R169" si="12">M162/L162</f>
        <v>0.96325985303941219</v>
      </c>
      <c r="R162" s="69">
        <f t="shared" si="12"/>
        <v>0.63176144244105414</v>
      </c>
      <c r="S162" s="7"/>
      <c r="T162" s="7"/>
      <c r="U162" s="7"/>
      <c r="V162" s="7"/>
      <c r="W162" s="7"/>
    </row>
    <row r="163" spans="1:23">
      <c r="A163" s="6">
        <v>46137</v>
      </c>
      <c r="B163" s="7" t="s">
        <v>577</v>
      </c>
      <c r="C163" s="7"/>
      <c r="D163" s="100" t="s">
        <v>670</v>
      </c>
      <c r="E163" s="7" t="s">
        <v>252</v>
      </c>
      <c r="F163" s="7"/>
      <c r="G163" s="7"/>
      <c r="H163" s="7" t="s">
        <v>170</v>
      </c>
      <c r="I163" s="84"/>
      <c r="J163" s="7" t="s">
        <v>34</v>
      </c>
      <c r="K163" s="7" t="s">
        <v>170</v>
      </c>
      <c r="L163" s="7">
        <v>1497</v>
      </c>
      <c r="M163" s="7">
        <v>1442</v>
      </c>
      <c r="N163" s="7">
        <v>529</v>
      </c>
      <c r="O163" s="7">
        <v>0</v>
      </c>
      <c r="P163" s="7">
        <v>3</v>
      </c>
      <c r="Q163" s="69">
        <f t="shared" si="12"/>
        <v>0.96325985303941219</v>
      </c>
      <c r="R163" s="69">
        <f t="shared" si="12"/>
        <v>0.36685159500693482</v>
      </c>
      <c r="S163" s="7"/>
      <c r="T163" s="7"/>
      <c r="U163" s="7"/>
      <c r="V163" s="7"/>
      <c r="W163" s="7"/>
    </row>
    <row r="164" spans="1:23">
      <c r="A164" s="6">
        <v>46137</v>
      </c>
      <c r="B164" s="7" t="s">
        <v>577</v>
      </c>
      <c r="C164" s="7"/>
      <c r="D164" s="100" t="s">
        <v>666</v>
      </c>
      <c r="E164" s="7" t="s">
        <v>252</v>
      </c>
      <c r="F164" s="7"/>
      <c r="G164" s="7"/>
      <c r="H164" s="7" t="s">
        <v>170</v>
      </c>
      <c r="I164" s="84"/>
      <c r="J164" s="7" t="s">
        <v>34</v>
      </c>
      <c r="K164" s="7" t="s">
        <v>170</v>
      </c>
      <c r="L164" s="7">
        <v>364</v>
      </c>
      <c r="M164" s="7">
        <v>352</v>
      </c>
      <c r="N164" s="7">
        <v>266</v>
      </c>
      <c r="O164" s="7">
        <v>0</v>
      </c>
      <c r="P164" s="7">
        <v>1</v>
      </c>
      <c r="Q164" s="69">
        <f t="shared" si="12"/>
        <v>0.96703296703296704</v>
      </c>
      <c r="R164" s="69">
        <f t="shared" si="12"/>
        <v>0.75568181818181823</v>
      </c>
      <c r="S164" s="7"/>
      <c r="T164" s="7"/>
      <c r="U164" s="7"/>
      <c r="V164" s="7"/>
      <c r="W164" s="7"/>
    </row>
    <row r="165" spans="1:23">
      <c r="A165" s="6">
        <v>46137</v>
      </c>
      <c r="B165" s="7" t="s">
        <v>577</v>
      </c>
      <c r="C165" s="62">
        <v>0.9375</v>
      </c>
      <c r="D165" s="99" t="s">
        <v>614</v>
      </c>
      <c r="E165" s="7" t="s">
        <v>252</v>
      </c>
      <c r="F165" s="77" t="s">
        <v>428</v>
      </c>
      <c r="G165" s="7"/>
      <c r="H165" s="7" t="s">
        <v>149</v>
      </c>
      <c r="I165" s="47"/>
      <c r="J165" s="7" t="s">
        <v>34</v>
      </c>
      <c r="K165" s="7" t="s">
        <v>149</v>
      </c>
      <c r="L165" s="7">
        <v>320</v>
      </c>
      <c r="M165" s="7">
        <v>52</v>
      </c>
      <c r="N165" s="7">
        <v>15</v>
      </c>
      <c r="O165" s="7">
        <v>4</v>
      </c>
      <c r="P165" s="7">
        <v>0</v>
      </c>
      <c r="Q165" s="69">
        <f t="shared" si="12"/>
        <v>0.16250000000000001</v>
      </c>
      <c r="R165" s="69">
        <f t="shared" si="12"/>
        <v>0.28846153846153844</v>
      </c>
      <c r="S165" s="7"/>
      <c r="T165" s="7"/>
      <c r="U165" s="7"/>
      <c r="V165" s="7"/>
      <c r="W165" s="7"/>
    </row>
    <row r="166" spans="1:23" ht="16.8">
      <c r="A166" s="6">
        <v>46137</v>
      </c>
      <c r="B166" s="7" t="s">
        <v>577</v>
      </c>
      <c r="C166" s="62">
        <v>0.95833333333333337</v>
      </c>
      <c r="D166" s="99" t="s">
        <v>615</v>
      </c>
      <c r="E166" s="7" t="s">
        <v>252</v>
      </c>
      <c r="F166" s="77" t="s">
        <v>430</v>
      </c>
      <c r="G166" s="7"/>
      <c r="H166" s="52" t="s">
        <v>157</v>
      </c>
      <c r="I166" s="47"/>
      <c r="J166" s="7" t="s">
        <v>34</v>
      </c>
      <c r="K166" s="52" t="s">
        <v>157</v>
      </c>
      <c r="L166" s="7">
        <v>616</v>
      </c>
      <c r="M166" s="7">
        <v>114</v>
      </c>
      <c r="N166" s="7">
        <v>16</v>
      </c>
      <c r="O166" s="7">
        <v>8</v>
      </c>
      <c r="P166" s="7">
        <v>0</v>
      </c>
      <c r="Q166" s="69">
        <f t="shared" si="12"/>
        <v>0.18506493506493507</v>
      </c>
      <c r="R166" s="69">
        <f t="shared" si="12"/>
        <v>0.14035087719298245</v>
      </c>
      <c r="S166" s="7"/>
      <c r="T166" s="7"/>
      <c r="U166" s="7"/>
      <c r="V166" s="7"/>
      <c r="W166" s="7"/>
    </row>
    <row r="167" spans="1:23" ht="16.8">
      <c r="A167" s="6">
        <v>46137</v>
      </c>
      <c r="B167" s="7" t="s">
        <v>577</v>
      </c>
      <c r="C167" s="62">
        <v>0.82291666666666663</v>
      </c>
      <c r="D167" s="99" t="s">
        <v>616</v>
      </c>
      <c r="E167" s="7" t="s">
        <v>252</v>
      </c>
      <c r="F167" s="77" t="s">
        <v>432</v>
      </c>
      <c r="G167" s="7"/>
      <c r="H167" s="52" t="s">
        <v>420</v>
      </c>
      <c r="I167" s="47"/>
      <c r="J167" s="7" t="s">
        <v>34</v>
      </c>
      <c r="K167" s="52" t="s">
        <v>420</v>
      </c>
      <c r="L167" s="7">
        <v>321</v>
      </c>
      <c r="M167" s="7">
        <v>50</v>
      </c>
      <c r="N167" s="7">
        <v>11</v>
      </c>
      <c r="O167" s="7">
        <v>3</v>
      </c>
      <c r="P167" s="7">
        <v>0</v>
      </c>
      <c r="Q167" s="69">
        <f t="shared" si="12"/>
        <v>0.1557632398753894</v>
      </c>
      <c r="R167" s="69">
        <f t="shared" si="12"/>
        <v>0.22</v>
      </c>
      <c r="S167" s="7"/>
      <c r="T167" s="7"/>
      <c r="U167" s="7"/>
      <c r="V167" s="7"/>
      <c r="W167" s="7"/>
    </row>
    <row r="168" spans="1:23">
      <c r="A168" s="6">
        <v>46137</v>
      </c>
      <c r="B168" s="7" t="s">
        <v>577</v>
      </c>
      <c r="C168" s="62">
        <v>0.79166666666666663</v>
      </c>
      <c r="D168" s="99" t="s">
        <v>617</v>
      </c>
      <c r="E168" s="7" t="s">
        <v>252</v>
      </c>
      <c r="F168" s="77" t="s">
        <v>434</v>
      </c>
      <c r="G168" s="7"/>
      <c r="H168" s="7" t="s">
        <v>121</v>
      </c>
      <c r="I168" s="47"/>
      <c r="J168" s="7" t="s">
        <v>34</v>
      </c>
      <c r="K168" s="7" t="s">
        <v>121</v>
      </c>
      <c r="L168" s="7">
        <v>303</v>
      </c>
      <c r="M168" s="7">
        <v>25</v>
      </c>
      <c r="N168" s="7">
        <v>14</v>
      </c>
      <c r="O168" s="7">
        <v>0</v>
      </c>
      <c r="P168" s="7">
        <v>0</v>
      </c>
      <c r="Q168" s="69">
        <f t="shared" si="12"/>
        <v>8.2508250825082508E-2</v>
      </c>
      <c r="R168" s="69">
        <f t="shared" si="12"/>
        <v>0.56000000000000005</v>
      </c>
      <c r="S168" s="7"/>
      <c r="T168" s="7"/>
      <c r="U168" s="7"/>
      <c r="V168" s="7"/>
      <c r="W168" s="7"/>
    </row>
    <row r="169" spans="1:23" ht="16.8">
      <c r="A169" s="6">
        <v>46137</v>
      </c>
      <c r="B169" s="7" t="s">
        <v>577</v>
      </c>
      <c r="C169" s="64">
        <v>0.85416666666666663</v>
      </c>
      <c r="D169" s="31" t="s">
        <v>618</v>
      </c>
      <c r="E169" s="7" t="s">
        <v>252</v>
      </c>
      <c r="F169" s="7" t="s">
        <v>410</v>
      </c>
      <c r="G169" s="35"/>
      <c r="H169" s="53" t="s">
        <v>210</v>
      </c>
      <c r="I169" s="47"/>
      <c r="J169" s="35" t="s">
        <v>34</v>
      </c>
      <c r="K169" s="53" t="s">
        <v>210</v>
      </c>
      <c r="L169" s="35">
        <v>733</v>
      </c>
      <c r="M169" s="35">
        <v>42</v>
      </c>
      <c r="N169" s="35">
        <v>20</v>
      </c>
      <c r="O169" s="35">
        <v>0</v>
      </c>
      <c r="P169" s="35">
        <v>0</v>
      </c>
      <c r="Q169" s="94">
        <f t="shared" si="12"/>
        <v>5.7298772169167803E-2</v>
      </c>
      <c r="R169" s="94">
        <f t="shared" si="12"/>
        <v>0.47619047619047616</v>
      </c>
      <c r="S169" s="35"/>
      <c r="T169" s="35"/>
      <c r="U169" s="35"/>
      <c r="V169" s="35"/>
      <c r="W169" s="35"/>
    </row>
    <row r="170" spans="1:23" ht="6.6" customHeight="1">
      <c r="A170" s="22"/>
      <c r="B170" s="23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5"/>
      <c r="R170" s="25"/>
      <c r="S170" s="24"/>
      <c r="T170" s="24"/>
      <c r="U170" s="24"/>
      <c r="V170" s="25"/>
      <c r="W170" s="26"/>
    </row>
    <row r="171" spans="1:23">
      <c r="A171" s="6">
        <v>46138</v>
      </c>
      <c r="B171" s="7" t="s">
        <v>578</v>
      </c>
      <c r="C171" s="18" t="s">
        <v>589</v>
      </c>
      <c r="D171" s="18" t="s">
        <v>185</v>
      </c>
      <c r="E171" s="18" t="s">
        <v>252</v>
      </c>
      <c r="F171" s="18" t="s">
        <v>110</v>
      </c>
      <c r="G171" s="18"/>
      <c r="H171" s="18" t="s">
        <v>106</v>
      </c>
      <c r="I171" s="30"/>
      <c r="J171" s="18" t="s">
        <v>34</v>
      </c>
      <c r="K171" s="18" t="s">
        <v>106</v>
      </c>
      <c r="L171" s="7">
        <v>756</v>
      </c>
      <c r="M171" s="7">
        <v>14</v>
      </c>
      <c r="N171" s="7">
        <v>5</v>
      </c>
      <c r="O171" s="7">
        <v>0</v>
      </c>
      <c r="P171" s="7">
        <v>4</v>
      </c>
      <c r="Q171" s="69">
        <f t="shared" ref="Q171:R184" si="13">M171/L171</f>
        <v>1.8518518518518517E-2</v>
      </c>
      <c r="R171" s="69">
        <f t="shared" si="13"/>
        <v>0.35714285714285715</v>
      </c>
      <c r="S171" s="7"/>
      <c r="T171" s="7"/>
      <c r="U171" s="7"/>
      <c r="V171" s="7"/>
      <c r="W171" s="7"/>
    </row>
    <row r="172" spans="1:23">
      <c r="A172" s="6">
        <v>46138</v>
      </c>
      <c r="B172" s="7" t="s">
        <v>578</v>
      </c>
      <c r="C172" s="18" t="s">
        <v>590</v>
      </c>
      <c r="D172" s="18" t="s">
        <v>580</v>
      </c>
      <c r="E172" s="18" t="s">
        <v>252</v>
      </c>
      <c r="F172" s="18" t="s">
        <v>579</v>
      </c>
      <c r="G172" s="18"/>
      <c r="H172" s="18" t="s">
        <v>106</v>
      </c>
      <c r="I172" s="29"/>
      <c r="J172" s="18"/>
      <c r="K172" s="18"/>
      <c r="L172" s="7"/>
      <c r="M172" s="7"/>
      <c r="N172" s="7"/>
      <c r="O172" s="7"/>
      <c r="P172" s="7"/>
      <c r="Q172" s="69" t="e">
        <f t="shared" si="13"/>
        <v>#DIV/0!</v>
      </c>
      <c r="R172" s="69" t="e">
        <f t="shared" si="13"/>
        <v>#DIV/0!</v>
      </c>
      <c r="S172" s="7"/>
      <c r="T172" s="7"/>
      <c r="U172" s="7"/>
      <c r="V172" s="7"/>
      <c r="W172" s="7"/>
    </row>
    <row r="173" spans="1:23">
      <c r="A173" s="6">
        <v>46138</v>
      </c>
      <c r="B173" s="7" t="s">
        <v>578</v>
      </c>
      <c r="C173" s="18"/>
      <c r="D173" s="18" t="s">
        <v>144</v>
      </c>
      <c r="E173" s="18" t="s">
        <v>252</v>
      </c>
      <c r="F173" s="18" t="s">
        <v>145</v>
      </c>
      <c r="G173" s="18"/>
      <c r="H173" s="18" t="s">
        <v>157</v>
      </c>
      <c r="I173" s="30"/>
      <c r="J173" s="18" t="s">
        <v>34</v>
      </c>
      <c r="K173" s="18" t="s">
        <v>157</v>
      </c>
      <c r="L173" s="7">
        <v>67</v>
      </c>
      <c r="M173" s="7">
        <v>34</v>
      </c>
      <c r="N173" s="7">
        <v>8</v>
      </c>
      <c r="O173" s="7">
        <v>4</v>
      </c>
      <c r="P173" s="7">
        <v>0</v>
      </c>
      <c r="Q173" s="69">
        <f t="shared" si="13"/>
        <v>0.5074626865671642</v>
      </c>
      <c r="R173" s="69">
        <f t="shared" si="13"/>
        <v>0.23529411764705882</v>
      </c>
      <c r="S173" s="7"/>
      <c r="T173" s="35"/>
      <c r="U173" s="35"/>
      <c r="V173" s="35"/>
      <c r="W173" s="7"/>
    </row>
    <row r="174" spans="1:23">
      <c r="A174" s="6">
        <v>46138</v>
      </c>
      <c r="B174" s="7" t="s">
        <v>578</v>
      </c>
      <c r="C174" s="18"/>
      <c r="D174" s="18" t="s">
        <v>146</v>
      </c>
      <c r="E174" s="18" t="s">
        <v>252</v>
      </c>
      <c r="F174" s="18" t="s">
        <v>147</v>
      </c>
      <c r="G174" s="18"/>
      <c r="H174" s="18" t="s">
        <v>149</v>
      </c>
      <c r="I174" s="30"/>
      <c r="J174" s="18" t="s">
        <v>34</v>
      </c>
      <c r="K174" s="18" t="s">
        <v>149</v>
      </c>
      <c r="L174" s="7">
        <v>49</v>
      </c>
      <c r="M174" s="7">
        <v>26</v>
      </c>
      <c r="N174" s="7">
        <v>8</v>
      </c>
      <c r="O174" s="7">
        <v>1</v>
      </c>
      <c r="P174" s="7">
        <v>0</v>
      </c>
      <c r="Q174" s="69">
        <f t="shared" si="13"/>
        <v>0.53061224489795922</v>
      </c>
      <c r="R174" s="69">
        <f t="shared" si="13"/>
        <v>0.30769230769230771</v>
      </c>
      <c r="S174" s="7"/>
      <c r="T174" s="7"/>
      <c r="U174" s="7"/>
      <c r="V174" s="7"/>
      <c r="W174" s="7"/>
    </row>
    <row r="175" spans="1:23">
      <c r="A175" s="6">
        <v>46138</v>
      </c>
      <c r="B175" s="7" t="s">
        <v>578</v>
      </c>
      <c r="C175" s="18" t="s">
        <v>589</v>
      </c>
      <c r="D175" s="18" t="s">
        <v>187</v>
      </c>
      <c r="E175" s="18" t="s">
        <v>252</v>
      </c>
      <c r="F175" s="18" t="s">
        <v>188</v>
      </c>
      <c r="G175" s="18"/>
      <c r="H175" s="18" t="s">
        <v>186</v>
      </c>
      <c r="I175" s="30"/>
      <c r="J175" s="18" t="s">
        <v>34</v>
      </c>
      <c r="K175" s="18" t="s">
        <v>186</v>
      </c>
      <c r="L175" s="7">
        <v>1879</v>
      </c>
      <c r="M175" s="7">
        <v>15</v>
      </c>
      <c r="N175" s="7">
        <v>0</v>
      </c>
      <c r="O175" s="7">
        <v>0</v>
      </c>
      <c r="P175" s="7">
        <v>0</v>
      </c>
      <c r="Q175" s="69">
        <f t="shared" si="13"/>
        <v>7.9829696647152736E-3</v>
      </c>
      <c r="R175" s="69">
        <f t="shared" si="13"/>
        <v>0</v>
      </c>
      <c r="S175" s="7"/>
      <c r="T175" s="7"/>
      <c r="U175" s="7"/>
      <c r="V175" s="7"/>
      <c r="W175" s="7"/>
    </row>
    <row r="176" spans="1:23">
      <c r="A176" s="6">
        <v>46138</v>
      </c>
      <c r="B176" s="7" t="s">
        <v>578</v>
      </c>
      <c r="C176" s="18" t="s">
        <v>590</v>
      </c>
      <c r="D176" s="18" t="s">
        <v>580</v>
      </c>
      <c r="E176" s="18" t="s">
        <v>252</v>
      </c>
      <c r="F176" s="18" t="s">
        <v>579</v>
      </c>
      <c r="G176" s="18"/>
      <c r="H176" s="18" t="s">
        <v>186</v>
      </c>
      <c r="I176" s="29"/>
      <c r="J176" s="18"/>
      <c r="K176" s="18"/>
      <c r="L176" s="7"/>
      <c r="M176" s="7"/>
      <c r="N176" s="7"/>
      <c r="O176" s="7"/>
      <c r="P176" s="7"/>
      <c r="Q176" s="69" t="e">
        <f t="shared" si="13"/>
        <v>#DIV/0!</v>
      </c>
      <c r="R176" s="69" t="e">
        <f t="shared" si="13"/>
        <v>#DIV/0!</v>
      </c>
      <c r="S176" s="7"/>
      <c r="T176" s="7"/>
      <c r="U176" s="7"/>
      <c r="V176" s="7"/>
      <c r="W176" s="7"/>
    </row>
    <row r="177" spans="1:23">
      <c r="A177" s="6">
        <v>46138</v>
      </c>
      <c r="B177" s="7" t="s">
        <v>578</v>
      </c>
      <c r="C177" s="7"/>
      <c r="D177" s="7" t="s">
        <v>673</v>
      </c>
      <c r="E177" s="7" t="s">
        <v>252</v>
      </c>
      <c r="F177" s="7"/>
      <c r="G177" s="7"/>
      <c r="H177" s="7" t="s">
        <v>170</v>
      </c>
      <c r="I177" s="14" t="s">
        <v>67</v>
      </c>
      <c r="J177" s="7" t="s">
        <v>34</v>
      </c>
      <c r="K177" s="7" t="s">
        <v>170</v>
      </c>
      <c r="L177" s="7">
        <v>2996</v>
      </c>
      <c r="M177" s="7">
        <v>2709</v>
      </c>
      <c r="N177" s="7">
        <v>1567</v>
      </c>
      <c r="O177" s="7">
        <v>0</v>
      </c>
      <c r="P177" s="7">
        <v>4</v>
      </c>
      <c r="Q177" s="69">
        <f t="shared" si="13"/>
        <v>0.90420560747663548</v>
      </c>
      <c r="R177" s="69">
        <f t="shared" si="13"/>
        <v>0.57844222960502034</v>
      </c>
      <c r="S177" s="7"/>
      <c r="T177" s="7"/>
      <c r="U177" s="7"/>
      <c r="V177" s="7"/>
      <c r="W177" s="7"/>
    </row>
    <row r="178" spans="1:23">
      <c r="A178" s="6">
        <v>46138</v>
      </c>
      <c r="B178" s="7" t="s">
        <v>578</v>
      </c>
      <c r="C178" s="7"/>
      <c r="D178" s="100" t="s">
        <v>674</v>
      </c>
      <c r="E178" s="7" t="s">
        <v>252</v>
      </c>
      <c r="F178" s="7"/>
      <c r="G178" s="7"/>
      <c r="H178" s="7" t="s">
        <v>170</v>
      </c>
      <c r="I178" s="84"/>
      <c r="J178" s="7" t="s">
        <v>34</v>
      </c>
      <c r="K178" s="7" t="s">
        <v>170</v>
      </c>
      <c r="L178" s="7">
        <v>2996</v>
      </c>
      <c r="M178" s="7">
        <v>2776</v>
      </c>
      <c r="N178" s="7">
        <v>1985</v>
      </c>
      <c r="O178" s="7">
        <v>0</v>
      </c>
      <c r="P178" s="7">
        <v>4</v>
      </c>
      <c r="Q178" s="69">
        <f t="shared" si="13"/>
        <v>0.92656875834445929</v>
      </c>
      <c r="R178" s="69">
        <f t="shared" si="13"/>
        <v>0.71505763688760804</v>
      </c>
      <c r="S178" s="7"/>
      <c r="T178" s="7"/>
      <c r="U178" s="7"/>
      <c r="V178" s="7"/>
      <c r="W178" s="7"/>
    </row>
    <row r="179" spans="1:23">
      <c r="A179" s="6">
        <v>46138</v>
      </c>
      <c r="B179" s="7" t="s">
        <v>578</v>
      </c>
      <c r="C179" s="7"/>
      <c r="D179" s="100" t="s">
        <v>666</v>
      </c>
      <c r="E179" s="7" t="s">
        <v>252</v>
      </c>
      <c r="F179" s="7"/>
      <c r="G179" s="7"/>
      <c r="H179" s="7" t="s">
        <v>170</v>
      </c>
      <c r="I179" s="84"/>
      <c r="J179" s="7" t="s">
        <v>34</v>
      </c>
      <c r="K179" s="7" t="s">
        <v>170</v>
      </c>
      <c r="L179" s="7">
        <v>358</v>
      </c>
      <c r="M179" s="7">
        <v>339</v>
      </c>
      <c r="N179" s="7">
        <v>255</v>
      </c>
      <c r="O179" s="7">
        <v>0</v>
      </c>
      <c r="P179" s="7">
        <v>0</v>
      </c>
      <c r="Q179" s="69">
        <f t="shared" si="13"/>
        <v>0.94692737430167595</v>
      </c>
      <c r="R179" s="69">
        <f t="shared" si="13"/>
        <v>0.75221238938053092</v>
      </c>
      <c r="S179" s="7"/>
      <c r="T179" s="7"/>
      <c r="U179" s="7"/>
      <c r="V179" s="7"/>
      <c r="W179" s="7"/>
    </row>
    <row r="180" spans="1:23">
      <c r="A180" s="6">
        <v>46138</v>
      </c>
      <c r="B180" s="7" t="s">
        <v>578</v>
      </c>
      <c r="C180" s="62">
        <v>0.9375</v>
      </c>
      <c r="D180" s="31" t="s">
        <v>619</v>
      </c>
      <c r="E180" s="7" t="s">
        <v>252</v>
      </c>
      <c r="F180" s="7" t="s">
        <v>150</v>
      </c>
      <c r="G180" s="7"/>
      <c r="H180" s="7" t="s">
        <v>149</v>
      </c>
      <c r="I180" s="47"/>
      <c r="J180" s="7" t="s">
        <v>34</v>
      </c>
      <c r="K180" s="7" t="s">
        <v>149</v>
      </c>
      <c r="L180" s="7">
        <v>358</v>
      </c>
      <c r="M180" s="7">
        <v>86</v>
      </c>
      <c r="N180" s="7">
        <v>14</v>
      </c>
      <c r="O180" s="7">
        <v>2</v>
      </c>
      <c r="P180" s="7">
        <v>0</v>
      </c>
      <c r="Q180" s="69">
        <f t="shared" si="13"/>
        <v>0.24022346368715083</v>
      </c>
      <c r="R180" s="69">
        <f t="shared" si="13"/>
        <v>0.16279069767441862</v>
      </c>
      <c r="S180" s="7"/>
      <c r="T180" s="7"/>
      <c r="U180" s="7"/>
      <c r="V180" s="7"/>
      <c r="W180" s="7"/>
    </row>
    <row r="181" spans="1:23" ht="16.8">
      <c r="A181" s="6">
        <v>46138</v>
      </c>
      <c r="B181" s="7" t="s">
        <v>578</v>
      </c>
      <c r="C181" s="62">
        <v>0.95833333333333337</v>
      </c>
      <c r="D181" s="31" t="s">
        <v>620</v>
      </c>
      <c r="E181" s="7" t="s">
        <v>252</v>
      </c>
      <c r="F181" s="7" t="s">
        <v>248</v>
      </c>
      <c r="G181" s="7"/>
      <c r="H181" s="52" t="s">
        <v>157</v>
      </c>
      <c r="I181" s="47"/>
      <c r="J181" s="7" t="s">
        <v>34</v>
      </c>
      <c r="K181" s="52" t="s">
        <v>157</v>
      </c>
      <c r="L181" s="7">
        <v>674</v>
      </c>
      <c r="M181" s="7">
        <v>129</v>
      </c>
      <c r="N181" s="7">
        <v>31</v>
      </c>
      <c r="O181" s="7">
        <v>4</v>
      </c>
      <c r="P181" s="7">
        <v>0</v>
      </c>
      <c r="Q181" s="69">
        <f t="shared" si="13"/>
        <v>0.1913946587537092</v>
      </c>
      <c r="R181" s="69">
        <f t="shared" si="13"/>
        <v>0.24031007751937986</v>
      </c>
      <c r="S181" s="7"/>
      <c r="T181" s="7"/>
      <c r="U181" s="7"/>
      <c r="V181" s="7"/>
      <c r="W181" s="7"/>
    </row>
    <row r="182" spans="1:23" ht="16.8">
      <c r="A182" s="6">
        <v>46138</v>
      </c>
      <c r="B182" s="7" t="s">
        <v>578</v>
      </c>
      <c r="C182" s="62">
        <v>0.82291666666666663</v>
      </c>
      <c r="D182" s="31" t="s">
        <v>621</v>
      </c>
      <c r="E182" s="31" t="s">
        <v>252</v>
      </c>
      <c r="F182" s="31" t="s">
        <v>334</v>
      </c>
      <c r="G182" s="7"/>
      <c r="H182" s="52" t="s">
        <v>420</v>
      </c>
      <c r="I182" s="47"/>
      <c r="J182" s="7" t="s">
        <v>34</v>
      </c>
      <c r="K182" s="52" t="s">
        <v>420</v>
      </c>
      <c r="L182" s="7">
        <v>353</v>
      </c>
      <c r="M182" s="7">
        <v>68</v>
      </c>
      <c r="N182" s="7">
        <v>14</v>
      </c>
      <c r="O182" s="7">
        <v>3</v>
      </c>
      <c r="P182" s="7">
        <v>0</v>
      </c>
      <c r="Q182" s="69">
        <f t="shared" si="13"/>
        <v>0.19263456090651557</v>
      </c>
      <c r="R182" s="69">
        <f t="shared" si="13"/>
        <v>0.20588235294117646</v>
      </c>
      <c r="S182" s="7"/>
      <c r="T182" s="7"/>
      <c r="U182" s="7"/>
      <c r="V182" s="7"/>
      <c r="W182" s="7"/>
    </row>
    <row r="183" spans="1:23">
      <c r="A183" s="6">
        <v>46138</v>
      </c>
      <c r="B183" s="7" t="s">
        <v>578</v>
      </c>
      <c r="C183" s="62">
        <v>0.79166666666666663</v>
      </c>
      <c r="D183" s="31" t="s">
        <v>622</v>
      </c>
      <c r="E183" s="7" t="s">
        <v>252</v>
      </c>
      <c r="F183" s="35" t="s">
        <v>150</v>
      </c>
      <c r="G183" s="7"/>
      <c r="H183" s="7" t="s">
        <v>121</v>
      </c>
      <c r="I183" s="47"/>
      <c r="J183" s="7" t="s">
        <v>34</v>
      </c>
      <c r="K183" s="7" t="s">
        <v>121</v>
      </c>
      <c r="L183" s="7">
        <v>335</v>
      </c>
      <c r="M183" s="7">
        <v>23</v>
      </c>
      <c r="N183" s="7">
        <v>14</v>
      </c>
      <c r="O183" s="7">
        <v>1</v>
      </c>
      <c r="P183" s="7">
        <v>0</v>
      </c>
      <c r="Q183" s="69">
        <f t="shared" si="13"/>
        <v>6.8656716417910449E-2</v>
      </c>
      <c r="R183" s="69">
        <f t="shared" si="13"/>
        <v>0.60869565217391308</v>
      </c>
      <c r="S183" s="7"/>
      <c r="T183" s="7"/>
      <c r="U183" s="7"/>
      <c r="V183" s="7"/>
      <c r="W183" s="7"/>
    </row>
    <row r="184" spans="1:23" ht="16.8">
      <c r="A184" s="6">
        <v>46138</v>
      </c>
      <c r="B184" s="7" t="s">
        <v>578</v>
      </c>
      <c r="C184" s="64">
        <v>0.85416666666666663</v>
      </c>
      <c r="D184" s="31" t="s">
        <v>623</v>
      </c>
      <c r="E184" s="7" t="s">
        <v>252</v>
      </c>
      <c r="F184" s="7" t="s">
        <v>248</v>
      </c>
      <c r="G184" s="35"/>
      <c r="H184" s="53" t="s">
        <v>210</v>
      </c>
      <c r="I184" s="47"/>
      <c r="J184" s="35" t="s">
        <v>34</v>
      </c>
      <c r="K184" s="53" t="s">
        <v>210</v>
      </c>
      <c r="L184" s="35">
        <v>797</v>
      </c>
      <c r="M184" s="35">
        <v>37</v>
      </c>
      <c r="N184" s="35">
        <v>24</v>
      </c>
      <c r="O184" s="35">
        <v>0</v>
      </c>
      <c r="P184" s="35">
        <v>0</v>
      </c>
      <c r="Q184" s="94">
        <f t="shared" si="13"/>
        <v>4.6424090338770388E-2</v>
      </c>
      <c r="R184" s="94">
        <f t="shared" si="13"/>
        <v>0.64864864864864868</v>
      </c>
      <c r="S184" s="35"/>
      <c r="T184" s="35"/>
      <c r="U184" s="35"/>
      <c r="V184" s="35"/>
      <c r="W184" s="35"/>
    </row>
    <row r="185" spans="1:23" ht="6.6" customHeight="1">
      <c r="A185" s="22"/>
      <c r="B185" s="23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5"/>
      <c r="R185" s="25"/>
      <c r="S185" s="24"/>
      <c r="T185" s="24"/>
      <c r="U185" s="24"/>
      <c r="V185" s="25"/>
      <c r="W185" s="26"/>
    </row>
    <row r="186" spans="1:23">
      <c r="A186" s="6">
        <v>46139</v>
      </c>
      <c r="B186" s="7" t="s">
        <v>301</v>
      </c>
      <c r="C186" s="18" t="s">
        <v>589</v>
      </c>
      <c r="D186" s="18" t="s">
        <v>185</v>
      </c>
      <c r="E186" s="18" t="s">
        <v>252</v>
      </c>
      <c r="F186" s="18" t="s">
        <v>110</v>
      </c>
      <c r="G186" s="18"/>
      <c r="H186" s="18" t="s">
        <v>106</v>
      </c>
      <c r="I186" s="47"/>
      <c r="J186" s="18" t="s">
        <v>34</v>
      </c>
      <c r="K186" s="18" t="s">
        <v>106</v>
      </c>
      <c r="L186" s="112">
        <v>777</v>
      </c>
      <c r="M186" s="112">
        <v>14</v>
      </c>
      <c r="N186" s="112">
        <v>8</v>
      </c>
      <c r="O186" s="112">
        <v>6</v>
      </c>
      <c r="P186" s="112">
        <v>0</v>
      </c>
      <c r="Q186" s="69">
        <f t="shared" ref="Q186:R199" si="14">M186/L186</f>
        <v>1.8018018018018018E-2</v>
      </c>
      <c r="R186" s="69">
        <f t="shared" si="14"/>
        <v>0.5714285714285714</v>
      </c>
      <c r="S186" s="7"/>
      <c r="T186" s="112"/>
      <c r="U186" s="112"/>
      <c r="V186" s="112"/>
      <c r="W186" s="7"/>
    </row>
    <row r="187" spans="1:23">
      <c r="A187" s="6">
        <v>46139</v>
      </c>
      <c r="B187" s="7" t="s">
        <v>301</v>
      </c>
      <c r="C187" s="18" t="s">
        <v>590</v>
      </c>
      <c r="D187" s="18" t="s">
        <v>580</v>
      </c>
      <c r="E187" s="18" t="s">
        <v>252</v>
      </c>
      <c r="F187" s="18" t="s">
        <v>579</v>
      </c>
      <c r="G187" s="18"/>
      <c r="H187" s="18" t="s">
        <v>106</v>
      </c>
      <c r="I187" s="47"/>
      <c r="J187" s="18" t="s">
        <v>34</v>
      </c>
      <c r="K187" s="18" t="s">
        <v>106</v>
      </c>
      <c r="L187" s="112"/>
      <c r="M187" s="112"/>
      <c r="N187" s="112"/>
      <c r="O187" s="112"/>
      <c r="P187" s="112"/>
      <c r="Q187" s="69" t="e">
        <f t="shared" si="14"/>
        <v>#DIV/0!</v>
      </c>
      <c r="R187" s="69" t="e">
        <f t="shared" si="14"/>
        <v>#DIV/0!</v>
      </c>
      <c r="S187" s="7"/>
      <c r="T187" s="112"/>
      <c r="U187" s="112"/>
      <c r="V187" s="112"/>
      <c r="W187" s="7"/>
    </row>
    <row r="188" spans="1:23">
      <c r="A188" s="6">
        <v>46139</v>
      </c>
      <c r="B188" s="7" t="s">
        <v>301</v>
      </c>
      <c r="C188" s="18"/>
      <c r="D188" s="18" t="s">
        <v>144</v>
      </c>
      <c r="E188" s="18" t="s">
        <v>252</v>
      </c>
      <c r="F188" s="18" t="s">
        <v>145</v>
      </c>
      <c r="G188" s="18"/>
      <c r="H188" s="18" t="s">
        <v>157</v>
      </c>
      <c r="I188" s="47"/>
      <c r="J188" s="18" t="s">
        <v>34</v>
      </c>
      <c r="K188" s="18" t="s">
        <v>157</v>
      </c>
      <c r="L188" s="112">
        <v>4019</v>
      </c>
      <c r="M188" s="112">
        <v>3212</v>
      </c>
      <c r="N188" s="112">
        <v>2644</v>
      </c>
      <c r="O188" s="112">
        <v>5</v>
      </c>
      <c r="P188" s="112">
        <v>0</v>
      </c>
      <c r="Q188" s="69">
        <f t="shared" si="14"/>
        <v>0.79920378203533216</v>
      </c>
      <c r="R188" s="69">
        <f t="shared" si="14"/>
        <v>0.82316313823163134</v>
      </c>
      <c r="S188" s="7"/>
      <c r="T188" s="112"/>
      <c r="U188" s="112"/>
      <c r="V188" s="112"/>
      <c r="W188" s="7"/>
    </row>
    <row r="189" spans="1:23">
      <c r="A189" s="6">
        <v>46139</v>
      </c>
      <c r="B189" s="7" t="s">
        <v>301</v>
      </c>
      <c r="C189" s="18"/>
      <c r="D189" s="18" t="s">
        <v>146</v>
      </c>
      <c r="E189" s="18" t="s">
        <v>252</v>
      </c>
      <c r="F189" s="18" t="s">
        <v>147</v>
      </c>
      <c r="G189" s="18"/>
      <c r="H189" s="18" t="s">
        <v>149</v>
      </c>
      <c r="I189" s="47"/>
      <c r="J189" s="18" t="s">
        <v>34</v>
      </c>
      <c r="K189" s="18" t="s">
        <v>149</v>
      </c>
      <c r="L189" s="112">
        <v>3996</v>
      </c>
      <c r="M189" s="112">
        <v>3259</v>
      </c>
      <c r="N189" s="112">
        <v>2597</v>
      </c>
      <c r="O189" s="112">
        <v>4</v>
      </c>
      <c r="P189" s="112">
        <v>0</v>
      </c>
      <c r="Q189" s="69">
        <f t="shared" si="14"/>
        <v>0.81556556556556559</v>
      </c>
      <c r="R189" s="69">
        <f t="shared" si="14"/>
        <v>0.79687020558453514</v>
      </c>
      <c r="S189" s="7"/>
      <c r="T189" s="7"/>
      <c r="U189" s="7"/>
      <c r="V189" s="7"/>
      <c r="W189" s="7"/>
    </row>
    <row r="190" spans="1:23">
      <c r="A190" s="6">
        <v>46139</v>
      </c>
      <c r="B190" s="7" t="s">
        <v>301</v>
      </c>
      <c r="C190" s="18" t="s">
        <v>589</v>
      </c>
      <c r="D190" s="18" t="s">
        <v>187</v>
      </c>
      <c r="E190" s="18" t="s">
        <v>252</v>
      </c>
      <c r="F190" s="18" t="s">
        <v>188</v>
      </c>
      <c r="G190" s="18"/>
      <c r="H190" s="18" t="s">
        <v>186</v>
      </c>
      <c r="I190" s="47"/>
      <c r="J190" s="18" t="s">
        <v>34</v>
      </c>
      <c r="K190" s="18" t="s">
        <v>186</v>
      </c>
      <c r="L190" s="112">
        <v>1926</v>
      </c>
      <c r="M190" s="112">
        <v>13</v>
      </c>
      <c r="N190" s="112">
        <v>2</v>
      </c>
      <c r="O190" s="112">
        <v>0</v>
      </c>
      <c r="P190" s="112">
        <v>0</v>
      </c>
      <c r="Q190" s="69">
        <f t="shared" si="14"/>
        <v>6.7497403946002073E-3</v>
      </c>
      <c r="R190" s="69">
        <f t="shared" si="14"/>
        <v>0.15384615384615385</v>
      </c>
      <c r="S190" s="7"/>
      <c r="T190" s="7"/>
      <c r="U190" s="7"/>
      <c r="V190" s="7"/>
      <c r="W190" s="7"/>
    </row>
    <row r="191" spans="1:23">
      <c r="A191" s="6">
        <v>46139</v>
      </c>
      <c r="B191" s="7" t="s">
        <v>301</v>
      </c>
      <c r="C191" s="18" t="s">
        <v>590</v>
      </c>
      <c r="D191" s="18" t="s">
        <v>580</v>
      </c>
      <c r="E191" s="18" t="s">
        <v>252</v>
      </c>
      <c r="F191" s="18" t="s">
        <v>579</v>
      </c>
      <c r="G191" s="18"/>
      <c r="H191" s="18" t="s">
        <v>186</v>
      </c>
      <c r="I191" s="47"/>
      <c r="J191" s="18" t="s">
        <v>34</v>
      </c>
      <c r="K191" s="18" t="s">
        <v>186</v>
      </c>
      <c r="L191" s="112"/>
      <c r="M191" s="112"/>
      <c r="N191" s="112"/>
      <c r="O191" s="112"/>
      <c r="P191" s="112"/>
      <c r="Q191" s="69" t="e">
        <f t="shared" si="14"/>
        <v>#DIV/0!</v>
      </c>
      <c r="R191" s="69" t="e">
        <f t="shared" si="14"/>
        <v>#DIV/0!</v>
      </c>
      <c r="S191" s="7"/>
      <c r="T191" s="7"/>
      <c r="U191" s="7"/>
      <c r="V191" s="7"/>
      <c r="W191" s="7"/>
    </row>
    <row r="192" spans="1:23">
      <c r="A192" s="6">
        <v>46139</v>
      </c>
      <c r="B192" s="7" t="s">
        <v>301</v>
      </c>
      <c r="C192" s="7"/>
      <c r="D192" s="7" t="s">
        <v>695</v>
      </c>
      <c r="E192" s="7" t="s">
        <v>252</v>
      </c>
      <c r="F192" s="7"/>
      <c r="G192" s="7"/>
      <c r="H192" s="7" t="s">
        <v>170</v>
      </c>
      <c r="I192" s="47"/>
      <c r="J192" s="7" t="s">
        <v>34</v>
      </c>
      <c r="K192" s="7" t="s">
        <v>170</v>
      </c>
      <c r="L192" s="112">
        <v>2997</v>
      </c>
      <c r="M192" s="112">
        <v>2864</v>
      </c>
      <c r="N192" s="112">
        <v>2134</v>
      </c>
      <c r="O192" s="112">
        <v>0</v>
      </c>
      <c r="P192" s="112">
        <v>4</v>
      </c>
      <c r="Q192" s="69">
        <f t="shared" si="14"/>
        <v>0.95562228895562229</v>
      </c>
      <c r="R192" s="69">
        <f t="shared" si="14"/>
        <v>0.74511173184357538</v>
      </c>
      <c r="S192" s="7"/>
      <c r="T192" s="7"/>
      <c r="U192" s="7"/>
      <c r="V192" s="7"/>
      <c r="W192" s="7"/>
    </row>
    <row r="193" spans="1:23">
      <c r="A193" s="6">
        <v>46139</v>
      </c>
      <c r="B193" s="7" t="s">
        <v>301</v>
      </c>
      <c r="C193" s="7"/>
      <c r="D193" s="100" t="s">
        <v>696</v>
      </c>
      <c r="E193" s="7" t="s">
        <v>252</v>
      </c>
      <c r="F193" s="7"/>
      <c r="G193" s="7"/>
      <c r="H193" s="7" t="s">
        <v>170</v>
      </c>
      <c r="I193" s="84"/>
      <c r="J193" s="7" t="s">
        <v>34</v>
      </c>
      <c r="K193" s="7" t="s">
        <v>170</v>
      </c>
      <c r="L193" s="112">
        <v>2997</v>
      </c>
      <c r="M193" s="112">
        <v>2868</v>
      </c>
      <c r="N193" s="112">
        <v>1966</v>
      </c>
      <c r="O193" s="112">
        <v>0</v>
      </c>
      <c r="P193" s="112">
        <v>4</v>
      </c>
      <c r="Q193" s="69">
        <f t="shared" si="14"/>
        <v>0.95695695695695693</v>
      </c>
      <c r="R193" s="69">
        <f t="shared" si="14"/>
        <v>0.68549511854951184</v>
      </c>
      <c r="S193" s="7"/>
      <c r="T193" s="7"/>
      <c r="U193" s="7"/>
      <c r="V193" s="7"/>
      <c r="W193" s="7"/>
    </row>
    <row r="194" spans="1:23">
      <c r="A194" s="6">
        <v>46139</v>
      </c>
      <c r="B194" s="7" t="s">
        <v>301</v>
      </c>
      <c r="C194" s="7"/>
      <c r="D194" s="100" t="s">
        <v>666</v>
      </c>
      <c r="E194" s="7" t="s">
        <v>252</v>
      </c>
      <c r="F194" s="7"/>
      <c r="G194" s="7"/>
      <c r="H194" s="7" t="s">
        <v>170</v>
      </c>
      <c r="I194" s="84"/>
      <c r="J194" s="7" t="s">
        <v>34</v>
      </c>
      <c r="K194" s="7" t="s">
        <v>170</v>
      </c>
      <c r="L194" s="112">
        <v>349</v>
      </c>
      <c r="M194" s="112">
        <v>339</v>
      </c>
      <c r="N194" s="112">
        <v>260</v>
      </c>
      <c r="O194" s="112">
        <v>0</v>
      </c>
      <c r="P194" s="112">
        <v>1</v>
      </c>
      <c r="Q194" s="69">
        <f t="shared" si="14"/>
        <v>0.97134670487106012</v>
      </c>
      <c r="R194" s="69">
        <f t="shared" si="14"/>
        <v>0.76696165191740417</v>
      </c>
      <c r="S194" s="7"/>
      <c r="T194" s="7"/>
      <c r="U194" s="7"/>
      <c r="V194" s="7"/>
      <c r="W194" s="7"/>
    </row>
    <row r="195" spans="1:23">
      <c r="A195" s="6">
        <v>46139</v>
      </c>
      <c r="B195" s="7" t="s">
        <v>301</v>
      </c>
      <c r="C195" s="62">
        <v>0.9375</v>
      </c>
      <c r="D195" s="31" t="s">
        <v>687</v>
      </c>
      <c r="E195" s="7" t="s">
        <v>252</v>
      </c>
      <c r="F195" s="7" t="s">
        <v>688</v>
      </c>
      <c r="G195" s="7"/>
      <c r="H195" s="7" t="s">
        <v>149</v>
      </c>
      <c r="I195" s="47" t="s">
        <v>228</v>
      </c>
      <c r="J195" s="7" t="s">
        <v>34</v>
      </c>
      <c r="K195" s="7" t="s">
        <v>149</v>
      </c>
      <c r="L195" s="112">
        <v>1095</v>
      </c>
      <c r="M195" s="112">
        <v>795</v>
      </c>
      <c r="N195" s="112">
        <v>561</v>
      </c>
      <c r="O195" s="112">
        <v>2</v>
      </c>
      <c r="P195" s="112">
        <v>0</v>
      </c>
      <c r="Q195" s="69">
        <f t="shared" si="14"/>
        <v>0.72602739726027399</v>
      </c>
      <c r="R195" s="69">
        <f t="shared" si="14"/>
        <v>0.70566037735849052</v>
      </c>
      <c r="S195" s="7"/>
      <c r="T195" s="7"/>
      <c r="U195" s="7"/>
      <c r="V195" s="7"/>
      <c r="W195" s="7"/>
    </row>
    <row r="196" spans="1:23" ht="16.8">
      <c r="A196" s="6">
        <v>46139</v>
      </c>
      <c r="B196" s="7" t="s">
        <v>301</v>
      </c>
      <c r="C196" s="62">
        <v>0.95833333333333337</v>
      </c>
      <c r="D196" s="31" t="s">
        <v>689</v>
      </c>
      <c r="E196" s="7" t="s">
        <v>252</v>
      </c>
      <c r="F196" s="7" t="s">
        <v>690</v>
      </c>
      <c r="G196" s="7"/>
      <c r="H196" s="52" t="s">
        <v>157</v>
      </c>
      <c r="I196" s="47" t="s">
        <v>228</v>
      </c>
      <c r="J196" s="7" t="s">
        <v>34</v>
      </c>
      <c r="K196" s="52" t="s">
        <v>157</v>
      </c>
      <c r="L196" s="112">
        <v>2598</v>
      </c>
      <c r="M196" s="112">
        <v>1944</v>
      </c>
      <c r="N196" s="112">
        <v>1438</v>
      </c>
      <c r="O196" s="112">
        <v>2</v>
      </c>
      <c r="P196" s="112">
        <v>0</v>
      </c>
      <c r="Q196" s="69">
        <f t="shared" si="14"/>
        <v>0.74826789838337182</v>
      </c>
      <c r="R196" s="69">
        <f t="shared" si="14"/>
        <v>0.73971193415637859</v>
      </c>
      <c r="S196" s="7"/>
      <c r="T196" s="7"/>
      <c r="U196" s="7"/>
      <c r="V196" s="7"/>
      <c r="W196" s="7"/>
    </row>
    <row r="197" spans="1:23" ht="16.8">
      <c r="A197" s="6">
        <v>46139</v>
      </c>
      <c r="B197" s="7" t="s">
        <v>301</v>
      </c>
      <c r="C197" s="62">
        <v>0.82291666666666663</v>
      </c>
      <c r="D197" s="31" t="s">
        <v>691</v>
      </c>
      <c r="E197" s="7" t="s">
        <v>252</v>
      </c>
      <c r="F197" s="31" t="s">
        <v>692</v>
      </c>
      <c r="G197" s="7"/>
      <c r="H197" s="52" t="s">
        <v>420</v>
      </c>
      <c r="I197" s="47" t="s">
        <v>228</v>
      </c>
      <c r="J197" s="7" t="s">
        <v>34</v>
      </c>
      <c r="K197" s="52" t="s">
        <v>420</v>
      </c>
      <c r="L197" s="112">
        <v>368</v>
      </c>
      <c r="M197" s="112">
        <v>100</v>
      </c>
      <c r="N197" s="112">
        <v>23</v>
      </c>
      <c r="O197" s="112">
        <v>4</v>
      </c>
      <c r="P197" s="112">
        <v>1</v>
      </c>
      <c r="Q197" s="69">
        <f t="shared" si="14"/>
        <v>0.27173913043478259</v>
      </c>
      <c r="R197" s="69">
        <f t="shared" si="14"/>
        <v>0.23</v>
      </c>
      <c r="S197" s="7"/>
      <c r="T197" s="7"/>
      <c r="U197" s="7"/>
      <c r="V197" s="7"/>
      <c r="W197" s="7"/>
    </row>
    <row r="198" spans="1:23">
      <c r="A198" s="6">
        <v>46139</v>
      </c>
      <c r="B198" s="7" t="s">
        <v>301</v>
      </c>
      <c r="C198" s="62">
        <v>0.79166666666666663</v>
      </c>
      <c r="D198" s="7" t="s">
        <v>693</v>
      </c>
      <c r="E198" s="7" t="s">
        <v>252</v>
      </c>
      <c r="F198" s="7" t="s">
        <v>688</v>
      </c>
      <c r="G198" s="7"/>
      <c r="H198" s="7" t="s">
        <v>121</v>
      </c>
      <c r="I198" s="47"/>
      <c r="J198" s="7" t="s">
        <v>34</v>
      </c>
      <c r="K198" s="7" t="s">
        <v>121</v>
      </c>
      <c r="L198" s="112">
        <v>348</v>
      </c>
      <c r="M198" s="112">
        <v>25</v>
      </c>
      <c r="N198" s="112">
        <v>19</v>
      </c>
      <c r="O198" s="112">
        <v>0</v>
      </c>
      <c r="P198" s="112">
        <v>0</v>
      </c>
      <c r="Q198" s="69">
        <f t="shared" si="14"/>
        <v>7.183908045977011E-2</v>
      </c>
      <c r="R198" s="69">
        <f t="shared" si="14"/>
        <v>0.76</v>
      </c>
      <c r="S198" s="7"/>
      <c r="T198" s="7"/>
      <c r="U198" s="7"/>
      <c r="V198" s="7"/>
      <c r="W198" s="7"/>
    </row>
    <row r="199" spans="1:23" ht="16.8">
      <c r="A199" s="6">
        <v>46139</v>
      </c>
      <c r="B199" s="7" t="s">
        <v>301</v>
      </c>
      <c r="C199" s="64">
        <v>0.85416666666666663</v>
      </c>
      <c r="D199" s="7" t="s">
        <v>694</v>
      </c>
      <c r="E199" s="7" t="s">
        <v>252</v>
      </c>
      <c r="F199" s="7" t="s">
        <v>690</v>
      </c>
      <c r="G199" s="35"/>
      <c r="H199" s="53" t="s">
        <v>210</v>
      </c>
      <c r="I199" s="47"/>
      <c r="J199" s="35" t="s">
        <v>34</v>
      </c>
      <c r="K199" s="53" t="s">
        <v>210</v>
      </c>
      <c r="L199" s="112">
        <v>861</v>
      </c>
      <c r="M199" s="112">
        <v>34</v>
      </c>
      <c r="N199" s="112">
        <v>17</v>
      </c>
      <c r="O199" s="112">
        <v>0</v>
      </c>
      <c r="P199" s="112">
        <v>0</v>
      </c>
      <c r="Q199" s="94">
        <f t="shared" si="14"/>
        <v>3.9488966318234613E-2</v>
      </c>
      <c r="R199" s="94">
        <f t="shared" si="14"/>
        <v>0.5</v>
      </c>
      <c r="S199" s="35"/>
      <c r="T199" s="35"/>
      <c r="U199" s="35"/>
      <c r="V199" s="35"/>
      <c r="W199" s="35"/>
    </row>
    <row r="200" spans="1:23" ht="6.6" customHeight="1">
      <c r="A200" s="22"/>
      <c r="B200" s="23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5"/>
      <c r="R200" s="25"/>
      <c r="S200" s="24"/>
      <c r="T200" s="24"/>
      <c r="U200" s="24"/>
      <c r="V200" s="25"/>
      <c r="W200" s="26"/>
    </row>
    <row r="201" spans="1:23">
      <c r="A201" s="6">
        <v>46140</v>
      </c>
      <c r="B201" s="7" t="s">
        <v>316</v>
      </c>
      <c r="C201" s="18" t="s">
        <v>589</v>
      </c>
      <c r="D201" s="18" t="s">
        <v>185</v>
      </c>
      <c r="E201" s="18" t="s">
        <v>252</v>
      </c>
      <c r="F201" s="18" t="s">
        <v>110</v>
      </c>
      <c r="G201" s="18"/>
      <c r="H201" s="18" t="s">
        <v>106</v>
      </c>
      <c r="I201" s="47"/>
      <c r="J201" s="18" t="s">
        <v>34</v>
      </c>
      <c r="K201" s="18" t="s">
        <v>106</v>
      </c>
      <c r="L201" s="112">
        <v>718</v>
      </c>
      <c r="M201" s="112">
        <v>4</v>
      </c>
      <c r="N201" s="112">
        <v>3</v>
      </c>
      <c r="O201" s="112">
        <v>0</v>
      </c>
      <c r="P201" s="112">
        <v>0</v>
      </c>
      <c r="Q201" s="69">
        <f t="shared" ref="Q201:R214" si="15">M201/L201</f>
        <v>5.5710306406685237E-3</v>
      </c>
      <c r="R201" s="69">
        <f t="shared" si="15"/>
        <v>0.75</v>
      </c>
      <c r="S201" s="7"/>
      <c r="T201" s="112">
        <v>1993</v>
      </c>
      <c r="U201" s="112">
        <v>19</v>
      </c>
      <c r="V201" s="112">
        <v>5</v>
      </c>
      <c r="W201" s="7"/>
    </row>
    <row r="202" spans="1:23">
      <c r="A202" s="6">
        <v>46140</v>
      </c>
      <c r="B202" s="7" t="s">
        <v>316</v>
      </c>
      <c r="C202" s="18" t="s">
        <v>590</v>
      </c>
      <c r="D202" s="18" t="s">
        <v>580</v>
      </c>
      <c r="E202" s="18" t="s">
        <v>252</v>
      </c>
      <c r="F202" s="18" t="s">
        <v>579</v>
      </c>
      <c r="G202" s="18"/>
      <c r="H202" s="18" t="s">
        <v>106</v>
      </c>
      <c r="I202" s="47"/>
      <c r="J202" s="18" t="s">
        <v>34</v>
      </c>
      <c r="K202" s="18" t="s">
        <v>106</v>
      </c>
      <c r="L202" s="112"/>
      <c r="M202" s="112"/>
      <c r="N202" s="112"/>
      <c r="O202" s="112"/>
      <c r="P202" s="112"/>
      <c r="Q202" s="69" t="e">
        <f t="shared" si="15"/>
        <v>#DIV/0!</v>
      </c>
      <c r="R202" s="69" t="e">
        <f t="shared" si="15"/>
        <v>#DIV/0!</v>
      </c>
      <c r="S202" s="7"/>
      <c r="T202" s="112">
        <v>384</v>
      </c>
      <c r="U202" s="112">
        <v>23</v>
      </c>
      <c r="V202" s="112">
        <v>12</v>
      </c>
      <c r="W202" s="7"/>
    </row>
    <row r="203" spans="1:23">
      <c r="A203" s="6">
        <v>46140</v>
      </c>
      <c r="B203" s="7" t="s">
        <v>316</v>
      </c>
      <c r="C203" s="18"/>
      <c r="D203" s="18" t="s">
        <v>144</v>
      </c>
      <c r="E203" s="18" t="s">
        <v>252</v>
      </c>
      <c r="F203" s="18" t="s">
        <v>145</v>
      </c>
      <c r="G203" s="18"/>
      <c r="H203" s="18" t="s">
        <v>157</v>
      </c>
      <c r="I203" s="47"/>
      <c r="J203" s="18" t="s">
        <v>34</v>
      </c>
      <c r="K203" s="18" t="s">
        <v>157</v>
      </c>
      <c r="L203" s="112">
        <v>247</v>
      </c>
      <c r="M203" s="112">
        <v>142</v>
      </c>
      <c r="N203" s="112">
        <v>105</v>
      </c>
      <c r="O203" s="112">
        <v>5</v>
      </c>
      <c r="P203" s="112">
        <v>0</v>
      </c>
      <c r="Q203" s="69">
        <f t="shared" si="15"/>
        <v>0.5748987854251012</v>
      </c>
      <c r="R203" s="69">
        <f t="shared" si="15"/>
        <v>0.73943661971830987</v>
      </c>
      <c r="S203" s="7"/>
      <c r="T203" s="112">
        <v>941</v>
      </c>
      <c r="U203" s="112">
        <v>33</v>
      </c>
      <c r="V203" s="112">
        <v>18</v>
      </c>
      <c r="W203" s="7"/>
    </row>
    <row r="204" spans="1:23">
      <c r="A204" s="6">
        <v>46140</v>
      </c>
      <c r="B204" s="7" t="s">
        <v>316</v>
      </c>
      <c r="C204" s="18"/>
      <c r="D204" s="18" t="s">
        <v>146</v>
      </c>
      <c r="E204" s="18" t="s">
        <v>252</v>
      </c>
      <c r="F204" s="18" t="s">
        <v>147</v>
      </c>
      <c r="G204" s="18"/>
      <c r="H204" s="18" t="s">
        <v>149</v>
      </c>
      <c r="I204" s="47"/>
      <c r="J204" s="18" t="s">
        <v>34</v>
      </c>
      <c r="K204" s="18" t="s">
        <v>149</v>
      </c>
      <c r="L204" s="112">
        <v>219</v>
      </c>
      <c r="M204" s="112">
        <v>151</v>
      </c>
      <c r="N204" s="112">
        <v>108</v>
      </c>
      <c r="O204" s="112">
        <v>1</v>
      </c>
      <c r="P204" s="112">
        <v>0</v>
      </c>
      <c r="Q204" s="69">
        <f t="shared" si="15"/>
        <v>0.68949771689497719</v>
      </c>
      <c r="R204" s="69">
        <f t="shared" si="15"/>
        <v>0.71523178807947019</v>
      </c>
      <c r="S204" s="7"/>
      <c r="T204" s="112">
        <f>SUM(T201:T203)</f>
        <v>3318</v>
      </c>
      <c r="U204" s="112">
        <f>SUM(U201:U203)</f>
        <v>75</v>
      </c>
      <c r="V204" s="112">
        <f>SUM(V201:V203)</f>
        <v>35</v>
      </c>
      <c r="W204" s="7"/>
    </row>
    <row r="205" spans="1:23">
      <c r="A205" s="6">
        <v>46140</v>
      </c>
      <c r="B205" s="7" t="s">
        <v>316</v>
      </c>
      <c r="C205" s="18" t="s">
        <v>589</v>
      </c>
      <c r="D205" s="18" t="s">
        <v>187</v>
      </c>
      <c r="E205" s="18" t="s">
        <v>252</v>
      </c>
      <c r="F205" s="18" t="s">
        <v>188</v>
      </c>
      <c r="G205" s="18"/>
      <c r="H205" s="18" t="s">
        <v>186</v>
      </c>
      <c r="I205" s="47"/>
      <c r="J205" s="18" t="s">
        <v>34</v>
      </c>
      <c r="K205" s="18" t="s">
        <v>186</v>
      </c>
      <c r="L205" s="112">
        <v>1993</v>
      </c>
      <c r="M205" s="112">
        <v>19</v>
      </c>
      <c r="N205" s="112">
        <v>5</v>
      </c>
      <c r="O205" s="112">
        <v>0</v>
      </c>
      <c r="P205" s="112">
        <v>0</v>
      </c>
      <c r="Q205" s="69">
        <f t="shared" si="15"/>
        <v>9.5333667837431014E-3</v>
      </c>
      <c r="R205" s="69">
        <f t="shared" si="15"/>
        <v>0.26315789473684209</v>
      </c>
      <c r="S205" s="7"/>
      <c r="T205" s="112"/>
      <c r="U205" s="112"/>
      <c r="V205" s="112"/>
      <c r="W205" s="7"/>
    </row>
    <row r="206" spans="1:23">
      <c r="A206" s="6">
        <v>46140</v>
      </c>
      <c r="B206" s="7" t="s">
        <v>316</v>
      </c>
      <c r="C206" s="18" t="s">
        <v>590</v>
      </c>
      <c r="D206" s="18" t="s">
        <v>580</v>
      </c>
      <c r="E206" s="18" t="s">
        <v>252</v>
      </c>
      <c r="F206" s="18" t="s">
        <v>579</v>
      </c>
      <c r="G206" s="18"/>
      <c r="H206" s="18" t="s">
        <v>186</v>
      </c>
      <c r="I206" s="47"/>
      <c r="J206" s="18" t="s">
        <v>34</v>
      </c>
      <c r="K206" s="18" t="s">
        <v>186</v>
      </c>
      <c r="L206" s="112"/>
      <c r="M206" s="112"/>
      <c r="N206" s="112"/>
      <c r="O206" s="112"/>
      <c r="P206" s="112"/>
      <c r="Q206" s="69" t="e">
        <f t="shared" si="15"/>
        <v>#DIV/0!</v>
      </c>
      <c r="R206" s="69" t="e">
        <f t="shared" si="15"/>
        <v>#DIV/0!</v>
      </c>
      <c r="S206" s="7"/>
      <c r="T206" s="112"/>
      <c r="U206" s="112"/>
      <c r="V206" s="112"/>
      <c r="W206" s="7"/>
    </row>
    <row r="207" spans="1:23">
      <c r="A207" s="6">
        <v>46140</v>
      </c>
      <c r="B207" s="7" t="s">
        <v>316</v>
      </c>
      <c r="C207" s="7"/>
      <c r="D207" s="7" t="s">
        <v>774</v>
      </c>
      <c r="E207" s="7" t="s">
        <v>252</v>
      </c>
      <c r="F207" s="7"/>
      <c r="G207" s="7"/>
      <c r="H207" s="7" t="s">
        <v>170</v>
      </c>
      <c r="I207" s="47"/>
      <c r="J207" s="7" t="s">
        <v>34</v>
      </c>
      <c r="K207" s="7" t="s">
        <v>170</v>
      </c>
      <c r="L207" s="112">
        <v>2997</v>
      </c>
      <c r="M207" s="112">
        <v>2852</v>
      </c>
      <c r="N207" s="112">
        <v>1969</v>
      </c>
      <c r="O207" s="112">
        <v>0</v>
      </c>
      <c r="P207" s="112">
        <v>4</v>
      </c>
      <c r="Q207" s="69">
        <f t="shared" si="15"/>
        <v>0.95161828495161827</v>
      </c>
      <c r="R207" s="69">
        <f t="shared" si="15"/>
        <v>0.69039270687237031</v>
      </c>
      <c r="S207" s="7"/>
      <c r="T207" s="112"/>
      <c r="U207" s="112"/>
      <c r="V207" s="112"/>
      <c r="W207" s="7"/>
    </row>
    <row r="208" spans="1:23">
      <c r="A208" s="6">
        <v>46140</v>
      </c>
      <c r="B208" s="7" t="s">
        <v>316</v>
      </c>
      <c r="C208" s="7"/>
      <c r="D208" s="100" t="s">
        <v>775</v>
      </c>
      <c r="E208" s="7" t="s">
        <v>252</v>
      </c>
      <c r="F208" s="7"/>
      <c r="G208" s="7"/>
      <c r="H208" s="7" t="s">
        <v>170</v>
      </c>
      <c r="I208" s="84"/>
      <c r="J208" s="7" t="s">
        <v>34</v>
      </c>
      <c r="K208" s="7" t="s">
        <v>170</v>
      </c>
      <c r="L208" s="112">
        <v>2997</v>
      </c>
      <c r="M208" s="112">
        <v>2857</v>
      </c>
      <c r="N208" s="112">
        <v>2062</v>
      </c>
      <c r="O208" s="112">
        <v>0</v>
      </c>
      <c r="P208" s="112">
        <v>4</v>
      </c>
      <c r="Q208" s="69">
        <f t="shared" si="15"/>
        <v>0.95328661995328667</v>
      </c>
      <c r="R208" s="69">
        <f t="shared" si="15"/>
        <v>0.7217360868043402</v>
      </c>
      <c r="S208" s="7"/>
      <c r="T208" s="7"/>
      <c r="U208" s="7"/>
      <c r="V208" s="7"/>
      <c r="W208" s="7"/>
    </row>
    <row r="209" spans="1:23">
      <c r="A209" s="6">
        <v>46140</v>
      </c>
      <c r="B209" s="7" t="s">
        <v>316</v>
      </c>
      <c r="C209" s="7"/>
      <c r="D209" s="100" t="s">
        <v>775</v>
      </c>
      <c r="E209" s="7" t="s">
        <v>252</v>
      </c>
      <c r="F209" s="7"/>
      <c r="G209" s="7"/>
      <c r="H209" s="7" t="s">
        <v>170</v>
      </c>
      <c r="I209" s="84" t="s">
        <v>776</v>
      </c>
      <c r="J209" s="7" t="s">
        <v>34</v>
      </c>
      <c r="K209" s="7" t="s">
        <v>170</v>
      </c>
      <c r="L209" s="112">
        <v>317</v>
      </c>
      <c r="M209" s="112">
        <v>300</v>
      </c>
      <c r="N209" s="112">
        <v>219</v>
      </c>
      <c r="O209" s="112">
        <v>0</v>
      </c>
      <c r="P209" s="112">
        <v>0</v>
      </c>
      <c r="Q209" s="69">
        <f t="shared" si="15"/>
        <v>0.94637223974763407</v>
      </c>
      <c r="R209" s="69">
        <f t="shared" si="15"/>
        <v>0.73</v>
      </c>
      <c r="S209" s="7"/>
      <c r="T209" s="7"/>
      <c r="U209" s="7"/>
      <c r="V209" s="7"/>
      <c r="W209" s="7"/>
    </row>
    <row r="210" spans="1:23">
      <c r="A210" s="6">
        <v>46140</v>
      </c>
      <c r="B210" s="7" t="s">
        <v>316</v>
      </c>
      <c r="C210" s="62">
        <v>0.9375</v>
      </c>
      <c r="D210" s="7" t="s">
        <v>777</v>
      </c>
      <c r="E210" s="7" t="s">
        <v>252</v>
      </c>
      <c r="F210" s="7" t="s">
        <v>778</v>
      </c>
      <c r="G210" s="7"/>
      <c r="H210" s="7" t="s">
        <v>149</v>
      </c>
      <c r="I210" s="47" t="s">
        <v>779</v>
      </c>
      <c r="J210" s="7" t="s">
        <v>34</v>
      </c>
      <c r="K210" s="7" t="s">
        <v>149</v>
      </c>
      <c r="L210" s="112">
        <v>977</v>
      </c>
      <c r="M210" s="112">
        <v>631</v>
      </c>
      <c r="N210" s="112">
        <v>357</v>
      </c>
      <c r="O210" s="112">
        <v>2</v>
      </c>
      <c r="P210" s="112">
        <v>0</v>
      </c>
      <c r="Q210" s="69">
        <f t="shared" si="15"/>
        <v>0.64585465711361312</v>
      </c>
      <c r="R210" s="69">
        <f t="shared" si="15"/>
        <v>0.56576862123613314</v>
      </c>
      <c r="S210" s="7"/>
      <c r="T210" s="7"/>
      <c r="U210" s="7"/>
      <c r="V210" s="7"/>
      <c r="W210" s="7"/>
    </row>
    <row r="211" spans="1:23" ht="16.8">
      <c r="A211" s="6">
        <v>46140</v>
      </c>
      <c r="B211" s="7" t="s">
        <v>316</v>
      </c>
      <c r="C211" s="62">
        <v>0.95833333333333337</v>
      </c>
      <c r="D211" s="7" t="s">
        <v>780</v>
      </c>
      <c r="E211" s="7" t="s">
        <v>252</v>
      </c>
      <c r="F211" s="7" t="s">
        <v>336</v>
      </c>
      <c r="G211" s="7"/>
      <c r="H211" s="52" t="s">
        <v>157</v>
      </c>
      <c r="I211" s="47"/>
      <c r="J211" s="7" t="s">
        <v>34</v>
      </c>
      <c r="K211" s="52" t="s">
        <v>157</v>
      </c>
      <c r="L211" s="112">
        <v>1300</v>
      </c>
      <c r="M211" s="112">
        <v>743</v>
      </c>
      <c r="N211" s="112">
        <v>389</v>
      </c>
      <c r="O211" s="112">
        <v>5</v>
      </c>
      <c r="P211" s="112">
        <v>0</v>
      </c>
      <c r="Q211" s="69">
        <f t="shared" si="15"/>
        <v>0.57153846153846155</v>
      </c>
      <c r="R211" s="69">
        <f t="shared" si="15"/>
        <v>0.52355316285329745</v>
      </c>
      <c r="S211" s="7"/>
      <c r="T211" s="7"/>
      <c r="U211" s="7"/>
      <c r="V211" s="7"/>
      <c r="W211" s="7"/>
    </row>
    <row r="212" spans="1:23" ht="16.8">
      <c r="A212" s="6">
        <v>46140</v>
      </c>
      <c r="B212" s="7" t="s">
        <v>316</v>
      </c>
      <c r="C212" s="62">
        <v>0.82291666666666663</v>
      </c>
      <c r="D212" s="7" t="s">
        <v>781</v>
      </c>
      <c r="E212" s="31" t="s">
        <v>252</v>
      </c>
      <c r="F212" s="31" t="s">
        <v>782</v>
      </c>
      <c r="G212" s="7"/>
      <c r="H212" s="52" t="s">
        <v>420</v>
      </c>
      <c r="I212" s="47" t="s">
        <v>779</v>
      </c>
      <c r="J212" s="7" t="s">
        <v>34</v>
      </c>
      <c r="K212" s="52" t="s">
        <v>420</v>
      </c>
      <c r="L212" s="112">
        <v>377</v>
      </c>
      <c r="M212" s="112">
        <v>73</v>
      </c>
      <c r="N212" s="112">
        <v>10</v>
      </c>
      <c r="O212" s="112">
        <v>2</v>
      </c>
      <c r="P212" s="112">
        <v>0</v>
      </c>
      <c r="Q212" s="69">
        <f t="shared" si="15"/>
        <v>0.19363395225464192</v>
      </c>
      <c r="R212" s="69">
        <f t="shared" si="15"/>
        <v>0.13698630136986301</v>
      </c>
      <c r="S212" s="7"/>
      <c r="T212" s="7"/>
      <c r="U212" s="7"/>
      <c r="V212" s="7"/>
      <c r="W212" s="7"/>
    </row>
    <row r="213" spans="1:23">
      <c r="A213" s="6">
        <v>46140</v>
      </c>
      <c r="B213" s="7" t="s">
        <v>316</v>
      </c>
      <c r="C213" s="62">
        <v>0.79166666666666663</v>
      </c>
      <c r="D213" s="7" t="s">
        <v>783</v>
      </c>
      <c r="E213" s="31" t="s">
        <v>252</v>
      </c>
      <c r="F213" t="s">
        <v>784</v>
      </c>
      <c r="G213" s="7"/>
      <c r="H213" s="7" t="s">
        <v>121</v>
      </c>
      <c r="I213" s="47" t="s">
        <v>785</v>
      </c>
      <c r="J213" s="7" t="s">
        <v>34</v>
      </c>
      <c r="K213" s="7" t="s">
        <v>121</v>
      </c>
      <c r="L213" s="112">
        <v>384</v>
      </c>
      <c r="M213" s="112">
        <v>23</v>
      </c>
      <c r="N213" s="112">
        <v>12</v>
      </c>
      <c r="O213" s="112">
        <v>1</v>
      </c>
      <c r="P213" s="112">
        <v>1</v>
      </c>
      <c r="Q213" s="69">
        <f t="shared" si="15"/>
        <v>5.9895833333333336E-2</v>
      </c>
      <c r="R213" s="69">
        <f t="shared" si="15"/>
        <v>0.52173913043478259</v>
      </c>
      <c r="S213" s="7"/>
      <c r="T213" s="7"/>
      <c r="U213" s="7"/>
      <c r="V213" s="7"/>
      <c r="W213" s="7"/>
    </row>
    <row r="214" spans="1:23" ht="16.8">
      <c r="A214" s="6">
        <v>46140</v>
      </c>
      <c r="B214" s="7" t="s">
        <v>316</v>
      </c>
      <c r="C214" s="64">
        <v>0.85416666666666663</v>
      </c>
      <c r="D214" s="7" t="s">
        <v>786</v>
      </c>
      <c r="E214" s="7" t="s">
        <v>252</v>
      </c>
      <c r="F214" s="7" t="s">
        <v>336</v>
      </c>
      <c r="G214" s="35"/>
      <c r="H214" s="53" t="s">
        <v>210</v>
      </c>
      <c r="I214" s="47"/>
      <c r="J214" s="35" t="s">
        <v>34</v>
      </c>
      <c r="K214" s="53" t="s">
        <v>210</v>
      </c>
      <c r="L214" s="112">
        <v>941</v>
      </c>
      <c r="M214" s="112">
        <v>33</v>
      </c>
      <c r="N214" s="112">
        <v>18</v>
      </c>
      <c r="O214" s="112">
        <v>0</v>
      </c>
      <c r="P214" s="112">
        <v>0</v>
      </c>
      <c r="Q214" s="94">
        <f t="shared" si="15"/>
        <v>3.5069075451647183E-2</v>
      </c>
      <c r="R214" s="94">
        <f t="shared" si="15"/>
        <v>0.54545454545454541</v>
      </c>
      <c r="S214" s="35"/>
      <c r="T214" s="35"/>
      <c r="U214" s="35"/>
      <c r="V214" s="35"/>
      <c r="W214" s="35"/>
    </row>
    <row r="215" spans="1:23" ht="6.6" customHeight="1">
      <c r="A215" s="22"/>
      <c r="B215" s="23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5"/>
      <c r="R215" s="25"/>
      <c r="S215" s="24"/>
      <c r="T215" s="24"/>
      <c r="U215" s="24"/>
      <c r="V215" s="25"/>
      <c r="W215" s="26"/>
    </row>
    <row r="216" spans="1:23">
      <c r="A216" s="6">
        <v>46141</v>
      </c>
      <c r="B216" s="7" t="s">
        <v>392</v>
      </c>
      <c r="C216" s="18" t="s">
        <v>589</v>
      </c>
      <c r="D216" s="18" t="s">
        <v>185</v>
      </c>
      <c r="E216" s="18" t="s">
        <v>252</v>
      </c>
      <c r="F216" s="18" t="s">
        <v>110</v>
      </c>
      <c r="G216" s="18"/>
      <c r="H216" s="18" t="s">
        <v>106</v>
      </c>
      <c r="I216" s="47"/>
      <c r="J216" s="18" t="s">
        <v>34</v>
      </c>
      <c r="K216" s="18" t="s">
        <v>106</v>
      </c>
      <c r="L216" s="112">
        <v>698</v>
      </c>
      <c r="M216" s="112">
        <v>17</v>
      </c>
      <c r="N216" s="112">
        <v>2</v>
      </c>
      <c r="O216" s="112">
        <v>0</v>
      </c>
      <c r="P216" s="112">
        <v>0</v>
      </c>
      <c r="Q216" s="69">
        <f t="shared" ref="Q216:R230" si="16">M216/L216</f>
        <v>2.4355300859598854E-2</v>
      </c>
      <c r="R216" s="69">
        <f t="shared" si="16"/>
        <v>0.11764705882352941</v>
      </c>
      <c r="S216" s="7"/>
      <c r="T216" s="112"/>
      <c r="U216" s="112"/>
      <c r="V216" s="112"/>
      <c r="W216" s="7"/>
    </row>
    <row r="217" spans="1:23">
      <c r="A217" s="6">
        <v>46141</v>
      </c>
      <c r="B217" s="7" t="s">
        <v>392</v>
      </c>
      <c r="C217" s="18" t="s">
        <v>590</v>
      </c>
      <c r="D217" s="18" t="s">
        <v>580</v>
      </c>
      <c r="E217" s="18" t="s">
        <v>252</v>
      </c>
      <c r="F217" s="18" t="s">
        <v>579</v>
      </c>
      <c r="G217" s="18"/>
      <c r="H217" s="18" t="s">
        <v>106</v>
      </c>
      <c r="I217" s="47"/>
      <c r="J217" s="18" t="s">
        <v>34</v>
      </c>
      <c r="K217" s="18" t="s">
        <v>106</v>
      </c>
      <c r="L217" s="112"/>
      <c r="M217" s="112"/>
      <c r="N217" s="112"/>
      <c r="O217" s="112"/>
      <c r="P217" s="112"/>
      <c r="Q217" s="69" t="e">
        <f t="shared" si="16"/>
        <v>#DIV/0!</v>
      </c>
      <c r="R217" s="69" t="e">
        <f t="shared" si="16"/>
        <v>#DIV/0!</v>
      </c>
      <c r="S217" s="7"/>
      <c r="T217" s="112"/>
      <c r="U217" s="112"/>
      <c r="V217" s="112"/>
      <c r="W217" s="7"/>
    </row>
    <row r="218" spans="1:23">
      <c r="A218" s="6">
        <v>46141</v>
      </c>
      <c r="B218" s="7" t="s">
        <v>392</v>
      </c>
      <c r="C218" s="18"/>
      <c r="D218" s="18" t="s">
        <v>144</v>
      </c>
      <c r="E218" s="18" t="s">
        <v>252</v>
      </c>
      <c r="F218" s="18" t="s">
        <v>145</v>
      </c>
      <c r="G218" s="18"/>
      <c r="H218" s="18" t="s">
        <v>157</v>
      </c>
      <c r="I218" s="47"/>
      <c r="J218" s="18" t="s">
        <v>34</v>
      </c>
      <c r="K218" s="18" t="s">
        <v>157</v>
      </c>
      <c r="L218" s="112">
        <v>100</v>
      </c>
      <c r="M218" s="112">
        <v>41</v>
      </c>
      <c r="N218" s="112">
        <v>9</v>
      </c>
      <c r="O218" s="112">
        <v>3</v>
      </c>
      <c r="P218" s="112">
        <v>0</v>
      </c>
      <c r="Q218" s="69">
        <f t="shared" si="16"/>
        <v>0.41</v>
      </c>
      <c r="R218" s="69">
        <f t="shared" si="16"/>
        <v>0.21951219512195122</v>
      </c>
      <c r="S218" s="7"/>
      <c r="T218" s="112"/>
      <c r="U218" s="112"/>
      <c r="V218" s="112"/>
      <c r="W218" s="7"/>
    </row>
    <row r="219" spans="1:23">
      <c r="A219" s="6">
        <v>46141</v>
      </c>
      <c r="B219" s="7" t="s">
        <v>392</v>
      </c>
      <c r="C219" s="18"/>
      <c r="D219" s="18" t="s">
        <v>146</v>
      </c>
      <c r="E219" s="18" t="s">
        <v>252</v>
      </c>
      <c r="F219" s="18" t="s">
        <v>147</v>
      </c>
      <c r="G219" s="18"/>
      <c r="H219" s="18" t="s">
        <v>149</v>
      </c>
      <c r="I219" s="47"/>
      <c r="J219" s="18" t="s">
        <v>34</v>
      </c>
      <c r="K219" s="18" t="s">
        <v>149</v>
      </c>
      <c r="L219" s="112">
        <v>72</v>
      </c>
      <c r="M219" s="112">
        <v>31</v>
      </c>
      <c r="N219" s="112">
        <v>16</v>
      </c>
      <c r="O219" s="112">
        <v>0</v>
      </c>
      <c r="P219" s="112">
        <v>0</v>
      </c>
      <c r="Q219" s="69">
        <f t="shared" si="16"/>
        <v>0.43055555555555558</v>
      </c>
      <c r="R219" s="69">
        <f t="shared" si="16"/>
        <v>0.5161290322580645</v>
      </c>
      <c r="S219" s="7"/>
      <c r="T219" s="7"/>
      <c r="U219" s="7"/>
      <c r="V219" s="7"/>
      <c r="W219" s="7"/>
    </row>
    <row r="220" spans="1:23">
      <c r="A220" s="6">
        <v>46141</v>
      </c>
      <c r="B220" s="7" t="s">
        <v>392</v>
      </c>
      <c r="C220" s="18" t="s">
        <v>589</v>
      </c>
      <c r="D220" s="18" t="s">
        <v>187</v>
      </c>
      <c r="E220" s="18" t="s">
        <v>252</v>
      </c>
      <c r="F220" s="18" t="s">
        <v>188</v>
      </c>
      <c r="G220" s="18"/>
      <c r="H220" s="18" t="s">
        <v>186</v>
      </c>
      <c r="I220" s="47"/>
      <c r="J220" s="18" t="s">
        <v>34</v>
      </c>
      <c r="K220" s="18" t="s">
        <v>186</v>
      </c>
      <c r="L220" s="112">
        <v>1825</v>
      </c>
      <c r="M220" s="112">
        <v>21</v>
      </c>
      <c r="N220" s="112">
        <v>4</v>
      </c>
      <c r="O220" s="112">
        <v>0</v>
      </c>
      <c r="P220" s="112">
        <v>2</v>
      </c>
      <c r="Q220" s="69">
        <f t="shared" si="16"/>
        <v>1.1506849315068493E-2</v>
      </c>
      <c r="R220" s="69">
        <f t="shared" si="16"/>
        <v>0.19047619047619047</v>
      </c>
      <c r="S220" s="7"/>
      <c r="T220" s="7"/>
      <c r="U220" s="7"/>
      <c r="V220" s="7"/>
      <c r="W220" s="7"/>
    </row>
    <row r="221" spans="1:23">
      <c r="A221" s="6">
        <v>46141</v>
      </c>
      <c r="B221" s="7" t="s">
        <v>392</v>
      </c>
      <c r="C221" s="18" t="s">
        <v>590</v>
      </c>
      <c r="D221" s="18" t="s">
        <v>580</v>
      </c>
      <c r="E221" s="18" t="s">
        <v>252</v>
      </c>
      <c r="F221" s="18" t="s">
        <v>579</v>
      </c>
      <c r="G221" s="18"/>
      <c r="H221" s="18" t="s">
        <v>186</v>
      </c>
      <c r="I221" s="47"/>
      <c r="J221" s="18" t="s">
        <v>34</v>
      </c>
      <c r="K221" s="18" t="s">
        <v>186</v>
      </c>
      <c r="L221" s="112"/>
      <c r="M221" s="112"/>
      <c r="N221" s="112"/>
      <c r="O221" s="112"/>
      <c r="P221" s="112"/>
      <c r="Q221" s="69" t="e">
        <f t="shared" si="16"/>
        <v>#DIV/0!</v>
      </c>
      <c r="R221" s="69" t="e">
        <f t="shared" si="16"/>
        <v>#DIV/0!</v>
      </c>
      <c r="S221" s="7"/>
      <c r="T221" s="7"/>
      <c r="U221" s="7"/>
      <c r="V221" s="7"/>
      <c r="W221" s="7"/>
    </row>
    <row r="222" spans="1:23">
      <c r="A222" s="6">
        <v>46141</v>
      </c>
      <c r="B222" s="7" t="s">
        <v>392</v>
      </c>
      <c r="C222" s="7"/>
      <c r="D222" s="7" t="s">
        <v>983</v>
      </c>
      <c r="E222" s="7"/>
      <c r="F222" s="7"/>
      <c r="G222" s="7"/>
      <c r="H222" s="7" t="s">
        <v>170</v>
      </c>
      <c r="I222" s="47"/>
      <c r="J222" s="7" t="s">
        <v>34</v>
      </c>
      <c r="K222" s="7" t="s">
        <v>170</v>
      </c>
      <c r="L222" s="112">
        <v>1499</v>
      </c>
      <c r="M222" s="112">
        <v>1440</v>
      </c>
      <c r="N222" s="112">
        <v>1005</v>
      </c>
      <c r="O222" s="112">
        <v>0</v>
      </c>
      <c r="P222" s="112">
        <v>1</v>
      </c>
      <c r="Q222" s="69">
        <f t="shared" si="16"/>
        <v>0.96064042695130092</v>
      </c>
      <c r="R222" s="69">
        <f t="shared" si="16"/>
        <v>0.69791666666666663</v>
      </c>
      <c r="S222" s="7"/>
      <c r="T222" s="7"/>
      <c r="U222" s="7"/>
      <c r="V222" s="7"/>
      <c r="W222" s="7"/>
    </row>
    <row r="223" spans="1:23">
      <c r="A223" s="6">
        <v>46141</v>
      </c>
      <c r="B223" s="7" t="s">
        <v>392</v>
      </c>
      <c r="C223" s="7"/>
      <c r="D223" s="100" t="s">
        <v>984</v>
      </c>
      <c r="E223" s="7"/>
      <c r="F223" s="7"/>
      <c r="G223" s="7"/>
      <c r="H223" s="7" t="s">
        <v>170</v>
      </c>
      <c r="I223" s="84"/>
      <c r="J223" s="7" t="s">
        <v>34</v>
      </c>
      <c r="K223" s="7" t="s">
        <v>170</v>
      </c>
      <c r="L223" s="112">
        <v>1499</v>
      </c>
      <c r="M223" s="112">
        <v>1439</v>
      </c>
      <c r="N223" s="112">
        <v>1092</v>
      </c>
      <c r="O223" s="112">
        <v>0</v>
      </c>
      <c r="P223" s="112">
        <v>1</v>
      </c>
      <c r="Q223" s="69">
        <f t="shared" si="16"/>
        <v>0.9599733155436958</v>
      </c>
      <c r="R223" s="69">
        <f t="shared" si="16"/>
        <v>0.75886031966643508</v>
      </c>
      <c r="S223" s="7"/>
      <c r="T223" s="7"/>
      <c r="U223" s="7"/>
      <c r="V223" s="7"/>
      <c r="W223" s="7"/>
    </row>
    <row r="224" spans="1:23">
      <c r="A224" s="6">
        <v>46141</v>
      </c>
      <c r="B224" s="7" t="s">
        <v>392</v>
      </c>
      <c r="C224" s="7"/>
      <c r="D224" s="100" t="s">
        <v>984</v>
      </c>
      <c r="E224" s="7"/>
      <c r="F224" s="7"/>
      <c r="G224" s="7"/>
      <c r="H224" s="7" t="s">
        <v>170</v>
      </c>
      <c r="I224" s="84" t="s">
        <v>776</v>
      </c>
      <c r="J224" s="7" t="s">
        <v>34</v>
      </c>
      <c r="K224" s="7" t="s">
        <v>170</v>
      </c>
      <c r="L224" s="112">
        <v>1499</v>
      </c>
      <c r="M224" s="112">
        <v>1439</v>
      </c>
      <c r="N224" s="112">
        <v>990</v>
      </c>
      <c r="O224" s="112">
        <v>0</v>
      </c>
      <c r="P224" s="112">
        <v>1</v>
      </c>
      <c r="Q224" s="69">
        <f t="shared" si="16"/>
        <v>0.9599733155436958</v>
      </c>
      <c r="R224" s="69">
        <f t="shared" si="16"/>
        <v>0.68797776233495478</v>
      </c>
      <c r="S224" s="7"/>
      <c r="T224" s="7"/>
      <c r="U224" s="7"/>
      <c r="V224" s="7"/>
      <c r="W224" s="7"/>
    </row>
    <row r="225" spans="1:23">
      <c r="A225" s="6">
        <v>46141</v>
      </c>
      <c r="B225" s="7" t="s">
        <v>392</v>
      </c>
      <c r="C225" s="62">
        <v>0.9375</v>
      </c>
      <c r="D225" s="7" t="s">
        <v>985</v>
      </c>
      <c r="E225" s="7" t="s">
        <v>252</v>
      </c>
      <c r="F225" t="s">
        <v>986</v>
      </c>
      <c r="G225" s="7" t="s">
        <v>85</v>
      </c>
      <c r="H225" s="7" t="s">
        <v>149</v>
      </c>
      <c r="I225" s="47" t="s">
        <v>785</v>
      </c>
      <c r="J225" s="7" t="s">
        <v>34</v>
      </c>
      <c r="K225" s="7" t="s">
        <v>149</v>
      </c>
      <c r="L225" s="112">
        <v>449</v>
      </c>
      <c r="M225" s="112">
        <v>123</v>
      </c>
      <c r="N225" s="112">
        <v>15</v>
      </c>
      <c r="O225" s="112">
        <v>5</v>
      </c>
      <c r="P225" s="112">
        <v>0</v>
      </c>
      <c r="Q225" s="69">
        <f t="shared" si="16"/>
        <v>0.27394209354120269</v>
      </c>
      <c r="R225" s="69">
        <f t="shared" si="16"/>
        <v>0.12195121951219512</v>
      </c>
      <c r="S225" s="7"/>
      <c r="T225" s="7"/>
      <c r="U225" s="7"/>
      <c r="V225" s="7"/>
      <c r="W225" s="7"/>
    </row>
    <row r="226" spans="1:23" ht="16.8">
      <c r="A226" s="6">
        <v>46141</v>
      </c>
      <c r="B226" s="7" t="s">
        <v>392</v>
      </c>
      <c r="C226" s="62">
        <v>0.95833333333333337</v>
      </c>
      <c r="D226" s="7" t="s">
        <v>987</v>
      </c>
      <c r="E226" s="7" t="s">
        <v>252</v>
      </c>
      <c r="F226" s="7" t="s">
        <v>248</v>
      </c>
      <c r="G226" s="7"/>
      <c r="H226" s="52" t="s">
        <v>157</v>
      </c>
      <c r="I226" s="47" t="s">
        <v>988</v>
      </c>
      <c r="J226" s="7" t="s">
        <v>34</v>
      </c>
      <c r="K226" s="52" t="s">
        <v>157</v>
      </c>
      <c r="L226" s="112">
        <v>795</v>
      </c>
      <c r="M226" s="112">
        <v>121</v>
      </c>
      <c r="N226" s="112">
        <v>19</v>
      </c>
      <c r="O226" s="112">
        <v>4</v>
      </c>
      <c r="P226" s="112">
        <v>1</v>
      </c>
      <c r="Q226" s="69">
        <f t="shared" si="16"/>
        <v>0.15220125786163521</v>
      </c>
      <c r="R226" s="69">
        <f t="shared" si="16"/>
        <v>0.15702479338842976</v>
      </c>
      <c r="S226" s="7"/>
      <c r="T226" s="7"/>
      <c r="U226" s="7"/>
      <c r="V226" s="7"/>
      <c r="W226" s="7"/>
    </row>
    <row r="227" spans="1:23" ht="16.8">
      <c r="A227" s="6">
        <v>46141</v>
      </c>
      <c r="B227" s="7" t="s">
        <v>392</v>
      </c>
      <c r="C227" s="62">
        <v>0.82291666666666663</v>
      </c>
      <c r="D227" s="7" t="s">
        <v>989</v>
      </c>
      <c r="E227" s="31" t="s">
        <v>252</v>
      </c>
      <c r="F227" s="31" t="s">
        <v>782</v>
      </c>
      <c r="G227" s="7"/>
      <c r="H227" s="52" t="s">
        <v>420</v>
      </c>
      <c r="I227" s="47" t="s">
        <v>990</v>
      </c>
      <c r="J227" s="7" t="s">
        <v>34</v>
      </c>
      <c r="K227" s="52" t="s">
        <v>420</v>
      </c>
      <c r="L227" s="112">
        <v>386</v>
      </c>
      <c r="M227" s="112">
        <v>57</v>
      </c>
      <c r="N227" s="112">
        <v>7</v>
      </c>
      <c r="O227" s="112">
        <v>4</v>
      </c>
      <c r="P227" s="112">
        <v>0</v>
      </c>
      <c r="Q227" s="69">
        <f t="shared" si="16"/>
        <v>0.14766839378238342</v>
      </c>
      <c r="R227" s="69">
        <f t="shared" si="16"/>
        <v>0.12280701754385964</v>
      </c>
      <c r="S227" s="7"/>
      <c r="T227" s="7"/>
      <c r="U227" s="7"/>
      <c r="V227" s="7"/>
      <c r="W227" s="7"/>
    </row>
    <row r="228" spans="1:23">
      <c r="A228" s="6">
        <v>46141</v>
      </c>
      <c r="B228" s="7" t="s">
        <v>392</v>
      </c>
      <c r="C228" s="62">
        <v>0.79166666666666663</v>
      </c>
      <c r="D228" s="7" t="s">
        <v>991</v>
      </c>
      <c r="E228" s="7" t="s">
        <v>252</v>
      </c>
      <c r="F228" t="s">
        <v>986</v>
      </c>
      <c r="G228" s="7" t="s">
        <v>85</v>
      </c>
      <c r="H228" s="7" t="s">
        <v>121</v>
      </c>
      <c r="I228" s="47" t="s">
        <v>941</v>
      </c>
      <c r="J228" s="7" t="s">
        <v>34</v>
      </c>
      <c r="K228" s="7" t="s">
        <v>121</v>
      </c>
      <c r="L228" s="112">
        <v>414</v>
      </c>
      <c r="M228" s="112">
        <v>27</v>
      </c>
      <c r="N228" s="112">
        <v>17</v>
      </c>
      <c r="O228" s="112">
        <v>2</v>
      </c>
      <c r="P228" s="112">
        <v>0</v>
      </c>
      <c r="Q228" s="69">
        <f t="shared" si="16"/>
        <v>6.5217391304347824E-2</v>
      </c>
      <c r="R228" s="69">
        <f t="shared" si="16"/>
        <v>0.62962962962962965</v>
      </c>
      <c r="S228" s="7"/>
      <c r="T228" s="7"/>
      <c r="U228" s="7"/>
      <c r="V228" s="7"/>
      <c r="W228" s="7"/>
    </row>
    <row r="229" spans="1:23" ht="16.8">
      <c r="A229" s="6">
        <v>46141</v>
      </c>
      <c r="B229" s="7" t="s">
        <v>392</v>
      </c>
      <c r="C229" s="64">
        <v>0.85416666666666663</v>
      </c>
      <c r="D229" s="7" t="s">
        <v>992</v>
      </c>
      <c r="E229" s="7" t="s">
        <v>252</v>
      </c>
      <c r="F229" s="7" t="s">
        <v>248</v>
      </c>
      <c r="G229" s="35"/>
      <c r="H229" s="53" t="s">
        <v>210</v>
      </c>
      <c r="I229" s="47" t="s">
        <v>941</v>
      </c>
      <c r="J229" s="35" t="s">
        <v>34</v>
      </c>
      <c r="K229" s="53" t="s">
        <v>210</v>
      </c>
      <c r="L229" s="112">
        <v>1016</v>
      </c>
      <c r="M229" s="112">
        <v>31</v>
      </c>
      <c r="N229" s="112">
        <v>14</v>
      </c>
      <c r="O229" s="112">
        <v>0</v>
      </c>
      <c r="P229" s="112">
        <v>0</v>
      </c>
      <c r="Q229" s="94">
        <f t="shared" si="16"/>
        <v>3.0511811023622049E-2</v>
      </c>
      <c r="R229" s="94">
        <f t="shared" si="16"/>
        <v>0.45161290322580644</v>
      </c>
      <c r="S229" s="35"/>
      <c r="T229" s="35"/>
      <c r="U229" s="35"/>
      <c r="V229" s="35"/>
      <c r="W229" s="35"/>
    </row>
    <row r="230" spans="1:23">
      <c r="A230" s="6">
        <v>46141</v>
      </c>
      <c r="B230" s="7" t="s">
        <v>392</v>
      </c>
      <c r="C230" s="7"/>
      <c r="D230" s="7" t="s">
        <v>993</v>
      </c>
      <c r="E230" s="7" t="s">
        <v>252</v>
      </c>
      <c r="F230" s="7"/>
      <c r="G230" s="7"/>
      <c r="H230" s="7" t="s">
        <v>994</v>
      </c>
      <c r="I230" s="47"/>
      <c r="J230" s="7" t="s">
        <v>34</v>
      </c>
      <c r="K230" s="7" t="s">
        <v>995</v>
      </c>
      <c r="L230" s="112">
        <v>360</v>
      </c>
      <c r="M230" s="112">
        <v>256</v>
      </c>
      <c r="N230" s="112">
        <v>201</v>
      </c>
      <c r="O230" s="112">
        <v>0</v>
      </c>
      <c r="P230" s="112">
        <v>0</v>
      </c>
      <c r="Q230" s="69">
        <f t="shared" si="16"/>
        <v>0.71111111111111114</v>
      </c>
      <c r="R230" s="69">
        <f t="shared" si="16"/>
        <v>0.78515625</v>
      </c>
      <c r="S230" s="7"/>
      <c r="T230" s="7"/>
      <c r="U230" s="7"/>
      <c r="V230" s="7"/>
      <c r="W230" s="7"/>
    </row>
    <row r="231" spans="1:23" ht="6.6" customHeight="1">
      <c r="A231" s="22"/>
      <c r="B231" s="23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5"/>
      <c r="R231" s="25"/>
      <c r="S231" s="24"/>
      <c r="T231" s="24"/>
      <c r="U231" s="24"/>
      <c r="V231" s="25"/>
      <c r="W231" s="26"/>
    </row>
    <row r="232" spans="1:23">
      <c r="A232" s="6">
        <v>46142</v>
      </c>
      <c r="B232" s="7" t="s">
        <v>552</v>
      </c>
      <c r="C232" s="18" t="s">
        <v>589</v>
      </c>
      <c r="D232" s="18" t="s">
        <v>185</v>
      </c>
      <c r="E232" s="18" t="s">
        <v>252</v>
      </c>
      <c r="F232" s="18" t="s">
        <v>110</v>
      </c>
      <c r="G232" s="18"/>
      <c r="H232" s="18" t="s">
        <v>106</v>
      </c>
      <c r="I232" s="47"/>
      <c r="J232" s="18" t="s">
        <v>34</v>
      </c>
      <c r="K232" s="18" t="s">
        <v>106</v>
      </c>
      <c r="L232" s="112">
        <v>961</v>
      </c>
      <c r="M232" s="112">
        <v>13</v>
      </c>
      <c r="N232" s="112">
        <v>7</v>
      </c>
      <c r="O232" s="112">
        <v>0</v>
      </c>
      <c r="P232" s="112">
        <v>2</v>
      </c>
      <c r="Q232" s="69">
        <f t="shared" ref="Q232:R247" si="17">M232/L232</f>
        <v>1.3527575442247659E-2</v>
      </c>
      <c r="R232" s="69">
        <f t="shared" si="17"/>
        <v>0.53846153846153844</v>
      </c>
      <c r="S232" s="7"/>
      <c r="T232" s="112"/>
      <c r="U232" s="112"/>
      <c r="V232" s="112"/>
      <c r="W232" s="7"/>
    </row>
    <row r="233" spans="1:23">
      <c r="A233" s="6">
        <v>46142</v>
      </c>
      <c r="B233" s="7" t="s">
        <v>552</v>
      </c>
      <c r="C233" s="18" t="s">
        <v>590</v>
      </c>
      <c r="D233" s="18" t="s">
        <v>580</v>
      </c>
      <c r="E233" s="18" t="s">
        <v>252</v>
      </c>
      <c r="F233" s="18" t="s">
        <v>579</v>
      </c>
      <c r="G233" s="18"/>
      <c r="H233" s="18" t="s">
        <v>106</v>
      </c>
      <c r="I233" s="47"/>
      <c r="J233" s="18" t="s">
        <v>34</v>
      </c>
      <c r="K233" s="18" t="s">
        <v>106</v>
      </c>
      <c r="L233" s="112"/>
      <c r="M233" s="112"/>
      <c r="N233" s="112"/>
      <c r="O233" s="112"/>
      <c r="P233" s="112"/>
      <c r="Q233" s="69" t="e">
        <f t="shared" si="17"/>
        <v>#DIV/0!</v>
      </c>
      <c r="R233" s="69" t="e">
        <f t="shared" si="17"/>
        <v>#DIV/0!</v>
      </c>
      <c r="S233" s="7"/>
      <c r="T233" s="112"/>
      <c r="U233" s="112"/>
      <c r="V233" s="112"/>
      <c r="W233" s="7"/>
    </row>
    <row r="234" spans="1:23">
      <c r="A234" s="6">
        <v>46142</v>
      </c>
      <c r="B234" s="7" t="s">
        <v>552</v>
      </c>
      <c r="C234" s="18"/>
      <c r="D234" s="18" t="s">
        <v>144</v>
      </c>
      <c r="E234" s="18" t="s">
        <v>252</v>
      </c>
      <c r="F234" s="18" t="s">
        <v>145</v>
      </c>
      <c r="G234" s="18"/>
      <c r="H234" s="18" t="s">
        <v>157</v>
      </c>
      <c r="I234" s="47"/>
      <c r="J234" s="18" t="s">
        <v>34</v>
      </c>
      <c r="K234" s="18" t="s">
        <v>157</v>
      </c>
      <c r="L234" s="112">
        <v>365</v>
      </c>
      <c r="M234" s="112">
        <v>167</v>
      </c>
      <c r="N234" s="112">
        <v>38</v>
      </c>
      <c r="O234" s="112">
        <v>21</v>
      </c>
      <c r="P234" s="112">
        <v>0</v>
      </c>
      <c r="Q234" s="69">
        <f t="shared" si="17"/>
        <v>0.45753424657534247</v>
      </c>
      <c r="R234" s="69">
        <f t="shared" si="17"/>
        <v>0.22754491017964071</v>
      </c>
      <c r="S234" s="7"/>
      <c r="T234" s="112"/>
      <c r="U234" s="112"/>
      <c r="V234" s="112"/>
      <c r="W234" s="7"/>
    </row>
    <row r="235" spans="1:23">
      <c r="A235" s="6">
        <v>46142</v>
      </c>
      <c r="B235" s="7" t="s">
        <v>552</v>
      </c>
      <c r="C235" s="18"/>
      <c r="D235" s="18" t="s">
        <v>146</v>
      </c>
      <c r="E235" s="18" t="s">
        <v>252</v>
      </c>
      <c r="F235" s="18" t="s">
        <v>147</v>
      </c>
      <c r="G235" s="18"/>
      <c r="H235" s="18" t="s">
        <v>149</v>
      </c>
      <c r="I235" s="47"/>
      <c r="J235" s="18" t="s">
        <v>34</v>
      </c>
      <c r="K235" s="18" t="s">
        <v>149</v>
      </c>
      <c r="L235" s="112">
        <v>186</v>
      </c>
      <c r="M235" s="112">
        <v>80</v>
      </c>
      <c r="N235" s="112">
        <v>24</v>
      </c>
      <c r="O235" s="112">
        <v>6</v>
      </c>
      <c r="P235" s="112">
        <v>0</v>
      </c>
      <c r="Q235" s="69">
        <f t="shared" si="17"/>
        <v>0.43010752688172044</v>
      </c>
      <c r="R235" s="69">
        <f t="shared" si="17"/>
        <v>0.3</v>
      </c>
      <c r="S235" s="7"/>
      <c r="T235" s="112"/>
      <c r="U235" s="112"/>
      <c r="V235" s="112"/>
      <c r="W235" s="7"/>
    </row>
    <row r="236" spans="1:23">
      <c r="A236" s="6">
        <v>46142</v>
      </c>
      <c r="B236" s="7" t="s">
        <v>552</v>
      </c>
      <c r="C236" s="18" t="s">
        <v>589</v>
      </c>
      <c r="D236" s="18" t="s">
        <v>187</v>
      </c>
      <c r="E236" s="18" t="s">
        <v>252</v>
      </c>
      <c r="F236" s="18" t="s">
        <v>188</v>
      </c>
      <c r="G236" s="18"/>
      <c r="H236" s="18" t="s">
        <v>186</v>
      </c>
      <c r="I236" s="47"/>
      <c r="J236" s="18" t="s">
        <v>34</v>
      </c>
      <c r="K236" s="18" t="s">
        <v>186</v>
      </c>
      <c r="L236" s="112">
        <v>1988</v>
      </c>
      <c r="M236" s="112">
        <v>12</v>
      </c>
      <c r="N236" s="112">
        <v>3</v>
      </c>
      <c r="O236" s="112">
        <v>0</v>
      </c>
      <c r="P236" s="112">
        <v>0</v>
      </c>
      <c r="Q236" s="69">
        <f t="shared" si="17"/>
        <v>6.0362173038229373E-3</v>
      </c>
      <c r="R236" s="69">
        <f t="shared" si="17"/>
        <v>0.25</v>
      </c>
      <c r="S236" s="7"/>
      <c r="T236" s="177"/>
      <c r="U236" s="177"/>
      <c r="V236" s="177"/>
      <c r="W236" s="7"/>
    </row>
    <row r="237" spans="1:23">
      <c r="A237" s="6">
        <v>46142</v>
      </c>
      <c r="B237" s="7" t="s">
        <v>552</v>
      </c>
      <c r="C237" s="18" t="s">
        <v>590</v>
      </c>
      <c r="D237" s="18" t="s">
        <v>580</v>
      </c>
      <c r="E237" s="18" t="s">
        <v>252</v>
      </c>
      <c r="F237" s="18" t="s">
        <v>579</v>
      </c>
      <c r="G237" s="18"/>
      <c r="H237" s="18" t="s">
        <v>186</v>
      </c>
      <c r="I237" s="47"/>
      <c r="J237" s="18" t="s">
        <v>34</v>
      </c>
      <c r="K237" s="18" t="s">
        <v>186</v>
      </c>
      <c r="L237" s="112"/>
      <c r="M237" s="112"/>
      <c r="N237" s="112"/>
      <c r="O237" s="112"/>
      <c r="P237" s="112"/>
      <c r="Q237" s="69" t="e">
        <f t="shared" si="17"/>
        <v>#DIV/0!</v>
      </c>
      <c r="R237" s="69" t="e">
        <f t="shared" si="17"/>
        <v>#DIV/0!</v>
      </c>
      <c r="S237" s="7"/>
      <c r="T237" s="7"/>
      <c r="U237" s="7"/>
      <c r="V237" s="7"/>
      <c r="W237" s="7"/>
    </row>
    <row r="238" spans="1:23">
      <c r="A238" s="6">
        <v>46142</v>
      </c>
      <c r="B238" s="7" t="s">
        <v>552</v>
      </c>
      <c r="C238" s="18" t="s">
        <v>589</v>
      </c>
      <c r="D238" s="18" t="s">
        <v>1045</v>
      </c>
      <c r="E238" s="18" t="s">
        <v>252</v>
      </c>
      <c r="F238" s="21" t="s">
        <v>1046</v>
      </c>
      <c r="G238" s="18"/>
      <c r="H238" s="21" t="s">
        <v>1047</v>
      </c>
      <c r="I238" s="29" t="s">
        <v>997</v>
      </c>
      <c r="J238" s="18"/>
      <c r="K238" s="18"/>
      <c r="L238" s="112">
        <v>1357</v>
      </c>
      <c r="M238" s="112">
        <v>321</v>
      </c>
      <c r="N238" s="112">
        <v>42</v>
      </c>
      <c r="O238" s="112">
        <v>13</v>
      </c>
      <c r="P238" s="112">
        <v>6</v>
      </c>
      <c r="Q238" s="69">
        <f t="shared" si="17"/>
        <v>0.236551215917465</v>
      </c>
      <c r="R238" s="69">
        <f t="shared" si="17"/>
        <v>0.13084112149532709</v>
      </c>
      <c r="S238" s="7"/>
      <c r="T238" s="7"/>
      <c r="U238" s="7"/>
      <c r="V238" s="7"/>
      <c r="W238" s="7"/>
    </row>
    <row r="239" spans="1:23">
      <c r="A239" s="6">
        <v>46142</v>
      </c>
      <c r="B239" s="7" t="s">
        <v>552</v>
      </c>
      <c r="C239" s="18" t="s">
        <v>589</v>
      </c>
      <c r="D239" s="18" t="s">
        <v>1048</v>
      </c>
      <c r="E239" s="18" t="s">
        <v>252</v>
      </c>
      <c r="F239" s="21" t="s">
        <v>1046</v>
      </c>
      <c r="G239" s="18"/>
      <c r="H239" s="21" t="s">
        <v>1049</v>
      </c>
      <c r="I239" s="29" t="s">
        <v>997</v>
      </c>
      <c r="J239" s="18"/>
      <c r="K239" s="18"/>
      <c r="L239" s="112">
        <v>322</v>
      </c>
      <c r="M239" s="112">
        <v>1</v>
      </c>
      <c r="N239" s="112">
        <v>1</v>
      </c>
      <c r="O239" s="112">
        <v>0</v>
      </c>
      <c r="P239" s="112">
        <v>0</v>
      </c>
      <c r="Q239" s="69">
        <f t="shared" si="17"/>
        <v>3.105590062111801E-3</v>
      </c>
      <c r="R239" s="69">
        <f t="shared" si="17"/>
        <v>1</v>
      </c>
      <c r="S239" s="7"/>
      <c r="T239" s="7"/>
      <c r="U239" s="7"/>
      <c r="V239" s="7"/>
      <c r="W239" s="7"/>
    </row>
    <row r="240" spans="1:23">
      <c r="A240" s="6">
        <v>46142</v>
      </c>
      <c r="B240" s="7" t="s">
        <v>552</v>
      </c>
      <c r="C240" s="18" t="s">
        <v>589</v>
      </c>
      <c r="D240" s="18" t="s">
        <v>1050</v>
      </c>
      <c r="E240" s="18" t="s">
        <v>252</v>
      </c>
      <c r="F240" s="18" t="s">
        <v>1051</v>
      </c>
      <c r="G240" s="18"/>
      <c r="H240" s="18" t="s">
        <v>149</v>
      </c>
      <c r="I240" s="29" t="s">
        <v>998</v>
      </c>
      <c r="J240" s="18" t="s">
        <v>34</v>
      </c>
      <c r="K240" s="18" t="s">
        <v>149</v>
      </c>
      <c r="L240" s="112">
        <v>168</v>
      </c>
      <c r="M240" s="112">
        <v>74</v>
      </c>
      <c r="N240" s="112">
        <v>34</v>
      </c>
      <c r="O240" s="112">
        <v>5</v>
      </c>
      <c r="P240" s="112">
        <v>0</v>
      </c>
      <c r="Q240" s="69">
        <f t="shared" si="17"/>
        <v>0.44047619047619047</v>
      </c>
      <c r="R240" s="69">
        <f t="shared" si="17"/>
        <v>0.45945945945945948</v>
      </c>
      <c r="S240" s="7"/>
      <c r="T240" s="7"/>
      <c r="U240" s="7"/>
      <c r="V240" s="7"/>
      <c r="W240" s="7"/>
    </row>
    <row r="241" spans="1:23" ht="15">
      <c r="A241" s="6">
        <v>46142</v>
      </c>
      <c r="B241" s="7" t="s">
        <v>552</v>
      </c>
      <c r="C241" s="7"/>
      <c r="D241" s="7" t="s">
        <v>1052</v>
      </c>
      <c r="E241" s="7" t="s">
        <v>252</v>
      </c>
      <c r="F241" s="7"/>
      <c r="G241" s="7"/>
      <c r="H241" s="179" t="s">
        <v>1053</v>
      </c>
      <c r="I241" s="47"/>
      <c r="J241" s="7" t="s">
        <v>34</v>
      </c>
      <c r="K241" s="7" t="s">
        <v>170</v>
      </c>
      <c r="L241" s="112">
        <v>1499</v>
      </c>
      <c r="M241" s="112">
        <v>1437</v>
      </c>
      <c r="N241" s="112">
        <v>1022</v>
      </c>
      <c r="O241" s="112">
        <v>0</v>
      </c>
      <c r="P241" s="112">
        <v>1</v>
      </c>
      <c r="Q241" s="69">
        <f t="shared" si="17"/>
        <v>0.95863909272848569</v>
      </c>
      <c r="R241" s="69">
        <f t="shared" si="17"/>
        <v>0.71120389700765485</v>
      </c>
      <c r="S241" s="7"/>
      <c r="T241" s="86"/>
      <c r="U241" s="86"/>
      <c r="V241" s="86"/>
      <c r="W241" s="7"/>
    </row>
    <row r="242" spans="1:23" ht="15">
      <c r="A242" s="6">
        <v>46142</v>
      </c>
      <c r="B242" s="7" t="s">
        <v>552</v>
      </c>
      <c r="C242" s="7"/>
      <c r="D242" s="100" t="s">
        <v>1054</v>
      </c>
      <c r="E242" s="7" t="s">
        <v>252</v>
      </c>
      <c r="F242" s="7"/>
      <c r="G242" s="7"/>
      <c r="H242" s="179" t="s">
        <v>1053</v>
      </c>
      <c r="I242" s="84"/>
      <c r="J242" s="7" t="s">
        <v>34</v>
      </c>
      <c r="K242" s="7" t="s">
        <v>170</v>
      </c>
      <c r="L242" s="112">
        <v>1499</v>
      </c>
      <c r="M242" s="112">
        <v>1437</v>
      </c>
      <c r="N242" s="112">
        <v>1029</v>
      </c>
      <c r="O242" s="112">
        <v>0</v>
      </c>
      <c r="P242" s="112">
        <v>1</v>
      </c>
      <c r="Q242" s="69">
        <f t="shared" si="17"/>
        <v>0.95863909272848569</v>
      </c>
      <c r="R242" s="69">
        <f t="shared" si="17"/>
        <v>0.71607515657620047</v>
      </c>
      <c r="S242" s="7"/>
      <c r="T242" s="7"/>
      <c r="U242" s="7"/>
      <c r="V242" s="7"/>
      <c r="W242" s="7"/>
    </row>
    <row r="243" spans="1:23" ht="15">
      <c r="A243" s="6">
        <v>46142</v>
      </c>
      <c r="B243" s="7" t="s">
        <v>552</v>
      </c>
      <c r="C243" s="7"/>
      <c r="D243" s="100" t="s">
        <v>1055</v>
      </c>
      <c r="E243" s="7" t="s">
        <v>252</v>
      </c>
      <c r="F243" s="7"/>
      <c r="G243" s="7"/>
      <c r="H243" s="179" t="s">
        <v>1053</v>
      </c>
      <c r="I243" s="84"/>
      <c r="J243" s="7" t="s">
        <v>34</v>
      </c>
      <c r="K243" s="7" t="s">
        <v>170</v>
      </c>
      <c r="L243" s="112">
        <v>1499</v>
      </c>
      <c r="M243" s="112">
        <v>1439</v>
      </c>
      <c r="N243" s="112">
        <v>1033</v>
      </c>
      <c r="O243" s="112">
        <v>0</v>
      </c>
      <c r="P243" s="112">
        <v>1</v>
      </c>
      <c r="Q243" s="69">
        <f t="shared" si="17"/>
        <v>0.9599733155436958</v>
      </c>
      <c r="R243" s="69">
        <f t="shared" si="17"/>
        <v>0.71785962473940235</v>
      </c>
      <c r="S243" s="7"/>
      <c r="T243" s="7"/>
      <c r="U243" s="7"/>
      <c r="V243" s="7"/>
      <c r="W243" s="7"/>
    </row>
    <row r="244" spans="1:23" ht="15">
      <c r="A244" s="6">
        <v>46142</v>
      </c>
      <c r="B244" s="7" t="s">
        <v>552</v>
      </c>
      <c r="C244" s="7"/>
      <c r="D244" s="100" t="s">
        <v>1056</v>
      </c>
      <c r="E244" s="7" t="s">
        <v>252</v>
      </c>
      <c r="F244" s="7"/>
      <c r="G244" s="7"/>
      <c r="H244" s="179" t="s">
        <v>1053</v>
      </c>
      <c r="I244" s="84"/>
      <c r="J244" s="7" t="s">
        <v>34</v>
      </c>
      <c r="K244" s="7" t="s">
        <v>170</v>
      </c>
      <c r="L244" s="112">
        <v>1499</v>
      </c>
      <c r="M244" s="112">
        <v>1441</v>
      </c>
      <c r="N244" s="112">
        <v>1057</v>
      </c>
      <c r="O244" s="112">
        <v>0</v>
      </c>
      <c r="P244" s="112">
        <v>1</v>
      </c>
      <c r="Q244" s="69">
        <f t="shared" si="17"/>
        <v>0.96130753835890592</v>
      </c>
      <c r="R244" s="69">
        <f t="shared" si="17"/>
        <v>0.73351839000693964</v>
      </c>
      <c r="S244" s="7"/>
      <c r="T244" s="7"/>
      <c r="U244" s="7"/>
      <c r="V244" s="7"/>
      <c r="W244" s="7"/>
    </row>
    <row r="245" spans="1:23">
      <c r="A245" s="6">
        <v>46142</v>
      </c>
      <c r="B245" s="7" t="s">
        <v>552</v>
      </c>
      <c r="C245" s="7"/>
      <c r="D245" s="7" t="s">
        <v>1057</v>
      </c>
      <c r="E245" s="7" t="s">
        <v>252</v>
      </c>
      <c r="F245" s="7"/>
      <c r="G245" s="7"/>
      <c r="H245" s="7" t="s">
        <v>994</v>
      </c>
      <c r="I245" s="84"/>
      <c r="J245" s="7" t="s">
        <v>34</v>
      </c>
      <c r="K245" s="7" t="s">
        <v>171</v>
      </c>
      <c r="L245" s="112">
        <v>360</v>
      </c>
      <c r="M245" s="112">
        <v>330</v>
      </c>
      <c r="N245" s="112">
        <v>254</v>
      </c>
      <c r="O245" s="112">
        <v>0</v>
      </c>
      <c r="P245" s="112">
        <v>0</v>
      </c>
      <c r="Q245" s="69">
        <f t="shared" si="17"/>
        <v>0.91666666666666663</v>
      </c>
      <c r="R245" s="69">
        <f t="shared" si="17"/>
        <v>0.76969696969696966</v>
      </c>
      <c r="S245" s="7"/>
      <c r="T245" s="7"/>
      <c r="U245" s="7"/>
      <c r="V245" s="7"/>
      <c r="W245" s="7"/>
    </row>
    <row r="246" spans="1:23">
      <c r="A246" s="6">
        <v>46142</v>
      </c>
      <c r="B246" s="7" t="s">
        <v>552</v>
      </c>
      <c r="C246" s="7"/>
      <c r="D246" s="7" t="s">
        <v>1058</v>
      </c>
      <c r="E246" s="7" t="s">
        <v>252</v>
      </c>
      <c r="F246" s="7"/>
      <c r="G246" s="7"/>
      <c r="H246" s="7" t="s">
        <v>994</v>
      </c>
      <c r="I246" s="84"/>
      <c r="J246" s="7" t="s">
        <v>34</v>
      </c>
      <c r="K246" s="7" t="s">
        <v>171</v>
      </c>
      <c r="L246" s="112">
        <v>360</v>
      </c>
      <c r="M246" s="112">
        <v>328</v>
      </c>
      <c r="N246" s="112">
        <v>240</v>
      </c>
      <c r="O246" s="112">
        <v>0</v>
      </c>
      <c r="P246" s="112">
        <v>0</v>
      </c>
      <c r="Q246" s="69">
        <f t="shared" si="17"/>
        <v>0.91111111111111109</v>
      </c>
      <c r="R246" s="69">
        <f t="shared" si="17"/>
        <v>0.73170731707317072</v>
      </c>
      <c r="S246" s="7"/>
      <c r="T246" s="7"/>
      <c r="U246" s="7"/>
      <c r="V246" s="7"/>
      <c r="W246" s="7"/>
    </row>
    <row r="247" spans="1:23">
      <c r="A247" s="6">
        <v>46142</v>
      </c>
      <c r="B247" s="7" t="s">
        <v>552</v>
      </c>
      <c r="C247" s="62">
        <v>0.9375</v>
      </c>
      <c r="D247" s="7" t="s">
        <v>1059</v>
      </c>
      <c r="E247" s="7" t="s">
        <v>252</v>
      </c>
      <c r="F247" s="35" t="s">
        <v>150</v>
      </c>
      <c r="G247" s="7" t="s">
        <v>85</v>
      </c>
      <c r="H247" s="7" t="s">
        <v>149</v>
      </c>
      <c r="I247" s="47"/>
      <c r="J247" s="7" t="s">
        <v>34</v>
      </c>
      <c r="K247" s="7" t="s">
        <v>149</v>
      </c>
      <c r="L247" s="112">
        <v>565</v>
      </c>
      <c r="M247" s="112">
        <v>147</v>
      </c>
      <c r="N247" s="112">
        <v>27</v>
      </c>
      <c r="O247" s="112">
        <v>1</v>
      </c>
      <c r="P247" s="112">
        <v>0</v>
      </c>
      <c r="Q247" s="69">
        <f t="shared" si="17"/>
        <v>0.26017699115044246</v>
      </c>
      <c r="R247" s="69">
        <f t="shared" si="17"/>
        <v>0.18367346938775511</v>
      </c>
      <c r="S247" s="7"/>
      <c r="T247" s="7"/>
      <c r="U247" s="7"/>
      <c r="V247" s="7"/>
      <c r="W247" s="7"/>
    </row>
    <row r="248" spans="1:23" ht="16.8">
      <c r="A248" s="6">
        <v>46142</v>
      </c>
      <c r="B248" s="7" t="s">
        <v>552</v>
      </c>
      <c r="C248" s="62">
        <v>0.83333333333333337</v>
      </c>
      <c r="D248" s="7" t="s">
        <v>1060</v>
      </c>
      <c r="E248" s="7" t="s">
        <v>252</v>
      </c>
      <c r="F248" s="7" t="s">
        <v>248</v>
      </c>
      <c r="G248" s="7" t="s">
        <v>85</v>
      </c>
      <c r="H248" s="52" t="s">
        <v>157</v>
      </c>
      <c r="I248" s="47"/>
      <c r="J248" s="7" t="s">
        <v>34</v>
      </c>
      <c r="K248" s="52" t="s">
        <v>157</v>
      </c>
      <c r="L248" s="112">
        <v>1011</v>
      </c>
      <c r="M248" s="112">
        <v>170</v>
      </c>
      <c r="N248" s="112">
        <v>27</v>
      </c>
      <c r="O248" s="112">
        <v>4</v>
      </c>
      <c r="P248" s="112">
        <v>1</v>
      </c>
      <c r="Q248" s="69">
        <f t="shared" ref="Q248:R253" si="18">M248/L248</f>
        <v>0.16815034619188921</v>
      </c>
      <c r="R248" s="69">
        <f t="shared" si="18"/>
        <v>0.1588235294117647</v>
      </c>
      <c r="S248" s="7"/>
      <c r="T248" s="7"/>
      <c r="U248" s="7"/>
      <c r="V248" s="7"/>
      <c r="W248" s="7"/>
    </row>
    <row r="249" spans="1:23" ht="16.8">
      <c r="A249" s="6">
        <v>46142</v>
      </c>
      <c r="B249" s="7" t="s">
        <v>552</v>
      </c>
      <c r="C249" s="62">
        <v>0.96875</v>
      </c>
      <c r="D249" s="7" t="s">
        <v>1061</v>
      </c>
      <c r="E249" s="31" t="s">
        <v>252</v>
      </c>
      <c r="F249" t="s">
        <v>1062</v>
      </c>
      <c r="G249" s="7" t="s">
        <v>85</v>
      </c>
      <c r="H249" s="52" t="s">
        <v>157</v>
      </c>
      <c r="I249" s="47" t="s">
        <v>785</v>
      </c>
      <c r="J249" s="7" t="s">
        <v>34</v>
      </c>
      <c r="K249" s="52" t="s">
        <v>157</v>
      </c>
      <c r="L249" s="112">
        <v>1050</v>
      </c>
      <c r="M249" s="112">
        <v>255</v>
      </c>
      <c r="N249" s="112">
        <v>41</v>
      </c>
      <c r="O249" s="112">
        <v>7</v>
      </c>
      <c r="P249" s="112">
        <v>0</v>
      </c>
      <c r="Q249" s="69">
        <f t="shared" si="18"/>
        <v>0.24285714285714285</v>
      </c>
      <c r="R249" s="69">
        <f t="shared" si="18"/>
        <v>0.16078431372549021</v>
      </c>
      <c r="S249" s="7"/>
      <c r="T249" s="7"/>
      <c r="U249" s="7"/>
      <c r="V249" s="7"/>
      <c r="W249" s="7"/>
    </row>
    <row r="250" spans="1:23" ht="16.8">
      <c r="A250" s="6">
        <v>46142</v>
      </c>
      <c r="B250" s="7" t="s">
        <v>552</v>
      </c>
      <c r="C250" s="62">
        <v>0.78125</v>
      </c>
      <c r="D250" s="7" t="s">
        <v>1063</v>
      </c>
      <c r="E250" s="31" t="s">
        <v>252</v>
      </c>
      <c r="F250" t="s">
        <v>1064</v>
      </c>
      <c r="G250" s="7" t="s">
        <v>85</v>
      </c>
      <c r="H250" s="52" t="s">
        <v>420</v>
      </c>
      <c r="I250" s="47" t="s">
        <v>1065</v>
      </c>
      <c r="J250" s="7" t="s">
        <v>34</v>
      </c>
      <c r="K250" s="52" t="s">
        <v>420</v>
      </c>
      <c r="L250" s="112">
        <v>393</v>
      </c>
      <c r="M250" s="112">
        <v>86</v>
      </c>
      <c r="N250" s="112">
        <v>14</v>
      </c>
      <c r="O250" s="112">
        <v>3</v>
      </c>
      <c r="P250" s="112">
        <v>1</v>
      </c>
      <c r="Q250" s="69">
        <f t="shared" si="18"/>
        <v>0.21882951653944022</v>
      </c>
      <c r="R250" s="69">
        <f t="shared" si="18"/>
        <v>0.16279069767441862</v>
      </c>
      <c r="S250" s="7"/>
      <c r="T250" s="7"/>
      <c r="U250" s="7"/>
      <c r="V250" s="7"/>
      <c r="W250" s="7"/>
    </row>
    <row r="251" spans="1:23">
      <c r="A251" s="6">
        <v>46142</v>
      </c>
      <c r="B251" s="7" t="s">
        <v>552</v>
      </c>
      <c r="C251" s="62">
        <v>0.79166666666666663</v>
      </c>
      <c r="D251" s="7" t="s">
        <v>1066</v>
      </c>
      <c r="E251" s="7" t="s">
        <v>252</v>
      </c>
      <c r="F251" s="35" t="s">
        <v>150</v>
      </c>
      <c r="G251" s="7" t="s">
        <v>85</v>
      </c>
      <c r="H251" s="7" t="s">
        <v>121</v>
      </c>
      <c r="I251" s="47"/>
      <c r="J251" s="7" t="s">
        <v>34</v>
      </c>
      <c r="K251" s="7" t="s">
        <v>121</v>
      </c>
      <c r="L251" s="112">
        <v>431</v>
      </c>
      <c r="M251" s="112">
        <v>20</v>
      </c>
      <c r="N251" s="112">
        <v>14</v>
      </c>
      <c r="O251" s="112">
        <v>0</v>
      </c>
      <c r="P251" s="112">
        <v>0</v>
      </c>
      <c r="Q251" s="69">
        <f t="shared" si="18"/>
        <v>4.6403712296983757E-2</v>
      </c>
      <c r="R251" s="69">
        <f t="shared" si="18"/>
        <v>0.7</v>
      </c>
      <c r="S251" s="7"/>
      <c r="T251" s="7"/>
      <c r="U251" s="7"/>
      <c r="V251" s="7"/>
      <c r="W251" s="7"/>
    </row>
    <row r="252" spans="1:23" ht="16.8">
      <c r="A252" s="6">
        <v>46142</v>
      </c>
      <c r="B252" s="7" t="s">
        <v>552</v>
      </c>
      <c r="C252" s="64">
        <v>0.85416666666666663</v>
      </c>
      <c r="D252" s="7" t="s">
        <v>1067</v>
      </c>
      <c r="E252" s="7" t="s">
        <v>252</v>
      </c>
      <c r="F252" s="7" t="s">
        <v>248</v>
      </c>
      <c r="G252" s="7" t="s">
        <v>85</v>
      </c>
      <c r="H252" s="53" t="s">
        <v>210</v>
      </c>
      <c r="I252" s="47"/>
      <c r="J252" s="35" t="s">
        <v>34</v>
      </c>
      <c r="K252" s="53" t="s">
        <v>210</v>
      </c>
      <c r="L252" s="112">
        <v>1094</v>
      </c>
      <c r="M252" s="112">
        <v>20</v>
      </c>
      <c r="N252" s="112">
        <v>9</v>
      </c>
      <c r="O252" s="112">
        <v>0</v>
      </c>
      <c r="P252" s="112">
        <v>0</v>
      </c>
      <c r="Q252" s="69">
        <f t="shared" si="18"/>
        <v>1.8281535648994516E-2</v>
      </c>
      <c r="R252" s="69">
        <f t="shared" si="18"/>
        <v>0.45</v>
      </c>
      <c r="S252" s="35"/>
      <c r="T252" s="35"/>
      <c r="U252" s="35"/>
      <c r="V252" s="35"/>
      <c r="W252" s="35"/>
    </row>
    <row r="253" spans="1:23" ht="16.8">
      <c r="A253" s="6">
        <v>46142</v>
      </c>
      <c r="B253" s="7" t="s">
        <v>552</v>
      </c>
      <c r="C253" s="175">
        <v>0.94791666666666663</v>
      </c>
      <c r="D253" s="7" t="s">
        <v>1068</v>
      </c>
      <c r="E253" s="7" t="s">
        <v>252</v>
      </c>
      <c r="F253" t="s">
        <v>1062</v>
      </c>
      <c r="G253" s="7" t="s">
        <v>85</v>
      </c>
      <c r="H253" s="53" t="s">
        <v>210</v>
      </c>
      <c r="I253" s="98"/>
      <c r="J253" s="35" t="s">
        <v>34</v>
      </c>
      <c r="K253" s="53" t="s">
        <v>210</v>
      </c>
      <c r="L253" s="177">
        <v>1113</v>
      </c>
      <c r="M253" s="177">
        <v>42</v>
      </c>
      <c r="N253" s="177">
        <v>16</v>
      </c>
      <c r="O253" s="177">
        <v>0</v>
      </c>
      <c r="P253" s="177">
        <v>0</v>
      </c>
      <c r="Q253" s="69">
        <f t="shared" si="18"/>
        <v>3.7735849056603772E-2</v>
      </c>
      <c r="R253" s="69">
        <f t="shared" si="18"/>
        <v>0.38095238095238093</v>
      </c>
      <c r="S253" s="176"/>
      <c r="T253" s="176"/>
      <c r="U253" s="176"/>
      <c r="V253" s="176"/>
      <c r="W253" s="178"/>
    </row>
    <row r="254" spans="1:23" ht="6.6" customHeight="1">
      <c r="A254" s="22"/>
      <c r="B254" s="23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5"/>
      <c r="R254" s="25"/>
      <c r="S254" s="24"/>
      <c r="T254" s="24"/>
      <c r="U254" s="24"/>
      <c r="V254" s="25"/>
      <c r="W254" s="26"/>
    </row>
    <row r="255" spans="1:23">
      <c r="A255" s="6">
        <v>46143</v>
      </c>
      <c r="B255" s="7" t="s">
        <v>553</v>
      </c>
      <c r="C255" s="18" t="s">
        <v>589</v>
      </c>
      <c r="D255" s="18" t="s">
        <v>185</v>
      </c>
      <c r="E255" s="18" t="s">
        <v>252</v>
      </c>
      <c r="F255" s="18" t="s">
        <v>110</v>
      </c>
      <c r="G255" s="18"/>
      <c r="H255" s="18" t="s">
        <v>106</v>
      </c>
      <c r="I255" s="47"/>
      <c r="J255" s="18" t="s">
        <v>34</v>
      </c>
      <c r="K255" s="18" t="s">
        <v>106</v>
      </c>
      <c r="L255" s="112">
        <v>971</v>
      </c>
      <c r="M255" s="112">
        <v>23</v>
      </c>
      <c r="N255" s="112">
        <v>13</v>
      </c>
      <c r="O255" s="112">
        <v>1</v>
      </c>
      <c r="P255" s="112">
        <v>0</v>
      </c>
      <c r="Q255" s="69">
        <f t="shared" ref="Q255:Q278" si="19">M255/L255</f>
        <v>2.368692070030896E-2</v>
      </c>
      <c r="R255" s="69">
        <f t="shared" ref="R255:R278" si="20">N255/M255</f>
        <v>0.56521739130434778</v>
      </c>
      <c r="S255" s="7"/>
      <c r="T255" s="112"/>
      <c r="U255" s="112"/>
      <c r="V255" s="112"/>
      <c r="W255" s="7"/>
    </row>
    <row r="256" spans="1:23">
      <c r="A256" s="6">
        <v>46143</v>
      </c>
      <c r="B256" s="7" t="s">
        <v>553</v>
      </c>
      <c r="C256" s="18" t="s">
        <v>590</v>
      </c>
      <c r="D256" s="18" t="s">
        <v>580</v>
      </c>
      <c r="E256" s="18" t="s">
        <v>252</v>
      </c>
      <c r="F256" s="18" t="s">
        <v>579</v>
      </c>
      <c r="G256" s="18"/>
      <c r="H256" s="18" t="s">
        <v>106</v>
      </c>
      <c r="I256" s="47"/>
      <c r="J256" s="18" t="s">
        <v>34</v>
      </c>
      <c r="K256" s="18" t="s">
        <v>106</v>
      </c>
      <c r="L256" s="112"/>
      <c r="M256" s="112"/>
      <c r="N256" s="112"/>
      <c r="O256" s="112"/>
      <c r="P256" s="112"/>
      <c r="Q256" s="69" t="e">
        <f t="shared" si="19"/>
        <v>#DIV/0!</v>
      </c>
      <c r="R256" s="69" t="e">
        <f t="shared" si="20"/>
        <v>#DIV/0!</v>
      </c>
      <c r="S256" s="7"/>
      <c r="T256" s="112"/>
      <c r="U256" s="112"/>
      <c r="V256" s="112"/>
      <c r="W256" s="7"/>
    </row>
    <row r="257" spans="1:29">
      <c r="A257" s="6">
        <v>46143</v>
      </c>
      <c r="B257" s="7" t="s">
        <v>553</v>
      </c>
      <c r="C257" s="18"/>
      <c r="D257" s="18" t="s">
        <v>144</v>
      </c>
      <c r="E257" s="18" t="s">
        <v>252</v>
      </c>
      <c r="F257" s="18" t="s">
        <v>145</v>
      </c>
      <c r="G257" s="18"/>
      <c r="H257" s="18" t="s">
        <v>157</v>
      </c>
      <c r="I257" s="47"/>
      <c r="J257" s="18" t="s">
        <v>34</v>
      </c>
      <c r="K257" s="18" t="s">
        <v>157</v>
      </c>
      <c r="L257" s="112">
        <v>899</v>
      </c>
      <c r="M257" s="112">
        <v>445</v>
      </c>
      <c r="N257" s="112">
        <v>89</v>
      </c>
      <c r="O257" s="112">
        <v>51</v>
      </c>
      <c r="P257" s="112">
        <v>0</v>
      </c>
      <c r="Q257" s="69">
        <f t="shared" si="19"/>
        <v>0.4949944382647386</v>
      </c>
      <c r="R257" s="69">
        <f t="shared" si="20"/>
        <v>0.2</v>
      </c>
      <c r="S257" s="7"/>
      <c r="T257" s="112"/>
      <c r="U257" s="112"/>
      <c r="V257" s="112"/>
      <c r="W257" s="7"/>
    </row>
    <row r="258" spans="1:29">
      <c r="A258" s="6">
        <v>46143</v>
      </c>
      <c r="B258" s="7" t="s">
        <v>553</v>
      </c>
      <c r="C258" s="18"/>
      <c r="D258" s="18" t="s">
        <v>146</v>
      </c>
      <c r="E258" s="18" t="s">
        <v>252</v>
      </c>
      <c r="F258" s="18" t="s">
        <v>147</v>
      </c>
      <c r="G258" s="18"/>
      <c r="H258" s="18" t="s">
        <v>149</v>
      </c>
      <c r="I258" s="47"/>
      <c r="J258" s="18" t="s">
        <v>34</v>
      </c>
      <c r="K258" s="18" t="s">
        <v>149</v>
      </c>
      <c r="L258" s="112">
        <v>458</v>
      </c>
      <c r="M258" s="112">
        <v>225</v>
      </c>
      <c r="N258" s="112">
        <v>50</v>
      </c>
      <c r="O258" s="112">
        <v>19</v>
      </c>
      <c r="P258" s="112">
        <v>0</v>
      </c>
      <c r="Q258" s="69">
        <f t="shared" si="19"/>
        <v>0.49126637554585151</v>
      </c>
      <c r="R258" s="69">
        <f t="shared" si="20"/>
        <v>0.22222222222222221</v>
      </c>
      <c r="S258" s="7"/>
      <c r="T258" s="112"/>
      <c r="U258" s="112"/>
      <c r="V258" s="112"/>
      <c r="W258" s="7"/>
    </row>
    <row r="259" spans="1:29">
      <c r="A259" s="6">
        <v>46143</v>
      </c>
      <c r="B259" s="7" t="s">
        <v>553</v>
      </c>
      <c r="C259" s="18" t="s">
        <v>589</v>
      </c>
      <c r="D259" s="18" t="s">
        <v>187</v>
      </c>
      <c r="E259" s="18" t="s">
        <v>252</v>
      </c>
      <c r="F259" s="18" t="s">
        <v>188</v>
      </c>
      <c r="G259" s="18"/>
      <c r="H259" s="18" t="s">
        <v>186</v>
      </c>
      <c r="I259" s="47"/>
      <c r="J259" s="18" t="s">
        <v>34</v>
      </c>
      <c r="K259" s="18" t="s">
        <v>186</v>
      </c>
      <c r="L259" s="112">
        <v>1961</v>
      </c>
      <c r="M259" s="112">
        <v>17</v>
      </c>
      <c r="N259" s="112">
        <v>5</v>
      </c>
      <c r="O259" s="112">
        <v>0</v>
      </c>
      <c r="P259" s="112">
        <v>0</v>
      </c>
      <c r="Q259" s="69">
        <f t="shared" si="19"/>
        <v>8.6690464048954623E-3</v>
      </c>
      <c r="R259" s="69">
        <f t="shared" si="20"/>
        <v>0.29411764705882354</v>
      </c>
      <c r="S259" s="7"/>
      <c r="T259" s="112"/>
      <c r="U259" s="112"/>
      <c r="V259" s="112"/>
      <c r="W259" s="7"/>
    </row>
    <row r="260" spans="1:29">
      <c r="A260" s="6">
        <v>46143</v>
      </c>
      <c r="B260" s="7" t="s">
        <v>553</v>
      </c>
      <c r="C260" s="18" t="s">
        <v>590</v>
      </c>
      <c r="D260" s="18" t="s">
        <v>580</v>
      </c>
      <c r="E260" s="18" t="s">
        <v>252</v>
      </c>
      <c r="F260" s="18" t="s">
        <v>579</v>
      </c>
      <c r="G260" s="18"/>
      <c r="H260" s="18" t="s">
        <v>186</v>
      </c>
      <c r="I260" s="47"/>
      <c r="J260" s="18" t="s">
        <v>34</v>
      </c>
      <c r="K260" s="18" t="s">
        <v>186</v>
      </c>
      <c r="L260" s="112"/>
      <c r="M260" s="112"/>
      <c r="N260" s="112"/>
      <c r="O260" s="112"/>
      <c r="P260" s="112"/>
      <c r="Q260" s="69" t="e">
        <f t="shared" si="19"/>
        <v>#DIV/0!</v>
      </c>
      <c r="R260" s="69" t="e">
        <f t="shared" si="20"/>
        <v>#DIV/0!</v>
      </c>
      <c r="S260" s="7"/>
      <c r="T260" s="7"/>
      <c r="U260" s="7"/>
      <c r="V260" s="7"/>
      <c r="W260" s="7"/>
    </row>
    <row r="261" spans="1:29">
      <c r="A261" s="6">
        <v>46143</v>
      </c>
      <c r="B261" s="7" t="s">
        <v>553</v>
      </c>
      <c r="C261" s="18" t="s">
        <v>589</v>
      </c>
      <c r="D261" s="18" t="s">
        <v>1045</v>
      </c>
      <c r="E261" s="18" t="s">
        <v>252</v>
      </c>
      <c r="F261" s="21" t="s">
        <v>1046</v>
      </c>
      <c r="G261" s="18"/>
      <c r="H261" s="21" t="s">
        <v>1047</v>
      </c>
      <c r="I261" s="29"/>
      <c r="J261" s="18" t="s">
        <v>34</v>
      </c>
      <c r="K261" s="21" t="s">
        <v>1047</v>
      </c>
      <c r="L261" s="112">
        <v>3231</v>
      </c>
      <c r="M261" s="112">
        <v>674</v>
      </c>
      <c r="N261" s="112">
        <v>111</v>
      </c>
      <c r="O261" s="112">
        <v>53</v>
      </c>
      <c r="P261" s="112">
        <v>5</v>
      </c>
      <c r="Q261" s="69">
        <f t="shared" si="19"/>
        <v>0.20860414732281027</v>
      </c>
      <c r="R261" s="69">
        <f t="shared" si="20"/>
        <v>0.16468842729970326</v>
      </c>
      <c r="S261" s="7"/>
      <c r="T261" s="7"/>
      <c r="U261" s="7"/>
      <c r="V261" s="7"/>
      <c r="W261" s="7"/>
    </row>
    <row r="262" spans="1:29">
      <c r="A262" s="6">
        <v>46143</v>
      </c>
      <c r="B262" s="7" t="s">
        <v>553</v>
      </c>
      <c r="C262" s="18" t="s">
        <v>589</v>
      </c>
      <c r="D262" s="18" t="s">
        <v>1048</v>
      </c>
      <c r="E262" s="18" t="s">
        <v>252</v>
      </c>
      <c r="F262" s="21" t="s">
        <v>1046</v>
      </c>
      <c r="G262" s="18"/>
      <c r="H262" s="21" t="s">
        <v>1049</v>
      </c>
      <c r="I262" s="29"/>
      <c r="J262" s="18" t="s">
        <v>34</v>
      </c>
      <c r="K262" s="21" t="s">
        <v>1049</v>
      </c>
      <c r="L262" s="112">
        <v>621</v>
      </c>
      <c r="M262" s="112">
        <v>6</v>
      </c>
      <c r="N262" s="112">
        <v>1</v>
      </c>
      <c r="O262" s="112">
        <v>0</v>
      </c>
      <c r="P262" s="112">
        <v>4</v>
      </c>
      <c r="Q262" s="69">
        <f t="shared" si="19"/>
        <v>9.6618357487922701E-3</v>
      </c>
      <c r="R262" s="69">
        <f t="shared" si="20"/>
        <v>0.16666666666666666</v>
      </c>
      <c r="S262" s="7"/>
      <c r="T262" s="7"/>
      <c r="U262" s="7"/>
      <c r="V262" s="7"/>
      <c r="W262" s="7"/>
    </row>
    <row r="263" spans="1:29">
      <c r="A263" s="6">
        <v>46143</v>
      </c>
      <c r="B263" s="7" t="s">
        <v>553</v>
      </c>
      <c r="C263" s="18" t="s">
        <v>589</v>
      </c>
      <c r="D263" s="18" t="s">
        <v>1050</v>
      </c>
      <c r="E263" s="18" t="s">
        <v>252</v>
      </c>
      <c r="F263" s="18" t="s">
        <v>1051</v>
      </c>
      <c r="G263" s="18"/>
      <c r="H263" s="18" t="s">
        <v>149</v>
      </c>
      <c r="I263" s="29"/>
      <c r="J263" s="18" t="s">
        <v>34</v>
      </c>
      <c r="K263" s="18" t="s">
        <v>149</v>
      </c>
      <c r="L263" s="112">
        <v>448</v>
      </c>
      <c r="M263" s="112">
        <v>232</v>
      </c>
      <c r="N263" s="112">
        <v>93</v>
      </c>
      <c r="O263" s="112">
        <v>17</v>
      </c>
      <c r="P263" s="112">
        <v>0</v>
      </c>
      <c r="Q263" s="69">
        <f t="shared" si="19"/>
        <v>0.5178571428571429</v>
      </c>
      <c r="R263" s="69">
        <f t="shared" si="20"/>
        <v>0.40086206896551724</v>
      </c>
      <c r="S263" s="7"/>
      <c r="T263" s="7"/>
      <c r="U263" s="7"/>
      <c r="V263" s="7"/>
      <c r="W263" s="7"/>
    </row>
    <row r="264" spans="1:29" ht="15">
      <c r="A264" s="6">
        <v>46143</v>
      </c>
      <c r="B264" s="7" t="s">
        <v>553</v>
      </c>
      <c r="C264" s="7"/>
      <c r="D264" s="7" t="s">
        <v>1275</v>
      </c>
      <c r="E264" s="7" t="s">
        <v>252</v>
      </c>
      <c r="F264" s="7"/>
      <c r="G264" s="7"/>
      <c r="H264" s="179" t="s">
        <v>1053</v>
      </c>
      <c r="I264" s="47"/>
      <c r="J264" s="7" t="s">
        <v>34</v>
      </c>
      <c r="K264" s="7" t="s">
        <v>170</v>
      </c>
      <c r="L264" s="112">
        <v>1499</v>
      </c>
      <c r="M264" s="112">
        <v>1435</v>
      </c>
      <c r="N264" s="112">
        <v>1041</v>
      </c>
      <c r="O264" s="112">
        <v>0</v>
      </c>
      <c r="P264" s="112">
        <v>1</v>
      </c>
      <c r="Q264" s="69">
        <f t="shared" si="19"/>
        <v>0.95730486991327557</v>
      </c>
      <c r="R264" s="69">
        <f t="shared" si="20"/>
        <v>0.72543554006968636</v>
      </c>
      <c r="S264" s="7"/>
      <c r="T264" s="7"/>
      <c r="U264" s="7"/>
      <c r="V264" s="7"/>
      <c r="W264" s="7"/>
      <c r="AA264" s="112">
        <v>1499</v>
      </c>
      <c r="AB264" s="112">
        <v>1435</v>
      </c>
      <c r="AC264" s="112">
        <v>1041</v>
      </c>
    </row>
    <row r="265" spans="1:29" ht="15">
      <c r="A265" s="6">
        <v>46143</v>
      </c>
      <c r="B265" s="7" t="s">
        <v>553</v>
      </c>
      <c r="C265" s="7"/>
      <c r="D265" s="100" t="s">
        <v>1276</v>
      </c>
      <c r="E265" s="7" t="s">
        <v>252</v>
      </c>
      <c r="F265" s="7"/>
      <c r="G265" s="7"/>
      <c r="H265" s="179" t="s">
        <v>1053</v>
      </c>
      <c r="I265" s="84"/>
      <c r="J265" s="7" t="s">
        <v>34</v>
      </c>
      <c r="K265" s="7" t="s">
        <v>170</v>
      </c>
      <c r="L265" s="112">
        <v>1499</v>
      </c>
      <c r="M265" s="112">
        <v>1435</v>
      </c>
      <c r="N265" s="112">
        <v>974</v>
      </c>
      <c r="O265" s="112">
        <v>0</v>
      </c>
      <c r="P265" s="112">
        <v>1</v>
      </c>
      <c r="Q265" s="69">
        <f t="shared" si="19"/>
        <v>0.95730486991327557</v>
      </c>
      <c r="R265" s="69">
        <f t="shared" si="20"/>
        <v>0.67874564459930309</v>
      </c>
      <c r="S265" s="7"/>
      <c r="T265" s="7"/>
      <c r="U265" s="7"/>
      <c r="V265" s="7"/>
      <c r="W265" s="7"/>
      <c r="AA265" s="112">
        <v>1499</v>
      </c>
      <c r="AB265" s="112">
        <v>1435</v>
      </c>
      <c r="AC265" s="112">
        <v>974</v>
      </c>
    </row>
    <row r="266" spans="1:29" ht="15">
      <c r="A266" s="6">
        <v>46143</v>
      </c>
      <c r="B266" s="7" t="s">
        <v>553</v>
      </c>
      <c r="C266" s="7"/>
      <c r="D266" s="100" t="s">
        <v>1277</v>
      </c>
      <c r="E266" s="7" t="s">
        <v>252</v>
      </c>
      <c r="F266" s="7"/>
      <c r="G266" s="7"/>
      <c r="H266" s="179" t="s">
        <v>1053</v>
      </c>
      <c r="I266" s="84"/>
      <c r="J266" s="7" t="s">
        <v>34</v>
      </c>
      <c r="K266" s="7" t="s">
        <v>170</v>
      </c>
      <c r="L266" s="112">
        <v>1499</v>
      </c>
      <c r="M266" s="112">
        <v>1436</v>
      </c>
      <c r="N266" s="112">
        <v>1011</v>
      </c>
      <c r="O266" s="112">
        <v>0</v>
      </c>
      <c r="P266" s="112">
        <v>1</v>
      </c>
      <c r="Q266" s="69">
        <f t="shared" si="19"/>
        <v>0.95797198132088057</v>
      </c>
      <c r="R266" s="69">
        <f t="shared" si="20"/>
        <v>0.70403899721448471</v>
      </c>
      <c r="S266" s="7"/>
      <c r="T266" s="7"/>
      <c r="U266" s="7"/>
      <c r="V266" s="7"/>
      <c r="W266" s="7"/>
      <c r="AA266" s="112">
        <v>1499</v>
      </c>
      <c r="AB266" s="112">
        <v>1436</v>
      </c>
      <c r="AC266" s="112">
        <v>1011</v>
      </c>
    </row>
    <row r="267" spans="1:29" ht="15">
      <c r="A267" s="6">
        <v>46143</v>
      </c>
      <c r="B267" s="7" t="s">
        <v>553</v>
      </c>
      <c r="C267" s="7"/>
      <c r="D267" s="100" t="s">
        <v>1278</v>
      </c>
      <c r="E267" s="7" t="s">
        <v>252</v>
      </c>
      <c r="F267" s="7"/>
      <c r="G267" s="7"/>
      <c r="H267" s="179" t="s">
        <v>1053</v>
      </c>
      <c r="I267" s="84"/>
      <c r="J267" s="7" t="s">
        <v>34</v>
      </c>
      <c r="K267" s="7" t="s">
        <v>170</v>
      </c>
      <c r="L267" s="112">
        <v>1499</v>
      </c>
      <c r="M267" s="112">
        <v>1435</v>
      </c>
      <c r="N267" s="112">
        <v>1035</v>
      </c>
      <c r="O267" s="112">
        <v>0</v>
      </c>
      <c r="P267" s="112">
        <v>1</v>
      </c>
      <c r="Q267" s="69">
        <f t="shared" si="19"/>
        <v>0.95730486991327557</v>
      </c>
      <c r="R267" s="69">
        <f t="shared" si="20"/>
        <v>0.72125435540069682</v>
      </c>
      <c r="S267" s="7"/>
      <c r="T267" s="7"/>
      <c r="U267" s="7"/>
      <c r="V267" s="7"/>
      <c r="W267" s="7"/>
      <c r="AA267" s="112">
        <v>1499</v>
      </c>
      <c r="AB267" s="112">
        <v>1435</v>
      </c>
      <c r="AC267" s="112">
        <v>1035</v>
      </c>
    </row>
    <row r="268" spans="1:29">
      <c r="A268" s="6">
        <v>46143</v>
      </c>
      <c r="B268" s="7" t="s">
        <v>553</v>
      </c>
      <c r="C268" s="7"/>
      <c r="D268" s="7" t="s">
        <v>1279</v>
      </c>
      <c r="E268" s="7" t="s">
        <v>252</v>
      </c>
      <c r="F268" s="7"/>
      <c r="G268" s="7"/>
      <c r="H268" s="7" t="s">
        <v>994</v>
      </c>
      <c r="I268" s="84"/>
      <c r="J268" s="7" t="s">
        <v>34</v>
      </c>
      <c r="K268" s="7" t="s">
        <v>171</v>
      </c>
      <c r="L268" s="112">
        <v>360</v>
      </c>
      <c r="M268" s="112">
        <v>327</v>
      </c>
      <c r="N268" s="112">
        <v>248</v>
      </c>
      <c r="O268" s="112">
        <v>0</v>
      </c>
      <c r="P268" s="112">
        <v>0</v>
      </c>
      <c r="Q268" s="69">
        <f t="shared" si="19"/>
        <v>0.90833333333333333</v>
      </c>
      <c r="R268" s="69">
        <f t="shared" si="20"/>
        <v>0.75840978593272168</v>
      </c>
      <c r="S268" s="7"/>
      <c r="T268" s="7"/>
      <c r="U268" s="7"/>
      <c r="V268" s="7"/>
      <c r="W268" s="7"/>
      <c r="AA268">
        <f>SUM(AA264:AA267)</f>
        <v>5996</v>
      </c>
      <c r="AB268">
        <f>SUM(AB264:AB267)</f>
        <v>5741</v>
      </c>
      <c r="AC268">
        <f>SUM(AC264:AC267)</f>
        <v>4061</v>
      </c>
    </row>
    <row r="269" spans="1:29">
      <c r="A269" s="6">
        <v>46143</v>
      </c>
      <c r="B269" s="7" t="s">
        <v>553</v>
      </c>
      <c r="C269" s="7"/>
      <c r="D269" s="7" t="s">
        <v>1280</v>
      </c>
      <c r="E269" s="7" t="s">
        <v>252</v>
      </c>
      <c r="F269" s="7"/>
      <c r="G269" s="7"/>
      <c r="H269" s="7" t="s">
        <v>994</v>
      </c>
      <c r="I269" s="84"/>
      <c r="J269" s="7" t="s">
        <v>34</v>
      </c>
      <c r="K269" s="7" t="s">
        <v>171</v>
      </c>
      <c r="L269" s="112">
        <v>360</v>
      </c>
      <c r="M269" s="112">
        <v>325</v>
      </c>
      <c r="N269" s="112">
        <v>241</v>
      </c>
      <c r="O269" s="112">
        <v>0</v>
      </c>
      <c r="P269" s="112">
        <v>0</v>
      </c>
      <c r="Q269" s="69">
        <f t="shared" si="19"/>
        <v>0.90277777777777779</v>
      </c>
      <c r="R269" s="69">
        <f t="shared" si="20"/>
        <v>0.74153846153846159</v>
      </c>
      <c r="S269" s="7"/>
      <c r="T269" s="7"/>
      <c r="U269" s="7"/>
      <c r="V269" s="7"/>
      <c r="W269" s="7"/>
    </row>
    <row r="270" spans="1:29">
      <c r="A270" s="6">
        <v>46143</v>
      </c>
      <c r="B270" s="7" t="s">
        <v>553</v>
      </c>
      <c r="C270" s="7"/>
      <c r="D270" s="7" t="s">
        <v>1281</v>
      </c>
      <c r="E270" s="7" t="s">
        <v>252</v>
      </c>
      <c r="F270" s="7"/>
      <c r="G270" s="7"/>
      <c r="H270" s="51" t="s">
        <v>994</v>
      </c>
      <c r="I270" s="84"/>
      <c r="J270" s="7" t="s">
        <v>34</v>
      </c>
      <c r="K270" s="7" t="s">
        <v>171</v>
      </c>
      <c r="L270" s="112">
        <v>360</v>
      </c>
      <c r="M270" s="112">
        <v>324</v>
      </c>
      <c r="N270" s="112">
        <v>236</v>
      </c>
      <c r="O270" s="112">
        <v>0</v>
      </c>
      <c r="P270" s="112">
        <v>0</v>
      </c>
      <c r="Q270" s="69">
        <f t="shared" ref="Q270" si="21">M270/L270</f>
        <v>0.9</v>
      </c>
      <c r="R270" s="69">
        <f t="shared" ref="R270" si="22">N270/M270</f>
        <v>0.72839506172839508</v>
      </c>
      <c r="S270" s="7"/>
      <c r="T270" s="7"/>
      <c r="U270" s="7"/>
      <c r="V270" s="7"/>
      <c r="W270" s="7"/>
    </row>
    <row r="271" spans="1:29">
      <c r="A271" s="6">
        <v>46143</v>
      </c>
      <c r="B271" s="7" t="s">
        <v>553</v>
      </c>
      <c r="C271" s="62">
        <v>0.9375</v>
      </c>
      <c r="D271" s="7" t="s">
        <v>1282</v>
      </c>
      <c r="E271" s="7" t="s">
        <v>252</v>
      </c>
      <c r="F271" s="7" t="s">
        <v>150</v>
      </c>
      <c r="G271" s="7" t="s">
        <v>85</v>
      </c>
      <c r="H271" s="7" t="s">
        <v>149</v>
      </c>
      <c r="I271" s="47"/>
      <c r="J271" s="7" t="s">
        <v>34</v>
      </c>
      <c r="K271" s="7" t="s">
        <v>149</v>
      </c>
      <c r="L271" s="112">
        <v>906</v>
      </c>
      <c r="M271" s="112">
        <v>290</v>
      </c>
      <c r="N271" s="112">
        <v>48</v>
      </c>
      <c r="O271" s="112">
        <v>5</v>
      </c>
      <c r="P271" s="112">
        <v>1</v>
      </c>
      <c r="Q271" s="69">
        <f t="shared" si="19"/>
        <v>0.32008830022075058</v>
      </c>
      <c r="R271" s="69">
        <f t="shared" si="20"/>
        <v>0.16551724137931034</v>
      </c>
      <c r="S271" s="7"/>
      <c r="T271" s="7"/>
      <c r="U271" s="7"/>
      <c r="V271" s="7"/>
      <c r="W271" s="7"/>
    </row>
    <row r="272" spans="1:29">
      <c r="A272" s="6">
        <v>46143</v>
      </c>
      <c r="B272" s="7" t="s">
        <v>553</v>
      </c>
      <c r="C272" s="62" t="s">
        <v>1129</v>
      </c>
      <c r="D272" s="77" t="s">
        <v>1283</v>
      </c>
      <c r="E272" s="7" t="s">
        <v>252</v>
      </c>
      <c r="F272" s="77" t="s">
        <v>428</v>
      </c>
      <c r="G272" s="7" t="s">
        <v>85</v>
      </c>
      <c r="H272" s="51" t="s">
        <v>149</v>
      </c>
      <c r="I272" s="47"/>
      <c r="J272" s="7" t="s">
        <v>34</v>
      </c>
      <c r="K272" s="7" t="s">
        <v>149</v>
      </c>
      <c r="L272" s="112">
        <v>912</v>
      </c>
      <c r="M272" s="112">
        <v>179</v>
      </c>
      <c r="N272" s="112">
        <v>33</v>
      </c>
      <c r="O272" s="112">
        <v>6</v>
      </c>
      <c r="P272" s="112">
        <v>0</v>
      </c>
      <c r="Q272" s="69">
        <f t="shared" ref="Q272" si="23">M272/L272</f>
        <v>0.1962719298245614</v>
      </c>
      <c r="R272" s="69">
        <f t="shared" ref="R272" si="24">N272/M272</f>
        <v>0.18435754189944134</v>
      </c>
      <c r="S272" s="7"/>
      <c r="T272" s="7"/>
      <c r="U272" s="7"/>
      <c r="V272" s="7"/>
      <c r="W272" s="7"/>
    </row>
    <row r="273" spans="1:28" ht="16.8">
      <c r="A273" s="6">
        <v>46143</v>
      </c>
      <c r="B273" s="7" t="s">
        <v>553</v>
      </c>
      <c r="C273" s="62">
        <v>0.83333333333333337</v>
      </c>
      <c r="D273" s="7" t="s">
        <v>1284</v>
      </c>
      <c r="E273" s="7" t="s">
        <v>252</v>
      </c>
      <c r="F273" s="7" t="s">
        <v>248</v>
      </c>
      <c r="G273" s="7" t="s">
        <v>85</v>
      </c>
      <c r="H273" s="52" t="s">
        <v>157</v>
      </c>
      <c r="I273" s="47"/>
      <c r="J273" s="7" t="s">
        <v>34</v>
      </c>
      <c r="K273" s="52" t="s">
        <v>157</v>
      </c>
      <c r="L273" s="112">
        <v>1724</v>
      </c>
      <c r="M273" s="112">
        <v>329</v>
      </c>
      <c r="N273" s="112">
        <v>59</v>
      </c>
      <c r="O273" s="112">
        <v>7</v>
      </c>
      <c r="P273" s="112">
        <v>0</v>
      </c>
      <c r="Q273" s="69">
        <f t="shared" si="19"/>
        <v>0.19083526682134572</v>
      </c>
      <c r="R273" s="69">
        <f t="shared" si="20"/>
        <v>0.17933130699088146</v>
      </c>
      <c r="S273" s="7"/>
      <c r="T273" s="7"/>
      <c r="U273" s="7"/>
      <c r="V273" s="7"/>
      <c r="W273" s="7"/>
    </row>
    <row r="274" spans="1:28" ht="16.8">
      <c r="A274" s="6">
        <v>46143</v>
      </c>
      <c r="B274" s="7" t="s">
        <v>553</v>
      </c>
      <c r="C274" s="62">
        <v>0.96875</v>
      </c>
      <c r="D274" s="77" t="s">
        <v>1285</v>
      </c>
      <c r="E274" s="7" t="s">
        <v>252</v>
      </c>
      <c r="F274" s="77" t="s">
        <v>430</v>
      </c>
      <c r="G274" s="7" t="s">
        <v>85</v>
      </c>
      <c r="H274" s="52" t="s">
        <v>157</v>
      </c>
      <c r="I274" s="47" t="s">
        <v>785</v>
      </c>
      <c r="J274" s="7" t="s">
        <v>34</v>
      </c>
      <c r="K274" s="52" t="s">
        <v>157</v>
      </c>
      <c r="L274" s="112">
        <v>1783</v>
      </c>
      <c r="M274" s="112">
        <v>474</v>
      </c>
      <c r="N274" s="112">
        <v>62</v>
      </c>
      <c r="O274" s="112">
        <v>18</v>
      </c>
      <c r="P274" s="112">
        <v>1</v>
      </c>
      <c r="Q274" s="69">
        <f t="shared" si="19"/>
        <v>0.26584408300616935</v>
      </c>
      <c r="R274" s="69">
        <f t="shared" si="20"/>
        <v>0.13080168776371309</v>
      </c>
      <c r="S274" s="7"/>
      <c r="T274" s="7"/>
      <c r="U274" s="7"/>
      <c r="V274" s="7"/>
      <c r="W274" s="7"/>
    </row>
    <row r="275" spans="1:28" ht="16.8">
      <c r="A275" s="6">
        <v>46143</v>
      </c>
      <c r="B275" s="7" t="s">
        <v>553</v>
      </c>
      <c r="C275" s="62">
        <v>0.78125</v>
      </c>
      <c r="D275" s="7" t="s">
        <v>1286</v>
      </c>
      <c r="E275" s="31" t="s">
        <v>252</v>
      </c>
      <c r="F275" s="31" t="s">
        <v>334</v>
      </c>
      <c r="G275" s="7" t="s">
        <v>85</v>
      </c>
      <c r="H275" s="52" t="s">
        <v>420</v>
      </c>
      <c r="I275" s="47" t="s">
        <v>1065</v>
      </c>
      <c r="J275" s="7" t="s">
        <v>34</v>
      </c>
      <c r="K275" s="52" t="s">
        <v>420</v>
      </c>
      <c r="L275" s="112">
        <v>397</v>
      </c>
      <c r="M275" s="112">
        <v>59</v>
      </c>
      <c r="N275" s="112">
        <v>10</v>
      </c>
      <c r="O275" s="112">
        <v>2</v>
      </c>
      <c r="P275" s="112">
        <v>0</v>
      </c>
      <c r="Q275" s="69">
        <f t="shared" si="19"/>
        <v>0.1486146095717884</v>
      </c>
      <c r="R275" s="69">
        <f t="shared" si="20"/>
        <v>0.16949152542372881</v>
      </c>
      <c r="S275" s="7"/>
      <c r="T275" s="7"/>
      <c r="U275" s="7"/>
      <c r="V275" s="7"/>
      <c r="W275" s="7"/>
    </row>
    <row r="276" spans="1:28">
      <c r="A276" s="6">
        <v>46143</v>
      </c>
      <c r="B276" s="7" t="s">
        <v>553</v>
      </c>
      <c r="C276" s="62">
        <v>0.79166666666666663</v>
      </c>
      <c r="D276" s="7" t="s">
        <v>1287</v>
      </c>
      <c r="E276" s="7" t="s">
        <v>252</v>
      </c>
      <c r="F276" s="35" t="s">
        <v>150</v>
      </c>
      <c r="G276" s="7" t="s">
        <v>85</v>
      </c>
      <c r="H276" s="7" t="s">
        <v>121</v>
      </c>
      <c r="I276" s="47"/>
      <c r="J276" s="7" t="s">
        <v>34</v>
      </c>
      <c r="K276" s="7" t="s">
        <v>121</v>
      </c>
      <c r="L276" s="112">
        <v>890</v>
      </c>
      <c r="M276" s="112">
        <v>317</v>
      </c>
      <c r="N276" s="112">
        <v>222</v>
      </c>
      <c r="O276" s="112">
        <v>0</v>
      </c>
      <c r="P276" s="112">
        <v>0</v>
      </c>
      <c r="Q276" s="69">
        <f t="shared" si="19"/>
        <v>0.35617977528089889</v>
      </c>
      <c r="R276" s="69">
        <f t="shared" si="20"/>
        <v>0.70031545741324919</v>
      </c>
      <c r="S276" s="7"/>
      <c r="T276" s="7"/>
      <c r="U276" s="7"/>
      <c r="V276" s="7"/>
      <c r="W276" s="7"/>
    </row>
    <row r="277" spans="1:28" ht="16.8">
      <c r="A277" s="6">
        <v>46143</v>
      </c>
      <c r="B277" s="7" t="s">
        <v>553</v>
      </c>
      <c r="C277" s="64">
        <v>0.85416666666666663</v>
      </c>
      <c r="D277" s="7" t="s">
        <v>1288</v>
      </c>
      <c r="E277" s="7" t="s">
        <v>252</v>
      </c>
      <c r="F277" s="7" t="s">
        <v>248</v>
      </c>
      <c r="G277" s="7" t="s">
        <v>85</v>
      </c>
      <c r="H277" s="53" t="s">
        <v>210</v>
      </c>
      <c r="I277" s="47"/>
      <c r="J277" s="35" t="s">
        <v>34</v>
      </c>
      <c r="K277" s="53" t="s">
        <v>210</v>
      </c>
      <c r="L277" s="112">
        <v>1697</v>
      </c>
      <c r="M277" s="112">
        <v>514</v>
      </c>
      <c r="N277" s="112">
        <v>419</v>
      </c>
      <c r="O277" s="112">
        <v>0</v>
      </c>
      <c r="P277" s="112">
        <v>0</v>
      </c>
      <c r="Q277" s="69">
        <f t="shared" si="19"/>
        <v>0.30288744843842075</v>
      </c>
      <c r="R277" s="69">
        <f t="shared" si="20"/>
        <v>0.81517509727626458</v>
      </c>
      <c r="S277" s="7"/>
      <c r="T277" s="7"/>
      <c r="U277" s="7"/>
      <c r="V277" s="7"/>
      <c r="W277" s="7"/>
    </row>
    <row r="278" spans="1:28" ht="16.8">
      <c r="A278" s="6">
        <v>46143</v>
      </c>
      <c r="B278" s="7" t="s">
        <v>553</v>
      </c>
      <c r="C278" s="175">
        <v>0.94791666666666663</v>
      </c>
      <c r="D278" s="7" t="s">
        <v>1289</v>
      </c>
      <c r="E278" s="7" t="s">
        <v>252</v>
      </c>
      <c r="F278" s="7" t="s">
        <v>410</v>
      </c>
      <c r="G278" s="7" t="s">
        <v>85</v>
      </c>
      <c r="H278" s="53" t="s">
        <v>210</v>
      </c>
      <c r="I278" s="98"/>
      <c r="J278" s="35" t="s">
        <v>34</v>
      </c>
      <c r="K278" s="53" t="s">
        <v>210</v>
      </c>
      <c r="L278" s="112">
        <v>1711</v>
      </c>
      <c r="M278" s="112">
        <v>508</v>
      </c>
      <c r="N278" s="112">
        <v>359</v>
      </c>
      <c r="O278" s="112">
        <v>0</v>
      </c>
      <c r="P278" s="112">
        <v>0</v>
      </c>
      <c r="Q278" s="69">
        <f t="shared" si="19"/>
        <v>0.29690239625949738</v>
      </c>
      <c r="R278" s="69">
        <f t="shared" si="20"/>
        <v>0.70669291338582674</v>
      </c>
      <c r="S278" s="7"/>
      <c r="T278" s="7"/>
      <c r="U278" s="7"/>
      <c r="V278" s="7"/>
      <c r="W278" s="7"/>
    </row>
    <row r="279" spans="1:28" ht="6.6" customHeight="1">
      <c r="A279" s="22"/>
      <c r="B279" s="23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5"/>
      <c r="R279" s="25"/>
      <c r="S279" s="24"/>
      <c r="T279" s="24"/>
      <c r="U279" s="24"/>
      <c r="V279" s="25"/>
      <c r="W279" s="26"/>
    </row>
    <row r="280" spans="1:28">
      <c r="A280" s="6">
        <v>46144</v>
      </c>
      <c r="B280" s="7" t="s">
        <v>577</v>
      </c>
      <c r="C280" s="18" t="s">
        <v>589</v>
      </c>
      <c r="D280" s="18" t="s">
        <v>185</v>
      </c>
      <c r="E280" s="18" t="s">
        <v>252</v>
      </c>
      <c r="F280" s="18" t="s">
        <v>110</v>
      </c>
      <c r="G280" s="18"/>
      <c r="H280" s="18" t="s">
        <v>106</v>
      </c>
      <c r="I280" s="47"/>
      <c r="J280" s="18" t="s">
        <v>34</v>
      </c>
      <c r="K280" s="18" t="s">
        <v>106</v>
      </c>
      <c r="L280" s="112">
        <v>908</v>
      </c>
      <c r="M280" s="112">
        <v>12</v>
      </c>
      <c r="N280" s="112">
        <v>2</v>
      </c>
      <c r="O280" s="112">
        <v>1</v>
      </c>
      <c r="P280" s="112">
        <v>5</v>
      </c>
      <c r="Q280" s="69">
        <f t="shared" ref="Q280:R305" si="25">M280/L280</f>
        <v>1.3215859030837005E-2</v>
      </c>
      <c r="R280" s="69">
        <f t="shared" si="25"/>
        <v>0.16666666666666666</v>
      </c>
      <c r="S280" s="7"/>
      <c r="T280" s="112"/>
      <c r="U280" s="112"/>
      <c r="V280" s="112"/>
      <c r="W280" s="7"/>
      <c r="Z280" s="112">
        <v>908</v>
      </c>
      <c r="AA280" s="112">
        <v>12</v>
      </c>
      <c r="AB280" s="112">
        <v>2</v>
      </c>
    </row>
    <row r="281" spans="1:28">
      <c r="A281" s="6">
        <v>46144</v>
      </c>
      <c r="B281" s="7" t="s">
        <v>577</v>
      </c>
      <c r="C281" s="18" t="s">
        <v>590</v>
      </c>
      <c r="D281" s="18" t="s">
        <v>580</v>
      </c>
      <c r="E281" s="18" t="s">
        <v>252</v>
      </c>
      <c r="F281" s="18" t="s">
        <v>579</v>
      </c>
      <c r="G281" s="18"/>
      <c r="H281" s="18" t="s">
        <v>106</v>
      </c>
      <c r="I281" s="47"/>
      <c r="J281" s="18" t="s">
        <v>34</v>
      </c>
      <c r="K281" s="18" t="s">
        <v>106</v>
      </c>
      <c r="L281" s="112"/>
      <c r="M281" s="112"/>
      <c r="N281" s="112"/>
      <c r="O281" s="112"/>
      <c r="P281" s="112"/>
      <c r="Q281" s="69" t="e">
        <f t="shared" si="25"/>
        <v>#DIV/0!</v>
      </c>
      <c r="R281" s="69" t="e">
        <f t="shared" si="25"/>
        <v>#DIV/0!</v>
      </c>
      <c r="S281" s="7"/>
      <c r="T281" s="112"/>
      <c r="U281" s="112"/>
      <c r="V281" s="112"/>
      <c r="W281" s="7"/>
      <c r="Z281" s="112">
        <v>398</v>
      </c>
      <c r="AA281" s="112">
        <v>207</v>
      </c>
      <c r="AB281" s="112">
        <v>49</v>
      </c>
    </row>
    <row r="282" spans="1:28">
      <c r="A282" s="6">
        <v>46144</v>
      </c>
      <c r="B282" s="7" t="s">
        <v>577</v>
      </c>
      <c r="C282" s="18"/>
      <c r="D282" s="18" t="s">
        <v>144</v>
      </c>
      <c r="E282" s="18" t="s">
        <v>252</v>
      </c>
      <c r="F282" s="18" t="s">
        <v>145</v>
      </c>
      <c r="G282" s="18"/>
      <c r="H282" s="18" t="s">
        <v>157</v>
      </c>
      <c r="I282" s="47"/>
      <c r="J282" s="18" t="s">
        <v>34</v>
      </c>
      <c r="K282" s="18" t="s">
        <v>157</v>
      </c>
      <c r="L282" s="112">
        <v>398</v>
      </c>
      <c r="M282" s="112">
        <v>207</v>
      </c>
      <c r="N282" s="112">
        <v>49</v>
      </c>
      <c r="O282" s="112">
        <v>30</v>
      </c>
      <c r="P282" s="112">
        <v>1</v>
      </c>
      <c r="Q282" s="69">
        <f t="shared" si="25"/>
        <v>0.52010050251256279</v>
      </c>
      <c r="R282" s="69">
        <f t="shared" si="25"/>
        <v>0.23671497584541062</v>
      </c>
      <c r="S282" s="7"/>
      <c r="T282" s="112"/>
      <c r="U282" s="112"/>
      <c r="V282" s="112"/>
      <c r="W282" s="7"/>
      <c r="Z282" s="112">
        <v>251</v>
      </c>
      <c r="AA282" s="112">
        <v>112</v>
      </c>
      <c r="AB282" s="112">
        <v>36</v>
      </c>
    </row>
    <row r="283" spans="1:28">
      <c r="A283" s="6">
        <v>46144</v>
      </c>
      <c r="B283" s="7" t="s">
        <v>577</v>
      </c>
      <c r="C283" s="18"/>
      <c r="D283" s="18" t="s">
        <v>146</v>
      </c>
      <c r="E283" s="18" t="s">
        <v>252</v>
      </c>
      <c r="F283" s="18" t="s">
        <v>147</v>
      </c>
      <c r="G283" s="18"/>
      <c r="H283" s="18" t="s">
        <v>149</v>
      </c>
      <c r="I283" s="47"/>
      <c r="J283" s="18" t="s">
        <v>34</v>
      </c>
      <c r="K283" s="18" t="s">
        <v>149</v>
      </c>
      <c r="L283" s="112">
        <v>251</v>
      </c>
      <c r="M283" s="112">
        <v>112</v>
      </c>
      <c r="N283" s="112">
        <v>36</v>
      </c>
      <c r="O283" s="112">
        <v>10</v>
      </c>
      <c r="P283" s="112">
        <v>0</v>
      </c>
      <c r="Q283" s="69">
        <f t="shared" si="25"/>
        <v>0.44621513944223107</v>
      </c>
      <c r="R283" s="69">
        <f t="shared" si="25"/>
        <v>0.32142857142857145</v>
      </c>
      <c r="S283" s="7"/>
      <c r="T283" s="112"/>
      <c r="U283" s="112"/>
      <c r="V283" s="112"/>
      <c r="W283" s="7"/>
      <c r="Z283" s="112">
        <v>3186</v>
      </c>
      <c r="AA283" s="112">
        <v>226</v>
      </c>
      <c r="AB283" s="112">
        <v>21</v>
      </c>
    </row>
    <row r="284" spans="1:28">
      <c r="A284" s="6">
        <v>46144</v>
      </c>
      <c r="B284" s="7" t="s">
        <v>577</v>
      </c>
      <c r="C284" s="18" t="s">
        <v>589</v>
      </c>
      <c r="D284" s="18" t="s">
        <v>187</v>
      </c>
      <c r="E284" s="18" t="s">
        <v>252</v>
      </c>
      <c r="F284" s="18" t="s">
        <v>188</v>
      </c>
      <c r="G284" s="18"/>
      <c r="H284" s="18" t="s">
        <v>186</v>
      </c>
      <c r="I284" s="47"/>
      <c r="J284" s="18" t="s">
        <v>34</v>
      </c>
      <c r="K284" s="18" t="s">
        <v>186</v>
      </c>
      <c r="L284" s="112">
        <v>1854</v>
      </c>
      <c r="M284" s="112">
        <v>6</v>
      </c>
      <c r="N284" s="112">
        <v>1</v>
      </c>
      <c r="O284" s="112">
        <v>0</v>
      </c>
      <c r="P284" s="112">
        <v>1</v>
      </c>
      <c r="Q284" s="69">
        <f t="shared" si="25"/>
        <v>3.2362459546925568E-3</v>
      </c>
      <c r="R284" s="69">
        <f t="shared" si="25"/>
        <v>0.16666666666666666</v>
      </c>
      <c r="S284" s="7"/>
      <c r="T284" s="112"/>
      <c r="U284" s="112"/>
      <c r="V284" s="112"/>
      <c r="W284" s="7"/>
      <c r="Z284" s="112">
        <v>249</v>
      </c>
      <c r="AA284" s="112">
        <v>127</v>
      </c>
      <c r="AB284" s="112">
        <v>45</v>
      </c>
    </row>
    <row r="285" spans="1:28">
      <c r="A285" s="6">
        <v>46144</v>
      </c>
      <c r="B285" s="7" t="s">
        <v>577</v>
      </c>
      <c r="C285" s="18" t="s">
        <v>590</v>
      </c>
      <c r="D285" s="18" t="s">
        <v>580</v>
      </c>
      <c r="E285" s="18" t="s">
        <v>252</v>
      </c>
      <c r="F285" s="18" t="s">
        <v>579</v>
      </c>
      <c r="G285" s="18"/>
      <c r="H285" s="18" t="s">
        <v>186</v>
      </c>
      <c r="I285" s="47"/>
      <c r="J285" s="18" t="s">
        <v>34</v>
      </c>
      <c r="K285" s="18" t="s">
        <v>186</v>
      </c>
      <c r="L285" s="112"/>
      <c r="M285" s="112"/>
      <c r="N285" s="112"/>
      <c r="O285" s="112"/>
      <c r="P285" s="112"/>
      <c r="Q285" s="69" t="e">
        <f t="shared" si="25"/>
        <v>#DIV/0!</v>
      </c>
      <c r="R285" s="69" t="e">
        <f t="shared" si="25"/>
        <v>#DIV/0!</v>
      </c>
      <c r="S285" s="7"/>
      <c r="T285" s="7"/>
      <c r="U285" s="7"/>
      <c r="V285" s="7"/>
      <c r="W285" s="7"/>
      <c r="Z285" s="112">
        <v>1102</v>
      </c>
      <c r="AA285" s="112">
        <v>245</v>
      </c>
      <c r="AB285" s="112">
        <v>50</v>
      </c>
    </row>
    <row r="286" spans="1:28">
      <c r="A286" s="6">
        <v>46144</v>
      </c>
      <c r="B286" s="7" t="s">
        <v>577</v>
      </c>
      <c r="C286" s="18" t="s">
        <v>589</v>
      </c>
      <c r="D286" s="18" t="s">
        <v>1045</v>
      </c>
      <c r="E286" s="18" t="s">
        <v>252</v>
      </c>
      <c r="F286" s="21" t="s">
        <v>1046</v>
      </c>
      <c r="G286" s="18"/>
      <c r="H286" s="21" t="s">
        <v>1047</v>
      </c>
      <c r="I286" s="29"/>
      <c r="J286" s="18" t="s">
        <v>34</v>
      </c>
      <c r="K286" s="21" t="s">
        <v>1047</v>
      </c>
      <c r="L286" s="112">
        <v>3186</v>
      </c>
      <c r="M286" s="112">
        <v>226</v>
      </c>
      <c r="N286" s="112">
        <v>21</v>
      </c>
      <c r="O286" s="112">
        <v>8</v>
      </c>
      <c r="P286" s="112">
        <v>11</v>
      </c>
      <c r="Q286" s="69">
        <f t="shared" si="25"/>
        <v>7.0935342121782805E-2</v>
      </c>
      <c r="R286" s="69">
        <f t="shared" si="25"/>
        <v>9.2920353982300891E-2</v>
      </c>
      <c r="S286" s="7"/>
      <c r="T286" s="7"/>
      <c r="U286" s="7"/>
      <c r="V286" s="7"/>
      <c r="W286" s="7"/>
      <c r="Z286" s="112">
        <v>2049</v>
      </c>
      <c r="AA286" s="112">
        <v>492</v>
      </c>
      <c r="AB286" s="112">
        <v>65</v>
      </c>
    </row>
    <row r="287" spans="1:28">
      <c r="A287" s="6">
        <v>46144</v>
      </c>
      <c r="B287" s="7" t="s">
        <v>577</v>
      </c>
      <c r="C287" s="18" t="s">
        <v>589</v>
      </c>
      <c r="D287" s="18" t="s">
        <v>1048</v>
      </c>
      <c r="E287" s="18" t="s">
        <v>252</v>
      </c>
      <c r="F287" s="21" t="s">
        <v>1046</v>
      </c>
      <c r="G287" s="18"/>
      <c r="H287" s="21" t="s">
        <v>1049</v>
      </c>
      <c r="I287" s="29"/>
      <c r="J287" s="18" t="s">
        <v>34</v>
      </c>
      <c r="K287" s="21" t="s">
        <v>1049</v>
      </c>
      <c r="L287" s="112">
        <v>603</v>
      </c>
      <c r="M287" s="112">
        <v>7</v>
      </c>
      <c r="N287" s="112">
        <v>3</v>
      </c>
      <c r="O287" s="112">
        <v>0</v>
      </c>
      <c r="P287" s="112">
        <v>2</v>
      </c>
      <c r="Q287" s="69">
        <f t="shared" si="25"/>
        <v>1.1608623548922056E-2</v>
      </c>
      <c r="R287" s="69">
        <f t="shared" si="25"/>
        <v>0.42857142857142855</v>
      </c>
      <c r="S287" s="7"/>
      <c r="T287" s="7"/>
      <c r="U287" s="7"/>
      <c r="V287" s="7"/>
      <c r="W287" s="7"/>
      <c r="Z287" s="112">
        <v>2092</v>
      </c>
      <c r="AA287" s="112">
        <v>387</v>
      </c>
      <c r="AB287" s="112">
        <v>68</v>
      </c>
    </row>
    <row r="288" spans="1:28">
      <c r="A288" s="6">
        <v>46144</v>
      </c>
      <c r="B288" s="7" t="s">
        <v>577</v>
      </c>
      <c r="C288" s="18" t="s">
        <v>589</v>
      </c>
      <c r="D288" s="18" t="s">
        <v>1050</v>
      </c>
      <c r="E288" s="18" t="s">
        <v>252</v>
      </c>
      <c r="F288" s="18" t="s">
        <v>1051</v>
      </c>
      <c r="G288" s="18"/>
      <c r="H288" s="18" t="s">
        <v>149</v>
      </c>
      <c r="I288" s="29"/>
      <c r="J288" s="18" t="s">
        <v>34</v>
      </c>
      <c r="K288" s="18" t="s">
        <v>149</v>
      </c>
      <c r="L288" s="112">
        <v>249</v>
      </c>
      <c r="M288" s="112">
        <v>127</v>
      </c>
      <c r="N288" s="112">
        <v>45</v>
      </c>
      <c r="O288" s="112">
        <v>16</v>
      </c>
      <c r="P288" s="112">
        <v>0</v>
      </c>
      <c r="Q288" s="69">
        <f t="shared" si="25"/>
        <v>0.51004016064257029</v>
      </c>
      <c r="R288" s="69">
        <f t="shared" si="25"/>
        <v>0.3543307086614173</v>
      </c>
      <c r="S288" s="7"/>
      <c r="T288" s="7"/>
      <c r="U288" s="7"/>
      <c r="V288" s="7"/>
      <c r="W288" s="7"/>
      <c r="Z288" s="112">
        <v>420</v>
      </c>
      <c r="AA288" s="112">
        <v>75</v>
      </c>
      <c r="AB288" s="112">
        <v>14</v>
      </c>
    </row>
    <row r="289" spans="1:28" ht="15">
      <c r="A289" s="6">
        <v>46144</v>
      </c>
      <c r="B289" s="7" t="s">
        <v>577</v>
      </c>
      <c r="C289" s="7"/>
      <c r="D289" s="7" t="s">
        <v>1290</v>
      </c>
      <c r="E289" s="7" t="s">
        <v>252</v>
      </c>
      <c r="F289" s="7"/>
      <c r="G289" s="7"/>
      <c r="H289" s="179" t="s">
        <v>1053</v>
      </c>
      <c r="I289" s="47"/>
      <c r="J289" s="7" t="s">
        <v>34</v>
      </c>
      <c r="K289" s="7" t="s">
        <v>170</v>
      </c>
      <c r="L289" s="112">
        <v>1499</v>
      </c>
      <c r="M289" s="112">
        <v>1433</v>
      </c>
      <c r="N289" s="112">
        <v>1009</v>
      </c>
      <c r="O289" s="112">
        <v>0</v>
      </c>
      <c r="P289" s="112">
        <v>1</v>
      </c>
      <c r="Q289" s="69">
        <f t="shared" si="25"/>
        <v>0.95597064709806534</v>
      </c>
      <c r="R289" s="69">
        <f t="shared" si="25"/>
        <v>0.70411723656664338</v>
      </c>
      <c r="S289" s="7"/>
      <c r="T289" s="7"/>
      <c r="U289" s="7"/>
      <c r="V289" s="7"/>
      <c r="W289" s="7"/>
      <c r="Z289" s="112">
        <v>415</v>
      </c>
      <c r="AA289" s="112">
        <v>90</v>
      </c>
      <c r="AB289" s="112">
        <v>8</v>
      </c>
    </row>
    <row r="290" spans="1:28" ht="15">
      <c r="A290" s="6">
        <v>46144</v>
      </c>
      <c r="B290" s="7" t="s">
        <v>577</v>
      </c>
      <c r="C290" s="7"/>
      <c r="D290" s="100" t="s">
        <v>1291</v>
      </c>
      <c r="E290" s="7" t="s">
        <v>252</v>
      </c>
      <c r="F290" s="7"/>
      <c r="G290" s="7"/>
      <c r="H290" s="179" t="s">
        <v>1053</v>
      </c>
      <c r="I290" s="84"/>
      <c r="J290" s="7" t="s">
        <v>34</v>
      </c>
      <c r="K290" s="7" t="s">
        <v>170</v>
      </c>
      <c r="L290" s="112">
        <v>1499</v>
      </c>
      <c r="M290" s="112">
        <v>1430</v>
      </c>
      <c r="N290" s="112">
        <v>438</v>
      </c>
      <c r="O290" s="112">
        <v>0</v>
      </c>
      <c r="P290" s="112">
        <v>1</v>
      </c>
      <c r="Q290" s="69">
        <f t="shared" si="25"/>
        <v>0.95396931287525022</v>
      </c>
      <c r="R290" s="69">
        <f t="shared" si="25"/>
        <v>0.30629370629370628</v>
      </c>
      <c r="S290" s="7"/>
      <c r="T290" s="7"/>
      <c r="U290" s="7"/>
      <c r="V290" s="7"/>
      <c r="W290" s="7"/>
      <c r="Z290">
        <f>SUM(Z280:Z289)</f>
        <v>11070</v>
      </c>
      <c r="AA290">
        <f>SUM(AA280:AA289)</f>
        <v>1973</v>
      </c>
      <c r="AB290">
        <f>SUM(AB280:AB289)</f>
        <v>358</v>
      </c>
    </row>
    <row r="291" spans="1:28" ht="15">
      <c r="A291" s="6">
        <v>46144</v>
      </c>
      <c r="B291" s="7" t="s">
        <v>577</v>
      </c>
      <c r="C291" s="7"/>
      <c r="D291" s="100" t="s">
        <v>1292</v>
      </c>
      <c r="E291" s="7" t="s">
        <v>252</v>
      </c>
      <c r="F291" s="7"/>
      <c r="G291" s="7"/>
      <c r="H291" s="179" t="s">
        <v>1053</v>
      </c>
      <c r="I291" s="84"/>
      <c r="J291" s="7" t="s">
        <v>34</v>
      </c>
      <c r="K291" s="7" t="s">
        <v>170</v>
      </c>
      <c r="L291" s="112">
        <v>1499</v>
      </c>
      <c r="M291" s="112">
        <v>1430</v>
      </c>
      <c r="N291" s="112">
        <v>531</v>
      </c>
      <c r="O291" s="112">
        <v>0</v>
      </c>
      <c r="P291" s="112">
        <v>1</v>
      </c>
      <c r="Q291" s="69">
        <f t="shared" si="25"/>
        <v>0.95396931287525022</v>
      </c>
      <c r="R291" s="69">
        <f t="shared" si="25"/>
        <v>0.37132867132867131</v>
      </c>
      <c r="S291" s="7"/>
      <c r="T291" s="7"/>
      <c r="U291" s="7"/>
      <c r="V291" s="7"/>
      <c r="W291" s="7"/>
    </row>
    <row r="292" spans="1:28" ht="15">
      <c r="A292" s="6">
        <v>46144</v>
      </c>
      <c r="B292" s="7" t="s">
        <v>577</v>
      </c>
      <c r="C292" s="7"/>
      <c r="D292" s="100" t="s">
        <v>1293</v>
      </c>
      <c r="E292" s="7" t="s">
        <v>252</v>
      </c>
      <c r="F292" s="7"/>
      <c r="G292" s="7"/>
      <c r="H292" s="179" t="s">
        <v>1053</v>
      </c>
      <c r="I292" s="84"/>
      <c r="J292" s="7" t="s">
        <v>34</v>
      </c>
      <c r="K292" s="7" t="s">
        <v>170</v>
      </c>
      <c r="L292" s="112">
        <v>1499</v>
      </c>
      <c r="M292" s="112">
        <v>1437</v>
      </c>
      <c r="N292" s="112">
        <v>1087</v>
      </c>
      <c r="O292" s="112">
        <v>0</v>
      </c>
      <c r="P292" s="112">
        <v>1</v>
      </c>
      <c r="Q292" s="69">
        <f t="shared" si="25"/>
        <v>0.95863909272848569</v>
      </c>
      <c r="R292" s="69">
        <f t="shared" si="25"/>
        <v>0.75643702157272097</v>
      </c>
      <c r="S292" s="7"/>
      <c r="T292" s="7"/>
      <c r="U292" s="7"/>
      <c r="V292" s="7"/>
      <c r="W292" s="7"/>
    </row>
    <row r="293" spans="1:28">
      <c r="A293" s="6">
        <v>46144</v>
      </c>
      <c r="B293" s="7" t="s">
        <v>577</v>
      </c>
      <c r="C293" s="7"/>
      <c r="D293" s="7" t="s">
        <v>1294</v>
      </c>
      <c r="E293" s="7" t="s">
        <v>252</v>
      </c>
      <c r="F293" s="7"/>
      <c r="G293" s="7"/>
      <c r="H293" s="7" t="s">
        <v>994</v>
      </c>
      <c r="I293" s="84"/>
      <c r="J293" s="7" t="s">
        <v>34</v>
      </c>
      <c r="K293" s="7" t="s">
        <v>171</v>
      </c>
      <c r="L293" s="112">
        <v>291</v>
      </c>
      <c r="M293" s="112">
        <v>260</v>
      </c>
      <c r="N293" s="112">
        <v>200</v>
      </c>
      <c r="O293" s="112">
        <v>0</v>
      </c>
      <c r="P293" s="112">
        <v>0</v>
      </c>
      <c r="Q293" s="69">
        <f t="shared" si="25"/>
        <v>0.89347079037800692</v>
      </c>
      <c r="R293" s="69">
        <f t="shared" si="25"/>
        <v>0.76923076923076927</v>
      </c>
      <c r="S293" s="7"/>
      <c r="T293" s="7"/>
      <c r="U293" s="7"/>
      <c r="V293" s="7"/>
      <c r="W293" s="7"/>
      <c r="Z293" s="112">
        <v>1854</v>
      </c>
      <c r="AA293" s="112">
        <v>6</v>
      </c>
      <c r="AB293" s="112">
        <v>1</v>
      </c>
    </row>
    <row r="294" spans="1:28">
      <c r="A294" s="6">
        <v>46144</v>
      </c>
      <c r="B294" s="7" t="s">
        <v>577</v>
      </c>
      <c r="C294" s="7"/>
      <c r="D294" s="7" t="s">
        <v>1295</v>
      </c>
      <c r="E294" s="7" t="s">
        <v>252</v>
      </c>
      <c r="F294" s="7"/>
      <c r="G294" s="7"/>
      <c r="H294" s="7" t="s">
        <v>994</v>
      </c>
      <c r="I294" s="84"/>
      <c r="J294" s="7" t="s">
        <v>34</v>
      </c>
      <c r="K294" s="7" t="s">
        <v>171</v>
      </c>
      <c r="L294" s="112">
        <v>291</v>
      </c>
      <c r="M294" s="112">
        <v>260</v>
      </c>
      <c r="N294" s="112">
        <v>180</v>
      </c>
      <c r="O294" s="112">
        <v>0</v>
      </c>
      <c r="P294" s="112">
        <v>0</v>
      </c>
      <c r="Q294" s="69">
        <f t="shared" si="25"/>
        <v>0.89347079037800692</v>
      </c>
      <c r="R294" s="69">
        <f t="shared" si="25"/>
        <v>0.69230769230769229</v>
      </c>
      <c r="S294" s="7"/>
      <c r="T294" s="7"/>
      <c r="U294" s="7"/>
      <c r="V294" s="7"/>
      <c r="W294" s="7"/>
      <c r="Z294" s="112">
        <v>603</v>
      </c>
      <c r="AA294" s="112">
        <v>7</v>
      </c>
      <c r="AB294" s="112">
        <v>3</v>
      </c>
    </row>
    <row r="295" spans="1:28">
      <c r="A295" s="6">
        <v>46144</v>
      </c>
      <c r="B295" s="7" t="s">
        <v>577</v>
      </c>
      <c r="C295" s="7"/>
      <c r="D295" s="7" t="s">
        <v>1296</v>
      </c>
      <c r="E295" s="7" t="s">
        <v>252</v>
      </c>
      <c r="F295" s="7"/>
      <c r="G295" s="7"/>
      <c r="H295" s="7" t="s">
        <v>994</v>
      </c>
      <c r="I295" s="84"/>
      <c r="J295" s="7" t="s">
        <v>34</v>
      </c>
      <c r="K295" s="7" t="s">
        <v>171</v>
      </c>
      <c r="L295" s="112">
        <v>291</v>
      </c>
      <c r="M295" s="112">
        <v>260</v>
      </c>
      <c r="N295" s="112">
        <v>198</v>
      </c>
      <c r="O295" s="112">
        <v>0</v>
      </c>
      <c r="P295" s="112">
        <v>0</v>
      </c>
      <c r="Q295" s="69">
        <f t="shared" si="25"/>
        <v>0.89347079037800692</v>
      </c>
      <c r="R295" s="69">
        <f t="shared" si="25"/>
        <v>0.7615384615384615</v>
      </c>
      <c r="S295" s="7"/>
      <c r="T295" s="7"/>
      <c r="U295" s="7"/>
      <c r="V295" s="7"/>
      <c r="W295" s="7"/>
      <c r="Z295" s="112">
        <v>1038</v>
      </c>
      <c r="AA295" s="112">
        <v>515</v>
      </c>
      <c r="AB295" s="112">
        <v>381</v>
      </c>
    </row>
    <row r="296" spans="1:28">
      <c r="A296" s="6">
        <v>46144</v>
      </c>
      <c r="B296" s="7" t="s">
        <v>577</v>
      </c>
      <c r="C296" s="7"/>
      <c r="D296" s="7" t="s">
        <v>1297</v>
      </c>
      <c r="E296" s="7" t="s">
        <v>252</v>
      </c>
      <c r="F296" s="35"/>
      <c r="G296" s="7"/>
      <c r="H296" s="7" t="s">
        <v>994</v>
      </c>
      <c r="I296" s="84"/>
      <c r="J296" s="7" t="s">
        <v>34</v>
      </c>
      <c r="K296" s="7" t="s">
        <v>171</v>
      </c>
      <c r="L296" s="112">
        <v>291</v>
      </c>
      <c r="M296" s="112">
        <v>259</v>
      </c>
      <c r="N296" s="112">
        <v>188</v>
      </c>
      <c r="O296" s="112">
        <v>0</v>
      </c>
      <c r="P296" s="112">
        <v>0</v>
      </c>
      <c r="Q296" s="69">
        <f t="shared" si="25"/>
        <v>0.89003436426116833</v>
      </c>
      <c r="R296" s="69">
        <f t="shared" si="25"/>
        <v>0.72586872586872586</v>
      </c>
      <c r="S296" s="7"/>
      <c r="T296" s="7"/>
      <c r="U296" s="7"/>
      <c r="V296" s="7"/>
      <c r="W296" s="7"/>
      <c r="Z296" s="112">
        <v>1297</v>
      </c>
      <c r="AA296" s="112">
        <v>157</v>
      </c>
      <c r="AB296" s="112">
        <v>117</v>
      </c>
    </row>
    <row r="297" spans="1:28">
      <c r="A297" s="6">
        <v>46144</v>
      </c>
      <c r="B297" s="7" t="s">
        <v>577</v>
      </c>
      <c r="C297" s="62">
        <v>0.9375</v>
      </c>
      <c r="D297" s="77" t="s">
        <v>1298</v>
      </c>
      <c r="E297" s="7" t="s">
        <v>252</v>
      </c>
      <c r="F297" s="77" t="s">
        <v>428</v>
      </c>
      <c r="G297" s="7" t="s">
        <v>85</v>
      </c>
      <c r="H297" s="7" t="s">
        <v>149</v>
      </c>
      <c r="I297" s="47"/>
      <c r="J297" s="7" t="s">
        <v>34</v>
      </c>
      <c r="K297" s="7" t="s">
        <v>149</v>
      </c>
      <c r="L297" s="112"/>
      <c r="M297" s="112"/>
      <c r="N297" s="112"/>
      <c r="O297" s="112"/>
      <c r="P297" s="112"/>
      <c r="Q297" s="69" t="e">
        <f t="shared" si="25"/>
        <v>#DIV/0!</v>
      </c>
      <c r="R297" s="69" t="e">
        <f t="shared" si="25"/>
        <v>#DIV/0!</v>
      </c>
      <c r="S297" s="7"/>
      <c r="T297" s="7"/>
      <c r="U297" s="7"/>
      <c r="V297" s="7"/>
      <c r="W297" s="7"/>
      <c r="Z297" s="112">
        <v>1767</v>
      </c>
      <c r="AA297" s="112">
        <v>519</v>
      </c>
      <c r="AB297" s="112">
        <v>378</v>
      </c>
    </row>
    <row r="298" spans="1:28">
      <c r="A298" s="6">
        <v>46144</v>
      </c>
      <c r="B298" s="7" t="s">
        <v>577</v>
      </c>
      <c r="C298" s="62" t="s">
        <v>1129</v>
      </c>
      <c r="D298" s="7" t="s">
        <v>1299</v>
      </c>
      <c r="E298" s="7" t="s">
        <v>252</v>
      </c>
      <c r="F298" s="7" t="s">
        <v>334</v>
      </c>
      <c r="G298" s="7" t="s">
        <v>85</v>
      </c>
      <c r="H298" s="7" t="s">
        <v>149</v>
      </c>
      <c r="I298" s="47"/>
      <c r="J298" s="7" t="s">
        <v>34</v>
      </c>
      <c r="K298" s="7" t="s">
        <v>149</v>
      </c>
      <c r="L298" s="112">
        <v>1102</v>
      </c>
      <c r="M298" s="112">
        <v>245</v>
      </c>
      <c r="N298" s="112">
        <v>50</v>
      </c>
      <c r="O298" s="112">
        <v>8</v>
      </c>
      <c r="P298" s="112">
        <v>0</v>
      </c>
      <c r="Q298" s="69">
        <f t="shared" si="25"/>
        <v>0.22232304900181488</v>
      </c>
      <c r="R298" s="69">
        <f t="shared" si="25"/>
        <v>0.20408163265306123</v>
      </c>
      <c r="S298" s="7"/>
      <c r="T298" s="7"/>
      <c r="U298" s="7"/>
      <c r="V298" s="7"/>
      <c r="W298" s="7"/>
      <c r="Z298">
        <f>SUM(Z293:Z297)</f>
        <v>6559</v>
      </c>
      <c r="AA298">
        <f>SUM(AA293:AA297)</f>
        <v>1204</v>
      </c>
      <c r="AB298">
        <f>SUM(AB293:AB297)</f>
        <v>880</v>
      </c>
    </row>
    <row r="299" spans="1:28" ht="16.8">
      <c r="A299" s="6">
        <v>46144</v>
      </c>
      <c r="B299" s="7" t="s">
        <v>577</v>
      </c>
      <c r="C299" s="62">
        <v>0.83333333333333337</v>
      </c>
      <c r="D299" s="77" t="s">
        <v>1300</v>
      </c>
      <c r="E299" s="7" t="s">
        <v>252</v>
      </c>
      <c r="F299" s="77" t="s">
        <v>430</v>
      </c>
      <c r="G299" s="7" t="s">
        <v>85</v>
      </c>
      <c r="H299" s="52" t="s">
        <v>157</v>
      </c>
      <c r="I299" s="47"/>
      <c r="J299" s="7" t="s">
        <v>34</v>
      </c>
      <c r="K299" s="52" t="s">
        <v>157</v>
      </c>
      <c r="L299" s="112">
        <v>2049</v>
      </c>
      <c r="M299" s="112">
        <v>492</v>
      </c>
      <c r="N299" s="112">
        <v>65</v>
      </c>
      <c r="O299" s="112">
        <v>13</v>
      </c>
      <c r="P299" s="112">
        <v>0</v>
      </c>
      <c r="Q299" s="69">
        <f t="shared" si="25"/>
        <v>0.24011713030746706</v>
      </c>
      <c r="R299" s="69">
        <f t="shared" si="25"/>
        <v>0.13211382113821138</v>
      </c>
      <c r="S299" s="7"/>
      <c r="T299" s="7"/>
      <c r="U299" s="7"/>
      <c r="V299" s="7"/>
      <c r="W299" s="7"/>
    </row>
    <row r="300" spans="1:28" ht="16.8">
      <c r="A300" s="6">
        <v>46144</v>
      </c>
      <c r="B300" s="7" t="s">
        <v>577</v>
      </c>
      <c r="C300" s="62">
        <v>0.96875</v>
      </c>
      <c r="D300" s="7" t="s">
        <v>1301</v>
      </c>
      <c r="E300" s="7" t="s">
        <v>252</v>
      </c>
      <c r="F300" s="7" t="s">
        <v>248</v>
      </c>
      <c r="G300" s="7" t="s">
        <v>85</v>
      </c>
      <c r="H300" s="52" t="s">
        <v>157</v>
      </c>
      <c r="I300" s="47"/>
      <c r="J300" s="7" t="s">
        <v>34</v>
      </c>
      <c r="K300" s="52" t="s">
        <v>157</v>
      </c>
      <c r="L300" s="112">
        <v>2092</v>
      </c>
      <c r="M300" s="112">
        <v>387</v>
      </c>
      <c r="N300" s="112">
        <v>68</v>
      </c>
      <c r="O300" s="112">
        <v>14</v>
      </c>
      <c r="P300" s="112">
        <v>0</v>
      </c>
      <c r="Q300" s="69">
        <f t="shared" si="25"/>
        <v>0.18499043977055449</v>
      </c>
      <c r="R300" s="69">
        <f t="shared" si="25"/>
        <v>0.17571059431524547</v>
      </c>
      <c r="S300" s="7"/>
      <c r="T300" s="7"/>
      <c r="U300" s="7"/>
      <c r="V300" s="7"/>
      <c r="W300" s="7"/>
    </row>
    <row r="301" spans="1:28" ht="16.8">
      <c r="A301" s="6">
        <v>46144</v>
      </c>
      <c r="B301" s="7" t="s">
        <v>577</v>
      </c>
      <c r="C301" s="62">
        <v>0.78125</v>
      </c>
      <c r="D301" s="77" t="s">
        <v>1302</v>
      </c>
      <c r="E301" s="7" t="s">
        <v>252</v>
      </c>
      <c r="F301" s="77" t="s">
        <v>432</v>
      </c>
      <c r="G301" s="7" t="s">
        <v>85</v>
      </c>
      <c r="H301" s="52" t="s">
        <v>420</v>
      </c>
      <c r="I301" s="47"/>
      <c r="J301" s="7" t="s">
        <v>34</v>
      </c>
      <c r="K301" s="52" t="s">
        <v>420</v>
      </c>
      <c r="L301" s="112">
        <v>420</v>
      </c>
      <c r="M301" s="112">
        <v>75</v>
      </c>
      <c r="N301" s="112">
        <v>14</v>
      </c>
      <c r="O301" s="112">
        <v>0</v>
      </c>
      <c r="P301" s="112">
        <v>0</v>
      </c>
      <c r="Q301" s="69">
        <f t="shared" si="25"/>
        <v>0.17857142857142858</v>
      </c>
      <c r="R301" s="69">
        <f t="shared" si="25"/>
        <v>0.18666666666666668</v>
      </c>
      <c r="S301" s="7"/>
      <c r="T301" s="7"/>
      <c r="U301" s="7"/>
      <c r="V301" s="7"/>
      <c r="W301" s="7"/>
    </row>
    <row r="302" spans="1:28" ht="16.8">
      <c r="A302" s="6">
        <v>46144</v>
      </c>
      <c r="B302" s="7" t="s">
        <v>577</v>
      </c>
      <c r="C302" s="62" t="s">
        <v>1130</v>
      </c>
      <c r="D302" s="48" t="s">
        <v>1303</v>
      </c>
      <c r="E302" s="35" t="s">
        <v>109</v>
      </c>
      <c r="F302" s="35" t="s">
        <v>150</v>
      </c>
      <c r="G302" s="7" t="s">
        <v>85</v>
      </c>
      <c r="H302" s="180" t="s">
        <v>420</v>
      </c>
      <c r="I302" s="47"/>
      <c r="J302" s="7" t="s">
        <v>34</v>
      </c>
      <c r="K302" s="52" t="s">
        <v>420</v>
      </c>
      <c r="L302" s="112">
        <v>415</v>
      </c>
      <c r="M302" s="112">
        <v>90</v>
      </c>
      <c r="N302" s="112">
        <v>8</v>
      </c>
      <c r="O302" s="112">
        <v>2</v>
      </c>
      <c r="P302" s="112">
        <v>0</v>
      </c>
      <c r="Q302" s="69">
        <f t="shared" si="25"/>
        <v>0.21686746987951808</v>
      </c>
      <c r="R302" s="69">
        <f t="shared" si="25"/>
        <v>8.8888888888888892E-2</v>
      </c>
      <c r="S302" s="7"/>
      <c r="T302" s="7"/>
      <c r="U302" s="7"/>
      <c r="V302" s="7"/>
      <c r="W302" s="7"/>
    </row>
    <row r="303" spans="1:28">
      <c r="A303" s="6">
        <v>46144</v>
      </c>
      <c r="B303" s="7" t="s">
        <v>577</v>
      </c>
      <c r="C303" s="62">
        <v>0.79166666666666663</v>
      </c>
      <c r="D303" s="77" t="s">
        <v>1304</v>
      </c>
      <c r="E303" s="7" t="s">
        <v>252</v>
      </c>
      <c r="F303" s="77" t="s">
        <v>434</v>
      </c>
      <c r="G303" s="7" t="s">
        <v>85</v>
      </c>
      <c r="H303" s="7" t="s">
        <v>121</v>
      </c>
      <c r="I303" s="47"/>
      <c r="J303" s="7" t="s">
        <v>34</v>
      </c>
      <c r="K303" s="7" t="s">
        <v>121</v>
      </c>
      <c r="L303" s="112">
        <v>1038</v>
      </c>
      <c r="M303" s="112">
        <v>515</v>
      </c>
      <c r="N303" s="112">
        <v>381</v>
      </c>
      <c r="O303" s="112">
        <v>0</v>
      </c>
      <c r="P303" s="112">
        <v>0</v>
      </c>
      <c r="Q303" s="69">
        <f t="shared" si="25"/>
        <v>0.49614643545279385</v>
      </c>
      <c r="R303" s="69">
        <f t="shared" si="25"/>
        <v>0.73980582524271843</v>
      </c>
      <c r="S303" s="7"/>
      <c r="T303" s="7"/>
      <c r="U303" s="7"/>
      <c r="V303" s="7"/>
      <c r="W303" s="7"/>
    </row>
    <row r="304" spans="1:28" ht="16.8">
      <c r="A304" s="6">
        <v>46144</v>
      </c>
      <c r="B304" s="7" t="s">
        <v>577</v>
      </c>
      <c r="C304" s="64">
        <v>0.85416666666666663</v>
      </c>
      <c r="D304" s="7" t="s">
        <v>1305</v>
      </c>
      <c r="E304" s="7" t="s">
        <v>252</v>
      </c>
      <c r="F304" s="7" t="s">
        <v>410</v>
      </c>
      <c r="G304" s="7" t="s">
        <v>85</v>
      </c>
      <c r="H304" s="53" t="s">
        <v>210</v>
      </c>
      <c r="I304" s="47"/>
      <c r="J304" s="35" t="s">
        <v>34</v>
      </c>
      <c r="K304" s="53" t="s">
        <v>210</v>
      </c>
      <c r="L304" s="112">
        <v>1297</v>
      </c>
      <c r="M304" s="112">
        <v>157</v>
      </c>
      <c r="N304" s="112">
        <v>117</v>
      </c>
      <c r="O304" s="112">
        <v>0</v>
      </c>
      <c r="P304" s="112">
        <v>0</v>
      </c>
      <c r="Q304" s="69">
        <f t="shared" si="25"/>
        <v>0.12104857363145721</v>
      </c>
      <c r="R304" s="69">
        <f t="shared" si="25"/>
        <v>0.74522292993630568</v>
      </c>
      <c r="S304" s="7"/>
      <c r="T304" s="7"/>
      <c r="U304" s="7"/>
      <c r="V304" s="7"/>
      <c r="W304" s="7"/>
    </row>
    <row r="305" spans="1:28" ht="16.8">
      <c r="A305" s="6">
        <v>46144</v>
      </c>
      <c r="B305" s="7" t="s">
        <v>577</v>
      </c>
      <c r="C305" s="175">
        <v>0.94791666666666663</v>
      </c>
      <c r="D305" s="77" t="s">
        <v>1306</v>
      </c>
      <c r="E305" s="7" t="s">
        <v>252</v>
      </c>
      <c r="F305" s="77" t="s">
        <v>430</v>
      </c>
      <c r="G305" s="7" t="s">
        <v>85</v>
      </c>
      <c r="H305" s="53" t="s">
        <v>210</v>
      </c>
      <c r="I305" s="98"/>
      <c r="J305" s="35" t="s">
        <v>34</v>
      </c>
      <c r="K305" s="53" t="s">
        <v>210</v>
      </c>
      <c r="L305" s="112">
        <v>1767</v>
      </c>
      <c r="M305" s="112">
        <v>519</v>
      </c>
      <c r="N305" s="112">
        <v>378</v>
      </c>
      <c r="O305" s="112">
        <v>1</v>
      </c>
      <c r="P305" s="112">
        <v>0</v>
      </c>
      <c r="Q305" s="69">
        <f t="shared" si="25"/>
        <v>0.29371816638370118</v>
      </c>
      <c r="R305" s="69">
        <f t="shared" si="25"/>
        <v>0.72832369942196529</v>
      </c>
      <c r="S305" s="7"/>
      <c r="T305" s="7"/>
      <c r="U305" s="7"/>
      <c r="V305" s="7"/>
      <c r="W305" s="7"/>
    </row>
    <row r="306" spans="1:28" ht="6.6" customHeight="1">
      <c r="A306" s="22"/>
      <c r="B306" s="23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5"/>
      <c r="R306" s="25"/>
      <c r="S306" s="24"/>
      <c r="T306" s="24"/>
      <c r="U306" s="24"/>
      <c r="V306" s="25"/>
      <c r="W306" s="26"/>
    </row>
    <row r="307" spans="1:28">
      <c r="A307" s="6">
        <v>46145</v>
      </c>
      <c r="B307" s="7" t="s">
        <v>578</v>
      </c>
      <c r="C307" s="18" t="s">
        <v>589</v>
      </c>
      <c r="D307" s="18" t="s">
        <v>185</v>
      </c>
      <c r="E307" s="18" t="s">
        <v>252</v>
      </c>
      <c r="F307" s="18" t="s">
        <v>110</v>
      </c>
      <c r="G307" s="18"/>
      <c r="H307" s="18" t="s">
        <v>106</v>
      </c>
      <c r="I307" s="47"/>
      <c r="J307" s="18" t="s">
        <v>34</v>
      </c>
      <c r="K307" s="18" t="s">
        <v>106</v>
      </c>
      <c r="L307" s="112">
        <v>901</v>
      </c>
      <c r="M307" s="112">
        <v>17</v>
      </c>
      <c r="N307" s="112">
        <v>8</v>
      </c>
      <c r="O307" s="112">
        <v>1</v>
      </c>
      <c r="P307" s="112">
        <v>2</v>
      </c>
      <c r="Q307" s="69">
        <f t="shared" ref="Q307:R329" si="26">M307/L307</f>
        <v>1.8867924528301886E-2</v>
      </c>
      <c r="R307" s="69">
        <f t="shared" si="26"/>
        <v>0.47058823529411764</v>
      </c>
      <c r="S307" s="7"/>
      <c r="T307" s="112"/>
      <c r="U307" s="112"/>
      <c r="V307" s="112"/>
      <c r="W307" s="7"/>
    </row>
    <row r="308" spans="1:28">
      <c r="A308" s="6">
        <v>46145</v>
      </c>
      <c r="B308" s="7" t="s">
        <v>578</v>
      </c>
      <c r="C308" s="18" t="s">
        <v>590</v>
      </c>
      <c r="D308" s="18" t="s">
        <v>580</v>
      </c>
      <c r="E308" s="18" t="s">
        <v>252</v>
      </c>
      <c r="F308" s="18" t="s">
        <v>579</v>
      </c>
      <c r="G308" s="18"/>
      <c r="H308" s="18" t="s">
        <v>106</v>
      </c>
      <c r="I308" s="47"/>
      <c r="J308" s="18" t="s">
        <v>34</v>
      </c>
      <c r="K308" s="18" t="s">
        <v>106</v>
      </c>
      <c r="L308" s="112"/>
      <c r="M308" s="112"/>
      <c r="N308" s="112"/>
      <c r="O308" s="112"/>
      <c r="P308" s="112"/>
      <c r="Q308" s="69" t="e">
        <f t="shared" si="26"/>
        <v>#DIV/0!</v>
      </c>
      <c r="R308" s="69" t="e">
        <f t="shared" si="26"/>
        <v>#DIV/0!</v>
      </c>
      <c r="S308" s="7"/>
      <c r="T308" s="112"/>
      <c r="U308" s="112"/>
      <c r="V308" s="112"/>
      <c r="W308" s="7"/>
    </row>
    <row r="309" spans="1:28">
      <c r="A309" s="6">
        <v>46145</v>
      </c>
      <c r="B309" s="7" t="s">
        <v>578</v>
      </c>
      <c r="C309" s="18"/>
      <c r="D309" s="18" t="s">
        <v>144</v>
      </c>
      <c r="E309" s="18" t="s">
        <v>252</v>
      </c>
      <c r="F309" s="18" t="s">
        <v>145</v>
      </c>
      <c r="G309" s="18"/>
      <c r="H309" s="18" t="s">
        <v>157</v>
      </c>
      <c r="I309" s="47"/>
      <c r="J309" s="18" t="s">
        <v>34</v>
      </c>
      <c r="K309" s="18" t="s">
        <v>157</v>
      </c>
      <c r="L309" s="112">
        <v>372</v>
      </c>
      <c r="M309" s="112">
        <v>167</v>
      </c>
      <c r="N309" s="112">
        <v>35</v>
      </c>
      <c r="O309" s="112">
        <v>8</v>
      </c>
      <c r="P309" s="112">
        <v>0</v>
      </c>
      <c r="Q309" s="69">
        <f t="shared" si="26"/>
        <v>0.44892473118279569</v>
      </c>
      <c r="R309" s="69">
        <f t="shared" si="26"/>
        <v>0.20958083832335328</v>
      </c>
      <c r="S309" s="7"/>
      <c r="T309" s="112"/>
      <c r="U309" s="112"/>
      <c r="V309" s="112"/>
      <c r="W309" s="7"/>
    </row>
    <row r="310" spans="1:28">
      <c r="A310" s="6">
        <v>46145</v>
      </c>
      <c r="B310" s="7" t="s">
        <v>578</v>
      </c>
      <c r="C310" s="18"/>
      <c r="D310" s="18" t="s">
        <v>146</v>
      </c>
      <c r="E310" s="18" t="s">
        <v>252</v>
      </c>
      <c r="F310" s="18" t="s">
        <v>147</v>
      </c>
      <c r="G310" s="18"/>
      <c r="H310" s="18" t="s">
        <v>149</v>
      </c>
      <c r="I310" s="47"/>
      <c r="J310" s="18" t="s">
        <v>34</v>
      </c>
      <c r="K310" s="18" t="s">
        <v>149</v>
      </c>
      <c r="L310" s="112">
        <v>256</v>
      </c>
      <c r="M310" s="112">
        <v>110</v>
      </c>
      <c r="N310" s="112">
        <v>26</v>
      </c>
      <c r="O310" s="112">
        <v>3</v>
      </c>
      <c r="P310" s="112">
        <v>0</v>
      </c>
      <c r="Q310" s="69">
        <f t="shared" si="26"/>
        <v>0.4296875</v>
      </c>
      <c r="R310" s="69">
        <f t="shared" si="26"/>
        <v>0.23636363636363636</v>
      </c>
      <c r="S310" s="7"/>
      <c r="T310" s="112"/>
      <c r="U310" s="112"/>
      <c r="V310" s="112"/>
      <c r="W310" s="7"/>
    </row>
    <row r="311" spans="1:28">
      <c r="A311" s="6">
        <v>46145</v>
      </c>
      <c r="B311" s="7" t="s">
        <v>578</v>
      </c>
      <c r="C311" s="18" t="s">
        <v>589</v>
      </c>
      <c r="D311" s="18" t="s">
        <v>187</v>
      </c>
      <c r="E311" s="18" t="s">
        <v>252</v>
      </c>
      <c r="F311" s="18" t="s">
        <v>188</v>
      </c>
      <c r="G311" s="18"/>
      <c r="H311" s="18" t="s">
        <v>186</v>
      </c>
      <c r="I311" s="47"/>
      <c r="J311" s="18" t="s">
        <v>34</v>
      </c>
      <c r="K311" s="18" t="s">
        <v>186</v>
      </c>
      <c r="L311" s="112">
        <v>1841</v>
      </c>
      <c r="M311" s="112">
        <v>8</v>
      </c>
      <c r="N311" s="112">
        <v>1</v>
      </c>
      <c r="O311" s="112">
        <v>0</v>
      </c>
      <c r="P311" s="112">
        <v>4</v>
      </c>
      <c r="Q311" s="69">
        <f t="shared" si="26"/>
        <v>4.3454644215100485E-3</v>
      </c>
      <c r="R311" s="69">
        <f t="shared" si="26"/>
        <v>0.125</v>
      </c>
      <c r="S311" s="7"/>
      <c r="T311" s="112"/>
      <c r="U311" s="112"/>
      <c r="V311" s="112"/>
      <c r="W311" s="7"/>
      <c r="Z311" s="112">
        <v>901</v>
      </c>
      <c r="AA311" s="112">
        <v>17</v>
      </c>
      <c r="AB311" s="112">
        <v>8</v>
      </c>
    </row>
    <row r="312" spans="1:28">
      <c r="A312" s="6">
        <v>46145</v>
      </c>
      <c r="B312" s="7" t="s">
        <v>578</v>
      </c>
      <c r="C312" s="18" t="s">
        <v>590</v>
      </c>
      <c r="D312" s="18" t="s">
        <v>580</v>
      </c>
      <c r="E312" s="18" t="s">
        <v>252</v>
      </c>
      <c r="F312" s="18" t="s">
        <v>579</v>
      </c>
      <c r="G312" s="18"/>
      <c r="H312" s="18" t="s">
        <v>186</v>
      </c>
      <c r="I312" s="47"/>
      <c r="J312" s="18" t="s">
        <v>34</v>
      </c>
      <c r="K312" s="18" t="s">
        <v>186</v>
      </c>
      <c r="L312" s="112"/>
      <c r="M312" s="112"/>
      <c r="N312" s="112"/>
      <c r="O312" s="112"/>
      <c r="P312" s="112"/>
      <c r="Q312" s="69" t="e">
        <f t="shared" si="26"/>
        <v>#DIV/0!</v>
      </c>
      <c r="R312" s="69" t="e">
        <f t="shared" si="26"/>
        <v>#DIV/0!</v>
      </c>
      <c r="S312" s="7"/>
      <c r="T312" s="7"/>
      <c r="U312" s="7"/>
      <c r="V312" s="7"/>
      <c r="W312" s="7"/>
      <c r="Z312" s="112">
        <v>372</v>
      </c>
      <c r="AA312" s="112">
        <v>167</v>
      </c>
      <c r="AB312" s="112">
        <v>35</v>
      </c>
    </row>
    <row r="313" spans="1:28">
      <c r="A313" s="6">
        <v>46145</v>
      </c>
      <c r="B313" s="7" t="s">
        <v>578</v>
      </c>
      <c r="C313" s="18" t="s">
        <v>589</v>
      </c>
      <c r="D313" s="18" t="s">
        <v>1045</v>
      </c>
      <c r="E313" s="18" t="s">
        <v>252</v>
      </c>
      <c r="F313" s="21" t="s">
        <v>1046</v>
      </c>
      <c r="G313" s="18"/>
      <c r="H313" s="21" t="s">
        <v>1047</v>
      </c>
      <c r="I313" s="29"/>
      <c r="J313" s="18" t="s">
        <v>34</v>
      </c>
      <c r="K313" s="21" t="s">
        <v>1047</v>
      </c>
      <c r="L313" s="112">
        <v>3151</v>
      </c>
      <c r="M313" s="112">
        <v>218</v>
      </c>
      <c r="N313" s="112">
        <v>21</v>
      </c>
      <c r="O313" s="112">
        <v>6</v>
      </c>
      <c r="P313" s="112">
        <v>5</v>
      </c>
      <c r="Q313" s="69">
        <f t="shared" si="26"/>
        <v>6.918438590923516E-2</v>
      </c>
      <c r="R313" s="69">
        <f t="shared" si="26"/>
        <v>9.6330275229357804E-2</v>
      </c>
      <c r="S313" s="7"/>
      <c r="T313" s="7"/>
      <c r="U313" s="7"/>
      <c r="V313" s="7"/>
      <c r="W313" s="7"/>
      <c r="Z313" s="112">
        <v>256</v>
      </c>
      <c r="AA313" s="112">
        <v>110</v>
      </c>
      <c r="AB313" s="112">
        <v>26</v>
      </c>
    </row>
    <row r="314" spans="1:28">
      <c r="A314" s="6">
        <v>46145</v>
      </c>
      <c r="B314" s="7" t="s">
        <v>578</v>
      </c>
      <c r="C314" s="18" t="s">
        <v>589</v>
      </c>
      <c r="D314" s="18" t="s">
        <v>1048</v>
      </c>
      <c r="E314" s="18" t="s">
        <v>252</v>
      </c>
      <c r="F314" s="21" t="s">
        <v>1046</v>
      </c>
      <c r="G314" s="18"/>
      <c r="H314" s="21" t="s">
        <v>1049</v>
      </c>
      <c r="I314" s="29"/>
      <c r="J314" s="18" t="s">
        <v>34</v>
      </c>
      <c r="K314" s="21" t="s">
        <v>1049</v>
      </c>
      <c r="L314" s="112">
        <v>548</v>
      </c>
      <c r="M314" s="112">
        <v>4</v>
      </c>
      <c r="N314" s="112">
        <v>1</v>
      </c>
      <c r="O314" s="112">
        <v>0</v>
      </c>
      <c r="P314" s="112">
        <v>0</v>
      </c>
      <c r="Q314" s="69">
        <f t="shared" si="26"/>
        <v>7.2992700729927005E-3</v>
      </c>
      <c r="R314" s="69">
        <f t="shared" si="26"/>
        <v>0.25</v>
      </c>
      <c r="S314" s="7"/>
      <c r="T314" s="7"/>
      <c r="U314" s="7"/>
      <c r="V314" s="7"/>
      <c r="W314" s="7"/>
      <c r="Z314" s="112">
        <v>3151</v>
      </c>
      <c r="AA314" s="112">
        <v>218</v>
      </c>
      <c r="AB314" s="112">
        <v>21</v>
      </c>
    </row>
    <row r="315" spans="1:28">
      <c r="A315" s="6">
        <v>46145</v>
      </c>
      <c r="B315" s="7" t="s">
        <v>578</v>
      </c>
      <c r="C315" s="18" t="s">
        <v>589</v>
      </c>
      <c r="D315" s="18" t="s">
        <v>1050</v>
      </c>
      <c r="E315" s="18" t="s">
        <v>252</v>
      </c>
      <c r="F315" s="18" t="s">
        <v>1051</v>
      </c>
      <c r="G315" s="18"/>
      <c r="H315" s="18" t="s">
        <v>149</v>
      </c>
      <c r="I315" s="29"/>
      <c r="J315" s="18" t="s">
        <v>34</v>
      </c>
      <c r="K315" s="18" t="s">
        <v>149</v>
      </c>
      <c r="L315" s="112">
        <v>253</v>
      </c>
      <c r="M315" s="112">
        <v>114</v>
      </c>
      <c r="N315" s="112">
        <v>33</v>
      </c>
      <c r="O315" s="112">
        <v>2</v>
      </c>
      <c r="P315" s="112">
        <v>0</v>
      </c>
      <c r="Q315" s="69">
        <f t="shared" si="26"/>
        <v>0.45059288537549408</v>
      </c>
      <c r="R315" s="69">
        <f t="shared" si="26"/>
        <v>0.28947368421052633</v>
      </c>
      <c r="S315" s="7"/>
      <c r="T315" s="7"/>
      <c r="U315" s="7"/>
      <c r="V315" s="7"/>
      <c r="W315" s="7"/>
      <c r="Z315" s="112">
        <v>253</v>
      </c>
      <c r="AA315" s="112">
        <v>114</v>
      </c>
      <c r="AB315" s="112">
        <v>33</v>
      </c>
    </row>
    <row r="316" spans="1:28" ht="15">
      <c r="A316" s="6">
        <v>46145</v>
      </c>
      <c r="B316" s="7" t="s">
        <v>578</v>
      </c>
      <c r="C316" s="7"/>
      <c r="D316" s="7" t="s">
        <v>1307</v>
      </c>
      <c r="E316" s="7" t="s">
        <v>252</v>
      </c>
      <c r="F316" s="7"/>
      <c r="G316" s="7"/>
      <c r="H316" s="179" t="s">
        <v>1053</v>
      </c>
      <c r="I316" s="47"/>
      <c r="J316" s="7" t="s">
        <v>34</v>
      </c>
      <c r="K316" s="7" t="s">
        <v>170</v>
      </c>
      <c r="L316" s="112">
        <v>1499</v>
      </c>
      <c r="M316" s="112">
        <v>1439</v>
      </c>
      <c r="N316" s="112">
        <v>1091</v>
      </c>
      <c r="O316" s="112">
        <v>0</v>
      </c>
      <c r="P316" s="112">
        <v>1</v>
      </c>
      <c r="Q316" s="69">
        <f t="shared" si="26"/>
        <v>0.9599733155436958</v>
      </c>
      <c r="R316" s="69">
        <f t="shared" si="26"/>
        <v>0.75816539263377347</v>
      </c>
      <c r="S316" s="7"/>
      <c r="T316" s="7"/>
      <c r="U316" s="7"/>
      <c r="V316" s="7"/>
      <c r="W316" s="7"/>
      <c r="Z316" s="112">
        <v>1289</v>
      </c>
      <c r="AA316" s="112">
        <v>326</v>
      </c>
      <c r="AB316" s="112">
        <v>34</v>
      </c>
    </row>
    <row r="317" spans="1:28" ht="15">
      <c r="A317" s="6">
        <v>46145</v>
      </c>
      <c r="B317" s="7" t="s">
        <v>578</v>
      </c>
      <c r="C317" s="7"/>
      <c r="D317" s="100" t="s">
        <v>1308</v>
      </c>
      <c r="E317" s="7" t="s">
        <v>252</v>
      </c>
      <c r="F317" s="7"/>
      <c r="G317" s="7"/>
      <c r="H317" s="179" t="s">
        <v>1053</v>
      </c>
      <c r="I317" s="84"/>
      <c r="J317" s="7" t="s">
        <v>34</v>
      </c>
      <c r="K317" s="7" t="s">
        <v>170</v>
      </c>
      <c r="L317" s="112">
        <v>1499</v>
      </c>
      <c r="M317" s="112">
        <v>1440</v>
      </c>
      <c r="N317" s="112">
        <v>1089</v>
      </c>
      <c r="O317" s="112">
        <v>0</v>
      </c>
      <c r="P317" s="112">
        <v>1</v>
      </c>
      <c r="Q317" s="69">
        <f t="shared" si="26"/>
        <v>0.96064042695130092</v>
      </c>
      <c r="R317" s="69">
        <f t="shared" si="26"/>
        <v>0.75624999999999998</v>
      </c>
      <c r="S317" s="7"/>
      <c r="T317" s="7"/>
      <c r="U317" s="7"/>
      <c r="V317" s="7"/>
      <c r="W317" s="7"/>
      <c r="Z317" s="112">
        <v>1289</v>
      </c>
      <c r="AA317" s="112">
        <v>195</v>
      </c>
      <c r="AB317" s="112">
        <v>17</v>
      </c>
    </row>
    <row r="318" spans="1:28" ht="15">
      <c r="A318" s="6">
        <v>46145</v>
      </c>
      <c r="B318" s="7" t="s">
        <v>578</v>
      </c>
      <c r="C318" s="7"/>
      <c r="D318" s="100" t="s">
        <v>1309</v>
      </c>
      <c r="E318" s="7" t="s">
        <v>252</v>
      </c>
      <c r="F318" s="7"/>
      <c r="G318" s="7"/>
      <c r="H318" s="179" t="s">
        <v>1053</v>
      </c>
      <c r="I318" s="84"/>
      <c r="J318" s="7" t="s">
        <v>34</v>
      </c>
      <c r="K318" s="7" t="s">
        <v>170</v>
      </c>
      <c r="L318" s="112">
        <v>1499</v>
      </c>
      <c r="M318" s="112">
        <v>1441</v>
      </c>
      <c r="N318" s="112">
        <v>1106</v>
      </c>
      <c r="O318" s="112">
        <v>0</v>
      </c>
      <c r="P318" s="112">
        <v>1</v>
      </c>
      <c r="Q318" s="69">
        <f t="shared" si="26"/>
        <v>0.96130753835890592</v>
      </c>
      <c r="R318" s="69">
        <f t="shared" si="26"/>
        <v>0.76752255378209577</v>
      </c>
      <c r="S318" s="7"/>
      <c r="T318" s="7"/>
      <c r="U318" s="7"/>
      <c r="V318" s="7"/>
      <c r="W318" s="7"/>
      <c r="Z318" s="112">
        <v>2337</v>
      </c>
      <c r="AA318" s="112">
        <v>393</v>
      </c>
      <c r="AB318" s="112">
        <v>54</v>
      </c>
    </row>
    <row r="319" spans="1:28" ht="15">
      <c r="A319" s="6">
        <v>46145</v>
      </c>
      <c r="B319" s="7" t="s">
        <v>578</v>
      </c>
      <c r="C319" s="7"/>
      <c r="D319" s="100" t="s">
        <v>1310</v>
      </c>
      <c r="E319" s="7" t="s">
        <v>252</v>
      </c>
      <c r="F319" s="7"/>
      <c r="G319" s="7"/>
      <c r="H319" s="179" t="s">
        <v>1053</v>
      </c>
      <c r="I319" s="84"/>
      <c r="J319" s="7" t="s">
        <v>34</v>
      </c>
      <c r="K319" s="7" t="s">
        <v>170</v>
      </c>
      <c r="L319" s="112">
        <v>1499</v>
      </c>
      <c r="M319" s="112">
        <v>1439</v>
      </c>
      <c r="N319" s="112">
        <v>1051</v>
      </c>
      <c r="O319" s="112">
        <v>0</v>
      </c>
      <c r="P319" s="112">
        <v>1</v>
      </c>
      <c r="Q319" s="69">
        <f t="shared" si="26"/>
        <v>0.9599733155436958</v>
      </c>
      <c r="R319" s="69">
        <f t="shared" si="26"/>
        <v>0.73036831132731062</v>
      </c>
      <c r="S319" s="7"/>
      <c r="T319" s="7"/>
      <c r="U319" s="7"/>
      <c r="V319" s="7"/>
      <c r="W319" s="7"/>
      <c r="Z319" s="112">
        <v>2372</v>
      </c>
      <c r="AA319" s="112">
        <v>561</v>
      </c>
      <c r="AB319" s="112">
        <v>88</v>
      </c>
    </row>
    <row r="320" spans="1:28">
      <c r="A320" s="6">
        <v>46145</v>
      </c>
      <c r="B320" s="7" t="s">
        <v>578</v>
      </c>
      <c r="C320" s="7"/>
      <c r="D320" s="7" t="s">
        <v>1311</v>
      </c>
      <c r="E320" s="7" t="s">
        <v>252</v>
      </c>
      <c r="F320" s="7"/>
      <c r="G320" s="7"/>
      <c r="H320" s="7" t="s">
        <v>994</v>
      </c>
      <c r="I320" s="84"/>
      <c r="J320" s="7" t="s">
        <v>34</v>
      </c>
      <c r="K320" s="7" t="s">
        <v>171</v>
      </c>
      <c r="L320" s="112">
        <v>291</v>
      </c>
      <c r="M320" s="112">
        <v>261</v>
      </c>
      <c r="N320" s="112">
        <v>192</v>
      </c>
      <c r="O320" s="112">
        <v>0</v>
      </c>
      <c r="P320" s="112">
        <v>0</v>
      </c>
      <c r="Q320" s="69">
        <f t="shared" si="26"/>
        <v>0.89690721649484539</v>
      </c>
      <c r="R320" s="69">
        <f t="shared" si="26"/>
        <v>0.73563218390804597</v>
      </c>
      <c r="S320" s="7"/>
      <c r="T320" s="7"/>
      <c r="U320" s="7"/>
      <c r="V320" s="7"/>
      <c r="W320" s="7"/>
      <c r="Z320" s="112">
        <v>441</v>
      </c>
      <c r="AA320" s="112">
        <v>61</v>
      </c>
      <c r="AB320" s="112">
        <v>9</v>
      </c>
    </row>
    <row r="321" spans="1:28">
      <c r="A321" s="6">
        <v>46145</v>
      </c>
      <c r="B321" s="7" t="s">
        <v>578</v>
      </c>
      <c r="C321" s="7"/>
      <c r="D321" s="7" t="s">
        <v>1312</v>
      </c>
      <c r="E321" s="7" t="s">
        <v>252</v>
      </c>
      <c r="F321" s="7"/>
      <c r="G321" s="7"/>
      <c r="H321" s="7" t="s">
        <v>994</v>
      </c>
      <c r="I321" s="84"/>
      <c r="J321" s="7" t="s">
        <v>34</v>
      </c>
      <c r="K321" s="7" t="s">
        <v>171</v>
      </c>
      <c r="L321" s="112">
        <v>291</v>
      </c>
      <c r="M321" s="112">
        <v>260</v>
      </c>
      <c r="N321" s="112">
        <v>188</v>
      </c>
      <c r="O321" s="112">
        <v>0</v>
      </c>
      <c r="P321" s="112">
        <v>0</v>
      </c>
      <c r="Q321" s="69">
        <f t="shared" si="26"/>
        <v>0.89347079037800692</v>
      </c>
      <c r="R321" s="69">
        <f t="shared" si="26"/>
        <v>0.72307692307692306</v>
      </c>
      <c r="S321" s="7"/>
      <c r="T321" s="7"/>
      <c r="U321" s="7"/>
      <c r="V321" s="7"/>
      <c r="W321" s="7"/>
      <c r="Z321" s="112">
        <v>440</v>
      </c>
      <c r="AA321" s="112">
        <v>121</v>
      </c>
      <c r="AB321" s="112">
        <v>22</v>
      </c>
    </row>
    <row r="322" spans="1:28">
      <c r="A322" s="6">
        <v>46145</v>
      </c>
      <c r="B322" s="7" t="s">
        <v>578</v>
      </c>
      <c r="C322" s="7"/>
      <c r="D322" s="7" t="s">
        <v>1313</v>
      </c>
      <c r="E322" s="7" t="s">
        <v>252</v>
      </c>
      <c r="F322" s="7"/>
      <c r="G322" s="7"/>
      <c r="H322" s="7" t="s">
        <v>994</v>
      </c>
      <c r="I322" s="84"/>
      <c r="J322" s="7" t="s">
        <v>34</v>
      </c>
      <c r="K322" s="7" t="s">
        <v>171</v>
      </c>
      <c r="L322" s="112">
        <v>291</v>
      </c>
      <c r="M322" s="112">
        <v>257</v>
      </c>
      <c r="N322" s="112">
        <v>191</v>
      </c>
      <c r="O322" s="112">
        <v>0</v>
      </c>
      <c r="P322" s="112">
        <v>0</v>
      </c>
      <c r="Q322" s="69">
        <f t="shared" si="26"/>
        <v>0.88316151202749138</v>
      </c>
      <c r="R322" s="69">
        <f t="shared" si="26"/>
        <v>0.74319066147859925</v>
      </c>
      <c r="S322" s="7"/>
      <c r="T322" s="7"/>
      <c r="U322" s="7"/>
      <c r="V322" s="7"/>
      <c r="W322" s="7"/>
      <c r="Z322">
        <f>SUM(Z311:Z321)</f>
        <v>13101</v>
      </c>
      <c r="AA322">
        <f>SUM(AA311:AA321)</f>
        <v>2283</v>
      </c>
      <c r="AB322">
        <f>SUM(AB311:AB321)</f>
        <v>347</v>
      </c>
    </row>
    <row r="323" spans="1:28">
      <c r="A323" s="6">
        <v>46145</v>
      </c>
      <c r="B323" s="7" t="s">
        <v>578</v>
      </c>
      <c r="C323" s="7"/>
      <c r="D323" s="7" t="s">
        <v>1314</v>
      </c>
      <c r="E323" s="7" t="s">
        <v>252</v>
      </c>
      <c r="F323" s="35"/>
      <c r="G323" s="7"/>
      <c r="H323" s="7" t="s">
        <v>994</v>
      </c>
      <c r="I323" s="84"/>
      <c r="J323" s="7" t="s">
        <v>34</v>
      </c>
      <c r="K323" s="7" t="s">
        <v>171</v>
      </c>
      <c r="L323" s="112">
        <v>291</v>
      </c>
      <c r="M323" s="112">
        <v>260</v>
      </c>
      <c r="N323" s="112">
        <v>195</v>
      </c>
      <c r="O323" s="112">
        <v>0</v>
      </c>
      <c r="P323" s="112">
        <v>0</v>
      </c>
      <c r="Q323" s="69">
        <f t="shared" si="26"/>
        <v>0.89347079037800692</v>
      </c>
      <c r="R323" s="69">
        <f t="shared" si="26"/>
        <v>0.75</v>
      </c>
      <c r="S323" s="7"/>
      <c r="T323" s="7"/>
      <c r="U323" s="7"/>
      <c r="V323" s="7"/>
      <c r="W323" s="7"/>
    </row>
    <row r="324" spans="1:28">
      <c r="A324" s="6">
        <v>46145</v>
      </c>
      <c r="B324" s="7" t="s">
        <v>578</v>
      </c>
      <c r="C324" s="7"/>
      <c r="D324" s="7" t="s">
        <v>1315</v>
      </c>
      <c r="E324" s="7" t="s">
        <v>252</v>
      </c>
      <c r="F324" s="35"/>
      <c r="G324" s="7"/>
      <c r="H324" s="7" t="s">
        <v>994</v>
      </c>
      <c r="I324" s="84"/>
      <c r="J324" s="7" t="s">
        <v>34</v>
      </c>
      <c r="K324" s="7" t="s">
        <v>171</v>
      </c>
      <c r="L324" s="112">
        <v>291</v>
      </c>
      <c r="M324" s="112">
        <v>260</v>
      </c>
      <c r="N324" s="112">
        <v>200</v>
      </c>
      <c r="O324" s="112">
        <v>0</v>
      </c>
      <c r="P324" s="112">
        <v>0</v>
      </c>
      <c r="Q324" s="69">
        <f t="shared" si="26"/>
        <v>0.89347079037800692</v>
      </c>
      <c r="R324" s="69">
        <f t="shared" si="26"/>
        <v>0.76923076923076927</v>
      </c>
      <c r="S324" s="7"/>
      <c r="T324" s="7"/>
      <c r="U324" s="7"/>
      <c r="V324" s="7"/>
      <c r="W324" s="7"/>
      <c r="Z324" s="112">
        <v>1841</v>
      </c>
      <c r="AA324" s="112">
        <v>8</v>
      </c>
      <c r="AB324" s="112">
        <v>1</v>
      </c>
    </row>
    <row r="325" spans="1:28">
      <c r="A325" s="6">
        <v>46145</v>
      </c>
      <c r="B325" s="7" t="s">
        <v>578</v>
      </c>
      <c r="C325" s="62">
        <v>0.9375</v>
      </c>
      <c r="D325" s="7" t="s">
        <v>1316</v>
      </c>
      <c r="E325" s="7" t="s">
        <v>252</v>
      </c>
      <c r="F325" s="7" t="s">
        <v>150</v>
      </c>
      <c r="G325" s="7" t="s">
        <v>85</v>
      </c>
      <c r="H325" s="7" t="s">
        <v>149</v>
      </c>
      <c r="I325" s="47"/>
      <c r="J325" s="7" t="s">
        <v>34</v>
      </c>
      <c r="K325" s="7" t="s">
        <v>149</v>
      </c>
      <c r="L325" s="112">
        <v>1289</v>
      </c>
      <c r="M325" s="112">
        <v>326</v>
      </c>
      <c r="N325" s="112">
        <v>34</v>
      </c>
      <c r="O325" s="112">
        <v>5</v>
      </c>
      <c r="P325" s="112">
        <v>0</v>
      </c>
      <c r="Q325" s="69">
        <f t="shared" si="26"/>
        <v>0.25290923196276183</v>
      </c>
      <c r="R325" s="69">
        <f t="shared" si="26"/>
        <v>0.10429447852760736</v>
      </c>
      <c r="S325" s="7"/>
      <c r="T325" s="7"/>
      <c r="U325" s="7"/>
      <c r="V325" s="7"/>
      <c r="W325" s="7"/>
      <c r="Z325" s="112">
        <v>548</v>
      </c>
      <c r="AA325" s="112">
        <v>4</v>
      </c>
      <c r="AB325" s="112">
        <v>1</v>
      </c>
    </row>
    <row r="326" spans="1:28">
      <c r="A326" s="6">
        <v>46145</v>
      </c>
      <c r="B326" s="7" t="s">
        <v>578</v>
      </c>
      <c r="C326" s="62" t="s">
        <v>1129</v>
      </c>
      <c r="D326" s="77" t="s">
        <v>1317</v>
      </c>
      <c r="E326" s="7" t="s">
        <v>252</v>
      </c>
      <c r="F326" s="77" t="s">
        <v>428</v>
      </c>
      <c r="G326" s="7" t="s">
        <v>85</v>
      </c>
      <c r="H326" s="7" t="s">
        <v>149</v>
      </c>
      <c r="I326" s="47"/>
      <c r="J326" s="7" t="s">
        <v>34</v>
      </c>
      <c r="K326" s="7" t="s">
        <v>149</v>
      </c>
      <c r="L326" s="112">
        <v>1289</v>
      </c>
      <c r="M326" s="112">
        <v>195</v>
      </c>
      <c r="N326" s="112">
        <v>17</v>
      </c>
      <c r="O326" s="112">
        <v>4</v>
      </c>
      <c r="P326" s="112">
        <v>0</v>
      </c>
      <c r="Q326" s="69">
        <f t="shared" si="26"/>
        <v>0.15128006206361522</v>
      </c>
      <c r="R326" s="69">
        <f t="shared" si="26"/>
        <v>8.7179487179487175E-2</v>
      </c>
      <c r="S326" s="7"/>
      <c r="T326" s="7"/>
      <c r="U326" s="7"/>
      <c r="V326" s="7"/>
      <c r="W326" s="7"/>
      <c r="Z326" s="112">
        <v>1066</v>
      </c>
      <c r="AA326" s="112">
        <v>513</v>
      </c>
      <c r="AB326" s="112">
        <v>329</v>
      </c>
    </row>
    <row r="327" spans="1:28" ht="16.8">
      <c r="A327" s="6">
        <v>46145</v>
      </c>
      <c r="B327" s="7" t="s">
        <v>578</v>
      </c>
      <c r="C327" s="62">
        <v>0.83333333333333337</v>
      </c>
      <c r="D327" s="7" t="s">
        <v>1318</v>
      </c>
      <c r="E327" s="7" t="s">
        <v>252</v>
      </c>
      <c r="F327" s="7" t="s">
        <v>248</v>
      </c>
      <c r="G327" s="7" t="s">
        <v>85</v>
      </c>
      <c r="H327" s="52" t="s">
        <v>157</v>
      </c>
      <c r="I327" s="47"/>
      <c r="J327" s="7" t="s">
        <v>34</v>
      </c>
      <c r="K327" s="52" t="s">
        <v>157</v>
      </c>
      <c r="L327" s="112">
        <v>2337</v>
      </c>
      <c r="M327" s="112">
        <v>393</v>
      </c>
      <c r="N327" s="112">
        <v>54</v>
      </c>
      <c r="O327" s="112">
        <v>10</v>
      </c>
      <c r="P327" s="112">
        <v>1</v>
      </c>
      <c r="Q327" s="69">
        <f t="shared" si="26"/>
        <v>0.16816431322207959</v>
      </c>
      <c r="R327" s="69">
        <f t="shared" si="26"/>
        <v>0.13740458015267176</v>
      </c>
      <c r="S327" s="7"/>
      <c r="T327" s="7"/>
      <c r="U327" s="7"/>
      <c r="V327" s="7"/>
      <c r="W327" s="7"/>
      <c r="Z327" s="112">
        <v>1797</v>
      </c>
      <c r="AA327" s="112">
        <v>509</v>
      </c>
      <c r="AB327" s="112">
        <v>407</v>
      </c>
    </row>
    <row r="328" spans="1:28" ht="16.8">
      <c r="A328" s="6">
        <v>46145</v>
      </c>
      <c r="B328" s="7" t="s">
        <v>578</v>
      </c>
      <c r="C328" s="62">
        <v>0.96875</v>
      </c>
      <c r="D328" s="77" t="s">
        <v>1319</v>
      </c>
      <c r="E328" s="7" t="s">
        <v>252</v>
      </c>
      <c r="F328" s="77" t="s">
        <v>430</v>
      </c>
      <c r="G328" s="7" t="s">
        <v>85</v>
      </c>
      <c r="H328" s="52" t="s">
        <v>157</v>
      </c>
      <c r="I328" s="47"/>
      <c r="J328" s="7" t="s">
        <v>34</v>
      </c>
      <c r="K328" s="52" t="s">
        <v>157</v>
      </c>
      <c r="L328" s="112">
        <v>2372</v>
      </c>
      <c r="M328" s="112">
        <v>561</v>
      </c>
      <c r="N328" s="112">
        <v>88</v>
      </c>
      <c r="O328" s="112">
        <v>16</v>
      </c>
      <c r="P328" s="112">
        <v>0</v>
      </c>
      <c r="Q328" s="69">
        <f t="shared" si="26"/>
        <v>0.23650927487352444</v>
      </c>
      <c r="R328" s="69">
        <f t="shared" si="26"/>
        <v>0.15686274509803921</v>
      </c>
      <c r="S328" s="7"/>
      <c r="T328" s="7"/>
      <c r="U328" s="7"/>
      <c r="V328" s="7"/>
      <c r="W328" s="7"/>
      <c r="Z328" s="112">
        <v>1801</v>
      </c>
      <c r="AA328" s="112">
        <v>502</v>
      </c>
      <c r="AB328" s="112">
        <v>374</v>
      </c>
    </row>
    <row r="329" spans="1:28" ht="16.8">
      <c r="A329" s="6">
        <v>46145</v>
      </c>
      <c r="B329" s="7" t="s">
        <v>578</v>
      </c>
      <c r="C329" s="62">
        <v>0.78125</v>
      </c>
      <c r="D329" s="7" t="s">
        <v>1320</v>
      </c>
      <c r="E329" s="31" t="s">
        <v>252</v>
      </c>
      <c r="F329" s="31" t="s">
        <v>334</v>
      </c>
      <c r="G329" s="7" t="s">
        <v>85</v>
      </c>
      <c r="H329" s="52" t="s">
        <v>420</v>
      </c>
      <c r="I329" s="47"/>
      <c r="J329" s="7" t="s">
        <v>34</v>
      </c>
      <c r="K329" s="52" t="s">
        <v>420</v>
      </c>
      <c r="L329" s="112">
        <v>441</v>
      </c>
      <c r="M329" s="112">
        <v>61</v>
      </c>
      <c r="N329" s="112">
        <v>9</v>
      </c>
      <c r="O329" s="112">
        <v>1</v>
      </c>
      <c r="P329" s="112">
        <v>0</v>
      </c>
      <c r="Q329" s="69">
        <f t="shared" si="26"/>
        <v>0.1383219954648526</v>
      </c>
      <c r="R329" s="69">
        <f t="shared" si="26"/>
        <v>0.14754098360655737</v>
      </c>
      <c r="S329" s="7"/>
      <c r="T329" s="7"/>
      <c r="U329" s="7"/>
      <c r="V329" s="7"/>
      <c r="W329" s="7"/>
      <c r="Z329">
        <f>SUM(Z324:Z328)</f>
        <v>7053</v>
      </c>
      <c r="AA329">
        <f>SUM(AA324:AA328)</f>
        <v>1536</v>
      </c>
      <c r="AB329">
        <f>SUM(AB324:AB328)</f>
        <v>1112</v>
      </c>
    </row>
    <row r="330" spans="1:28" ht="16.8">
      <c r="A330" s="6">
        <v>46145</v>
      </c>
      <c r="B330" s="7" t="s">
        <v>578</v>
      </c>
      <c r="C330" s="62" t="s">
        <v>1130</v>
      </c>
      <c r="D330" s="35" t="s">
        <v>1321</v>
      </c>
      <c r="E330" s="35" t="s">
        <v>109</v>
      </c>
      <c r="F330" s="35" t="s">
        <v>150</v>
      </c>
      <c r="G330" s="7" t="s">
        <v>85</v>
      </c>
      <c r="H330" s="52" t="s">
        <v>420</v>
      </c>
      <c r="I330" s="47"/>
      <c r="J330" s="7" t="s">
        <v>34</v>
      </c>
      <c r="K330" s="52" t="s">
        <v>420</v>
      </c>
      <c r="L330" s="112">
        <v>440</v>
      </c>
      <c r="M330" s="112">
        <v>121</v>
      </c>
      <c r="N330" s="112">
        <v>22</v>
      </c>
      <c r="O330" s="112">
        <v>2</v>
      </c>
      <c r="P330" s="112">
        <v>0</v>
      </c>
      <c r="Q330" s="69">
        <f t="shared" ref="Q330:R333" si="27">M330/L330</f>
        <v>0.27500000000000002</v>
      </c>
      <c r="R330" s="69">
        <f t="shared" si="27"/>
        <v>0.18181818181818182</v>
      </c>
      <c r="S330" s="7"/>
      <c r="T330" s="7"/>
      <c r="U330" s="7"/>
      <c r="V330" s="7"/>
      <c r="W330" s="7"/>
    </row>
    <row r="331" spans="1:28">
      <c r="A331" s="6">
        <v>46145</v>
      </c>
      <c r="B331" s="7" t="s">
        <v>578</v>
      </c>
      <c r="C331" s="62">
        <v>0.79166666666666663</v>
      </c>
      <c r="D331" s="7" t="s">
        <v>1322</v>
      </c>
      <c r="E331" s="7" t="s">
        <v>252</v>
      </c>
      <c r="F331" s="35" t="s">
        <v>150</v>
      </c>
      <c r="G331" s="7" t="s">
        <v>85</v>
      </c>
      <c r="H331" s="7" t="s">
        <v>121</v>
      </c>
      <c r="I331" s="47"/>
      <c r="J331" s="7" t="s">
        <v>34</v>
      </c>
      <c r="K331" s="7" t="s">
        <v>121</v>
      </c>
      <c r="L331" s="112">
        <v>1066</v>
      </c>
      <c r="M331" s="112">
        <v>513</v>
      </c>
      <c r="N331" s="112">
        <v>329</v>
      </c>
      <c r="O331" s="112">
        <v>0</v>
      </c>
      <c r="P331" s="112">
        <v>0</v>
      </c>
      <c r="Q331" s="69">
        <f t="shared" si="27"/>
        <v>0.48123827392120078</v>
      </c>
      <c r="R331" s="69">
        <f t="shared" si="27"/>
        <v>0.64132553606237819</v>
      </c>
      <c r="S331" s="7"/>
      <c r="T331" s="7"/>
      <c r="U331" s="7"/>
      <c r="V331" s="7"/>
      <c r="W331" s="7"/>
    </row>
    <row r="332" spans="1:28" ht="16.8">
      <c r="A332" s="6">
        <v>46145</v>
      </c>
      <c r="B332" s="7" t="s">
        <v>578</v>
      </c>
      <c r="C332" s="64">
        <v>0.85416666666666663</v>
      </c>
      <c r="D332" s="7" t="s">
        <v>1323</v>
      </c>
      <c r="E332" s="7" t="s">
        <v>252</v>
      </c>
      <c r="F332" s="7" t="s">
        <v>248</v>
      </c>
      <c r="G332" s="7" t="s">
        <v>85</v>
      </c>
      <c r="H332" s="53" t="s">
        <v>210</v>
      </c>
      <c r="I332" s="47"/>
      <c r="J332" s="35" t="s">
        <v>34</v>
      </c>
      <c r="K332" s="53" t="s">
        <v>210</v>
      </c>
      <c r="L332" s="112">
        <v>1797</v>
      </c>
      <c r="M332" s="112">
        <v>509</v>
      </c>
      <c r="N332" s="112">
        <v>407</v>
      </c>
      <c r="O332" s="112">
        <v>1</v>
      </c>
      <c r="P332" s="112">
        <v>0</v>
      </c>
      <c r="Q332" s="69">
        <f t="shared" si="27"/>
        <v>0.2832498608792432</v>
      </c>
      <c r="R332" s="69">
        <f t="shared" si="27"/>
        <v>0.79960707269155207</v>
      </c>
      <c r="S332" s="7"/>
      <c r="T332" s="7"/>
      <c r="U332" s="7"/>
      <c r="V332" s="7"/>
      <c r="W332" s="7"/>
    </row>
    <row r="333" spans="1:28" ht="16.8">
      <c r="A333" s="6">
        <v>46145</v>
      </c>
      <c r="B333" s="7" t="s">
        <v>578</v>
      </c>
      <c r="C333" s="175">
        <v>0.94791666666666663</v>
      </c>
      <c r="D333" s="7" t="s">
        <v>1324</v>
      </c>
      <c r="E333" s="7" t="s">
        <v>252</v>
      </c>
      <c r="F333" s="7" t="s">
        <v>410</v>
      </c>
      <c r="G333" s="7" t="s">
        <v>85</v>
      </c>
      <c r="H333" s="53" t="s">
        <v>210</v>
      </c>
      <c r="I333" s="98"/>
      <c r="J333" s="35" t="s">
        <v>34</v>
      </c>
      <c r="K333" s="53" t="s">
        <v>210</v>
      </c>
      <c r="L333" s="112">
        <v>1801</v>
      </c>
      <c r="M333" s="112">
        <v>502</v>
      </c>
      <c r="N333" s="112">
        <v>374</v>
      </c>
      <c r="O333" s="112">
        <v>0</v>
      </c>
      <c r="P333" s="112">
        <v>0</v>
      </c>
      <c r="Q333" s="69">
        <f t="shared" si="27"/>
        <v>0.27873403664630758</v>
      </c>
      <c r="R333" s="69">
        <f t="shared" si="27"/>
        <v>0.7450199203187251</v>
      </c>
      <c r="S333" s="7"/>
      <c r="T333" s="7"/>
      <c r="U333" s="7"/>
      <c r="V333" s="7"/>
      <c r="W333" s="7"/>
    </row>
    <row r="334" spans="1:28" ht="6.6" customHeight="1">
      <c r="A334" s="22"/>
      <c r="B334" s="23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5"/>
      <c r="R334" s="25"/>
      <c r="S334" s="24"/>
      <c r="T334" s="24"/>
      <c r="U334" s="24"/>
      <c r="V334" s="25"/>
      <c r="W334" s="26"/>
    </row>
    <row r="335" spans="1:28">
      <c r="A335" s="6">
        <v>46146</v>
      </c>
      <c r="B335" s="7" t="s">
        <v>301</v>
      </c>
      <c r="C335" s="18" t="s">
        <v>589</v>
      </c>
      <c r="D335" s="18" t="s">
        <v>185</v>
      </c>
      <c r="E335" s="18" t="s">
        <v>252</v>
      </c>
      <c r="F335" s="18" t="s">
        <v>110</v>
      </c>
      <c r="G335" s="18"/>
      <c r="H335" s="18" t="s">
        <v>106</v>
      </c>
      <c r="I335" s="47"/>
      <c r="J335" s="18" t="s">
        <v>34</v>
      </c>
      <c r="K335" s="18" t="s">
        <v>106</v>
      </c>
      <c r="L335" s="112">
        <v>901</v>
      </c>
      <c r="M335" s="112">
        <v>17</v>
      </c>
      <c r="N335" s="112">
        <v>8</v>
      </c>
      <c r="O335" s="112">
        <v>1</v>
      </c>
      <c r="P335" s="112">
        <v>2</v>
      </c>
      <c r="Q335" s="69">
        <f t="shared" ref="Q335:Q361" si="28">M335/L335</f>
        <v>1.8867924528301886E-2</v>
      </c>
      <c r="R335" s="69">
        <f t="shared" ref="R335:R361" si="29">N335/M335</f>
        <v>0.47058823529411764</v>
      </c>
      <c r="S335" s="7"/>
      <c r="T335" s="112"/>
      <c r="U335" s="112"/>
      <c r="V335" s="112"/>
      <c r="W335" s="7"/>
    </row>
    <row r="336" spans="1:28">
      <c r="A336" s="6">
        <v>46146</v>
      </c>
      <c r="B336" s="7" t="s">
        <v>301</v>
      </c>
      <c r="C336" s="18" t="s">
        <v>590</v>
      </c>
      <c r="D336" s="18" t="s">
        <v>580</v>
      </c>
      <c r="E336" s="18" t="s">
        <v>252</v>
      </c>
      <c r="F336" s="18" t="s">
        <v>579</v>
      </c>
      <c r="G336" s="18"/>
      <c r="H336" s="18" t="s">
        <v>106</v>
      </c>
      <c r="I336" s="47"/>
      <c r="J336" s="18" t="s">
        <v>34</v>
      </c>
      <c r="K336" s="18" t="s">
        <v>106</v>
      </c>
      <c r="L336" s="112"/>
      <c r="M336" s="112"/>
      <c r="N336" s="112"/>
      <c r="O336" s="112"/>
      <c r="P336" s="112"/>
      <c r="Q336" s="69" t="e">
        <f t="shared" si="28"/>
        <v>#DIV/0!</v>
      </c>
      <c r="R336" s="69" t="e">
        <f t="shared" si="29"/>
        <v>#DIV/0!</v>
      </c>
      <c r="S336" s="7"/>
      <c r="T336" s="112"/>
      <c r="U336" s="112"/>
      <c r="V336" s="112"/>
      <c r="W336" s="7"/>
    </row>
    <row r="337" spans="1:28">
      <c r="A337" s="6">
        <v>46146</v>
      </c>
      <c r="B337" s="7" t="s">
        <v>301</v>
      </c>
      <c r="C337" s="18"/>
      <c r="D337" s="18" t="s">
        <v>144</v>
      </c>
      <c r="E337" s="18" t="s">
        <v>252</v>
      </c>
      <c r="F337" s="18" t="s">
        <v>145</v>
      </c>
      <c r="G337" s="18"/>
      <c r="H337" s="18" t="s">
        <v>157</v>
      </c>
      <c r="I337" s="47"/>
      <c r="J337" s="18" t="s">
        <v>34</v>
      </c>
      <c r="K337" s="18" t="s">
        <v>157</v>
      </c>
      <c r="L337" s="112">
        <v>372</v>
      </c>
      <c r="M337" s="112">
        <v>167</v>
      </c>
      <c r="N337" s="112">
        <v>35</v>
      </c>
      <c r="O337" s="112">
        <v>8</v>
      </c>
      <c r="P337" s="112">
        <v>0</v>
      </c>
      <c r="Q337" s="69">
        <f t="shared" si="28"/>
        <v>0.44892473118279569</v>
      </c>
      <c r="R337" s="69">
        <f t="shared" si="29"/>
        <v>0.20958083832335328</v>
      </c>
      <c r="S337" s="7"/>
      <c r="T337" s="112"/>
      <c r="U337" s="112"/>
      <c r="V337" s="112"/>
      <c r="W337" s="7"/>
    </row>
    <row r="338" spans="1:28">
      <c r="A338" s="6">
        <v>46146</v>
      </c>
      <c r="B338" s="7" t="s">
        <v>301</v>
      </c>
      <c r="C338" s="18"/>
      <c r="D338" s="18" t="s">
        <v>146</v>
      </c>
      <c r="E338" s="18" t="s">
        <v>252</v>
      </c>
      <c r="F338" s="18" t="s">
        <v>147</v>
      </c>
      <c r="G338" s="18"/>
      <c r="H338" s="18" t="s">
        <v>149</v>
      </c>
      <c r="I338" s="47"/>
      <c r="J338" s="18" t="s">
        <v>34</v>
      </c>
      <c r="K338" s="18" t="s">
        <v>149</v>
      </c>
      <c r="L338" s="112">
        <v>256</v>
      </c>
      <c r="M338" s="112">
        <v>110</v>
      </c>
      <c r="N338" s="112">
        <v>26</v>
      </c>
      <c r="O338" s="112">
        <v>3</v>
      </c>
      <c r="P338" s="112">
        <v>0</v>
      </c>
      <c r="Q338" s="69">
        <f t="shared" si="28"/>
        <v>0.4296875</v>
      </c>
      <c r="R338" s="69">
        <f t="shared" si="29"/>
        <v>0.23636363636363636</v>
      </c>
      <c r="S338" s="7"/>
      <c r="T338" s="112"/>
      <c r="U338" s="112"/>
      <c r="V338" s="112"/>
      <c r="W338" s="7"/>
    </row>
    <row r="339" spans="1:28">
      <c r="A339" s="6">
        <v>46146</v>
      </c>
      <c r="B339" s="7" t="s">
        <v>301</v>
      </c>
      <c r="C339" s="18" t="s">
        <v>589</v>
      </c>
      <c r="D339" s="18" t="s">
        <v>187</v>
      </c>
      <c r="E339" s="18" t="s">
        <v>252</v>
      </c>
      <c r="F339" s="18" t="s">
        <v>188</v>
      </c>
      <c r="G339" s="18"/>
      <c r="H339" s="18" t="s">
        <v>186</v>
      </c>
      <c r="I339" s="47"/>
      <c r="J339" s="18" t="s">
        <v>34</v>
      </c>
      <c r="K339" s="18" t="s">
        <v>186</v>
      </c>
      <c r="L339" s="112">
        <v>1841</v>
      </c>
      <c r="M339" s="112">
        <v>8</v>
      </c>
      <c r="N339" s="112">
        <v>1</v>
      </c>
      <c r="O339" s="112">
        <v>0</v>
      </c>
      <c r="P339" s="112">
        <v>4</v>
      </c>
      <c r="Q339" s="69">
        <f t="shared" si="28"/>
        <v>4.3454644215100485E-3</v>
      </c>
      <c r="R339" s="69">
        <f t="shared" si="29"/>
        <v>0.125</v>
      </c>
      <c r="S339" s="7"/>
      <c r="T339" s="112"/>
      <c r="U339" s="112"/>
      <c r="V339" s="112"/>
      <c r="W339" s="7"/>
      <c r="Z339" s="112">
        <v>901</v>
      </c>
      <c r="AA339" s="112">
        <v>17</v>
      </c>
      <c r="AB339" s="112">
        <v>8</v>
      </c>
    </row>
    <row r="340" spans="1:28">
      <c r="A340" s="6">
        <v>46146</v>
      </c>
      <c r="B340" s="7" t="s">
        <v>301</v>
      </c>
      <c r="C340" s="18" t="s">
        <v>590</v>
      </c>
      <c r="D340" s="18" t="s">
        <v>580</v>
      </c>
      <c r="E340" s="18" t="s">
        <v>252</v>
      </c>
      <c r="F340" s="18" t="s">
        <v>579</v>
      </c>
      <c r="G340" s="18"/>
      <c r="H340" s="18" t="s">
        <v>186</v>
      </c>
      <c r="I340" s="47"/>
      <c r="J340" s="18" t="s">
        <v>34</v>
      </c>
      <c r="K340" s="18" t="s">
        <v>186</v>
      </c>
      <c r="L340" s="112"/>
      <c r="M340" s="112"/>
      <c r="N340" s="112"/>
      <c r="O340" s="112"/>
      <c r="P340" s="112"/>
      <c r="Q340" s="69" t="e">
        <f t="shared" si="28"/>
        <v>#DIV/0!</v>
      </c>
      <c r="R340" s="69" t="e">
        <f t="shared" si="29"/>
        <v>#DIV/0!</v>
      </c>
      <c r="S340" s="7"/>
      <c r="T340" s="7"/>
      <c r="U340" s="7"/>
      <c r="V340" s="7"/>
      <c r="W340" s="7"/>
      <c r="Z340" s="112">
        <v>372</v>
      </c>
      <c r="AA340" s="112">
        <v>167</v>
      </c>
      <c r="AB340" s="112">
        <v>35</v>
      </c>
    </row>
    <row r="341" spans="1:28">
      <c r="A341" s="6">
        <v>46146</v>
      </c>
      <c r="B341" s="7" t="s">
        <v>301</v>
      </c>
      <c r="C341" s="18" t="s">
        <v>589</v>
      </c>
      <c r="D341" s="18" t="s">
        <v>1045</v>
      </c>
      <c r="E341" s="18" t="s">
        <v>252</v>
      </c>
      <c r="F341" s="21" t="s">
        <v>1046</v>
      </c>
      <c r="G341" s="18"/>
      <c r="H341" s="21" t="s">
        <v>1047</v>
      </c>
      <c r="I341" s="29"/>
      <c r="J341" s="18" t="s">
        <v>34</v>
      </c>
      <c r="K341" s="21" t="s">
        <v>1047</v>
      </c>
      <c r="L341" s="112">
        <v>3151</v>
      </c>
      <c r="M341" s="112">
        <v>218</v>
      </c>
      <c r="N341" s="112">
        <v>21</v>
      </c>
      <c r="O341" s="112">
        <v>6</v>
      </c>
      <c r="P341" s="112">
        <v>5</v>
      </c>
      <c r="Q341" s="69">
        <f t="shared" si="28"/>
        <v>6.918438590923516E-2</v>
      </c>
      <c r="R341" s="69">
        <f t="shared" si="29"/>
        <v>9.6330275229357804E-2</v>
      </c>
      <c r="S341" s="7"/>
      <c r="T341" s="7"/>
      <c r="U341" s="7"/>
      <c r="V341" s="7"/>
      <c r="W341" s="7"/>
      <c r="Z341" s="112">
        <v>256</v>
      </c>
      <c r="AA341" s="112">
        <v>110</v>
      </c>
      <c r="AB341" s="112">
        <v>26</v>
      </c>
    </row>
    <row r="342" spans="1:28">
      <c r="A342" s="6">
        <v>46146</v>
      </c>
      <c r="B342" s="7" t="s">
        <v>301</v>
      </c>
      <c r="C342" s="18" t="s">
        <v>589</v>
      </c>
      <c r="D342" s="18" t="s">
        <v>1048</v>
      </c>
      <c r="E342" s="18" t="s">
        <v>252</v>
      </c>
      <c r="F342" s="21" t="s">
        <v>1046</v>
      </c>
      <c r="G342" s="18"/>
      <c r="H342" s="21" t="s">
        <v>1049</v>
      </c>
      <c r="I342" s="29"/>
      <c r="J342" s="18" t="s">
        <v>34</v>
      </c>
      <c r="K342" s="21" t="s">
        <v>1049</v>
      </c>
      <c r="L342" s="112">
        <v>548</v>
      </c>
      <c r="M342" s="112">
        <v>4</v>
      </c>
      <c r="N342" s="112">
        <v>1</v>
      </c>
      <c r="O342" s="112">
        <v>0</v>
      </c>
      <c r="P342" s="112">
        <v>0</v>
      </c>
      <c r="Q342" s="69">
        <f t="shared" si="28"/>
        <v>7.2992700729927005E-3</v>
      </c>
      <c r="R342" s="69">
        <f t="shared" si="29"/>
        <v>0.25</v>
      </c>
      <c r="S342" s="7"/>
      <c r="T342" s="7"/>
      <c r="U342" s="7"/>
      <c r="V342" s="7"/>
      <c r="W342" s="7"/>
      <c r="Z342" s="112">
        <v>3151</v>
      </c>
      <c r="AA342" s="112">
        <v>218</v>
      </c>
      <c r="AB342" s="112">
        <v>21</v>
      </c>
    </row>
    <row r="343" spans="1:28">
      <c r="A343" s="6">
        <v>46146</v>
      </c>
      <c r="B343" s="7" t="s">
        <v>301</v>
      </c>
      <c r="C343" s="18" t="s">
        <v>589</v>
      </c>
      <c r="D343" s="18" t="s">
        <v>1050</v>
      </c>
      <c r="E343" s="18" t="s">
        <v>252</v>
      </c>
      <c r="F343" s="18" t="s">
        <v>1051</v>
      </c>
      <c r="G343" s="18"/>
      <c r="H343" s="18" t="s">
        <v>149</v>
      </c>
      <c r="I343" s="29"/>
      <c r="J343" s="18" t="s">
        <v>34</v>
      </c>
      <c r="K343" s="18" t="s">
        <v>149</v>
      </c>
      <c r="L343" s="112">
        <v>253</v>
      </c>
      <c r="M343" s="112">
        <v>114</v>
      </c>
      <c r="N343" s="112">
        <v>33</v>
      </c>
      <c r="O343" s="112">
        <v>2</v>
      </c>
      <c r="P343" s="112">
        <v>0</v>
      </c>
      <c r="Q343" s="69">
        <f t="shared" si="28"/>
        <v>0.45059288537549408</v>
      </c>
      <c r="R343" s="69">
        <f t="shared" si="29"/>
        <v>0.28947368421052633</v>
      </c>
      <c r="S343" s="7"/>
      <c r="T343" s="7"/>
      <c r="U343" s="7"/>
      <c r="V343" s="7"/>
      <c r="W343" s="7"/>
      <c r="Z343" s="112">
        <v>253</v>
      </c>
      <c r="AA343" s="112">
        <v>114</v>
      </c>
      <c r="AB343" s="112">
        <v>33</v>
      </c>
    </row>
    <row r="344" spans="1:28" ht="15">
      <c r="A344" s="6">
        <v>46146</v>
      </c>
      <c r="B344" s="7" t="s">
        <v>301</v>
      </c>
      <c r="C344" s="7"/>
      <c r="D344" s="7" t="s">
        <v>1506</v>
      </c>
      <c r="E344" s="7" t="s">
        <v>252</v>
      </c>
      <c r="F344" s="7"/>
      <c r="G344" s="7"/>
      <c r="H344" s="187" t="s">
        <v>1053</v>
      </c>
      <c r="I344" s="47"/>
      <c r="J344" s="7" t="s">
        <v>34</v>
      </c>
      <c r="K344" s="7" t="s">
        <v>170</v>
      </c>
      <c r="L344" s="112">
        <v>1499</v>
      </c>
      <c r="M344" s="112">
        <v>1439</v>
      </c>
      <c r="N344" s="112">
        <v>1091</v>
      </c>
      <c r="O344" s="112">
        <v>0</v>
      </c>
      <c r="P344" s="112">
        <v>1</v>
      </c>
      <c r="Q344" s="69">
        <f t="shared" si="28"/>
        <v>0.9599733155436958</v>
      </c>
      <c r="R344" s="69">
        <f t="shared" si="29"/>
        <v>0.75816539263377347</v>
      </c>
      <c r="S344" s="7"/>
      <c r="T344" s="7"/>
      <c r="U344" s="7"/>
      <c r="V344" s="7"/>
      <c r="W344" s="7"/>
      <c r="Z344" s="112">
        <v>1289</v>
      </c>
      <c r="AA344" s="112">
        <v>326</v>
      </c>
      <c r="AB344" s="112">
        <v>34</v>
      </c>
    </row>
    <row r="345" spans="1:28" ht="15">
      <c r="A345" s="6">
        <v>46146</v>
      </c>
      <c r="B345" s="7" t="s">
        <v>301</v>
      </c>
      <c r="C345" s="7"/>
      <c r="D345" s="100" t="s">
        <v>1507</v>
      </c>
      <c r="E345" s="7" t="s">
        <v>252</v>
      </c>
      <c r="F345" s="7"/>
      <c r="G345" s="7"/>
      <c r="H345" s="187" t="s">
        <v>1053</v>
      </c>
      <c r="I345" s="84"/>
      <c r="J345" s="7" t="s">
        <v>34</v>
      </c>
      <c r="K345" s="7" t="s">
        <v>170</v>
      </c>
      <c r="L345" s="112">
        <v>1499</v>
      </c>
      <c r="M345" s="112">
        <v>1440</v>
      </c>
      <c r="N345" s="112">
        <v>1089</v>
      </c>
      <c r="O345" s="112">
        <v>0</v>
      </c>
      <c r="P345" s="112">
        <v>1</v>
      </c>
      <c r="Q345" s="69">
        <f t="shared" si="28"/>
        <v>0.96064042695130092</v>
      </c>
      <c r="R345" s="69">
        <f t="shared" si="29"/>
        <v>0.75624999999999998</v>
      </c>
      <c r="S345" s="7"/>
      <c r="T345" s="7"/>
      <c r="U345" s="7"/>
      <c r="V345" s="7"/>
      <c r="W345" s="7"/>
      <c r="Z345" s="112">
        <v>1289</v>
      </c>
      <c r="AA345" s="112">
        <v>195</v>
      </c>
      <c r="AB345" s="112">
        <v>17</v>
      </c>
    </row>
    <row r="346" spans="1:28" ht="15">
      <c r="A346" s="6">
        <v>46146</v>
      </c>
      <c r="B346" s="7" t="s">
        <v>301</v>
      </c>
      <c r="C346" s="7"/>
      <c r="D346" s="100" t="s">
        <v>1508</v>
      </c>
      <c r="E346" s="7" t="s">
        <v>252</v>
      </c>
      <c r="F346" s="7"/>
      <c r="G346" s="7"/>
      <c r="H346" s="187" t="s">
        <v>1053</v>
      </c>
      <c r="I346" s="84"/>
      <c r="J346" s="7" t="s">
        <v>34</v>
      </c>
      <c r="K346" s="7" t="s">
        <v>170</v>
      </c>
      <c r="L346" s="112">
        <v>1499</v>
      </c>
      <c r="M346" s="112">
        <v>1441</v>
      </c>
      <c r="N346" s="112">
        <v>1106</v>
      </c>
      <c r="O346" s="112">
        <v>0</v>
      </c>
      <c r="P346" s="112">
        <v>1</v>
      </c>
      <c r="Q346" s="69">
        <f t="shared" si="28"/>
        <v>0.96130753835890592</v>
      </c>
      <c r="R346" s="69">
        <f t="shared" si="29"/>
        <v>0.76752255378209577</v>
      </c>
      <c r="S346" s="7"/>
      <c r="T346" s="7"/>
      <c r="U346" s="7"/>
      <c r="V346" s="7"/>
      <c r="W346" s="7"/>
      <c r="Z346" s="112">
        <v>2337</v>
      </c>
      <c r="AA346" s="112">
        <v>393</v>
      </c>
      <c r="AB346" s="112">
        <v>54</v>
      </c>
    </row>
    <row r="347" spans="1:28" ht="15">
      <c r="A347" s="6">
        <v>46146</v>
      </c>
      <c r="B347" s="7" t="s">
        <v>301</v>
      </c>
      <c r="C347" s="7"/>
      <c r="D347" s="100" t="s">
        <v>1509</v>
      </c>
      <c r="E347" s="7" t="s">
        <v>252</v>
      </c>
      <c r="F347" s="7"/>
      <c r="G347" s="7"/>
      <c r="H347" s="187" t="s">
        <v>1053</v>
      </c>
      <c r="I347" s="84"/>
      <c r="J347" s="7" t="s">
        <v>34</v>
      </c>
      <c r="K347" s="7" t="s">
        <v>170</v>
      </c>
      <c r="L347" s="112">
        <v>1499</v>
      </c>
      <c r="M347" s="112">
        <v>1439</v>
      </c>
      <c r="N347" s="112">
        <v>1051</v>
      </c>
      <c r="O347" s="112">
        <v>0</v>
      </c>
      <c r="P347" s="112">
        <v>1</v>
      </c>
      <c r="Q347" s="69">
        <f t="shared" si="28"/>
        <v>0.9599733155436958</v>
      </c>
      <c r="R347" s="69">
        <f t="shared" si="29"/>
        <v>0.73036831132731062</v>
      </c>
      <c r="S347" s="7"/>
      <c r="T347" s="7"/>
      <c r="U347" s="7"/>
      <c r="V347" s="7"/>
      <c r="W347" s="7"/>
      <c r="Z347" s="112">
        <v>2372</v>
      </c>
      <c r="AA347" s="112">
        <v>561</v>
      </c>
      <c r="AB347" s="112">
        <v>88</v>
      </c>
    </row>
    <row r="348" spans="1:28">
      <c r="A348" s="6">
        <v>46146</v>
      </c>
      <c r="B348" s="7" t="s">
        <v>301</v>
      </c>
      <c r="C348" s="7"/>
      <c r="D348" s="7" t="s">
        <v>1510</v>
      </c>
      <c r="E348" s="7" t="s">
        <v>252</v>
      </c>
      <c r="F348" s="7"/>
      <c r="G348" s="7"/>
      <c r="H348" s="7" t="s">
        <v>994</v>
      </c>
      <c r="I348" s="84"/>
      <c r="J348" s="7" t="s">
        <v>34</v>
      </c>
      <c r="K348" s="7" t="s">
        <v>171</v>
      </c>
      <c r="L348" s="112">
        <v>291</v>
      </c>
      <c r="M348" s="112">
        <v>261</v>
      </c>
      <c r="N348" s="112">
        <v>192</v>
      </c>
      <c r="O348" s="112">
        <v>0</v>
      </c>
      <c r="P348" s="112">
        <v>0</v>
      </c>
      <c r="Q348" s="69">
        <f t="shared" si="28"/>
        <v>0.89690721649484539</v>
      </c>
      <c r="R348" s="69">
        <f t="shared" si="29"/>
        <v>0.73563218390804597</v>
      </c>
      <c r="S348" s="7"/>
      <c r="T348" s="7"/>
      <c r="U348" s="7"/>
      <c r="V348" s="7"/>
      <c r="W348" s="7"/>
      <c r="Z348" s="112">
        <v>441</v>
      </c>
      <c r="AA348" s="112">
        <v>61</v>
      </c>
      <c r="AB348" s="112">
        <v>9</v>
      </c>
    </row>
    <row r="349" spans="1:28">
      <c r="A349" s="6">
        <v>46146</v>
      </c>
      <c r="B349" s="7" t="s">
        <v>301</v>
      </c>
      <c r="C349" s="7"/>
      <c r="D349" s="7" t="s">
        <v>1511</v>
      </c>
      <c r="E349" s="7" t="s">
        <v>252</v>
      </c>
      <c r="F349" s="7"/>
      <c r="G349" s="7"/>
      <c r="H349" s="7" t="s">
        <v>994</v>
      </c>
      <c r="I349" s="84"/>
      <c r="J349" s="7" t="s">
        <v>34</v>
      </c>
      <c r="K349" s="7" t="s">
        <v>171</v>
      </c>
      <c r="L349" s="112">
        <v>291</v>
      </c>
      <c r="M349" s="112">
        <v>260</v>
      </c>
      <c r="N349" s="112">
        <v>188</v>
      </c>
      <c r="O349" s="112">
        <v>0</v>
      </c>
      <c r="P349" s="112">
        <v>0</v>
      </c>
      <c r="Q349" s="69">
        <f t="shared" si="28"/>
        <v>0.89347079037800692</v>
      </c>
      <c r="R349" s="69">
        <f t="shared" si="29"/>
        <v>0.72307692307692306</v>
      </c>
      <c r="S349" s="7"/>
      <c r="T349" s="7"/>
      <c r="U349" s="7"/>
      <c r="V349" s="7"/>
      <c r="W349" s="7"/>
      <c r="Z349" s="112">
        <v>440</v>
      </c>
      <c r="AA349" s="112">
        <v>121</v>
      </c>
      <c r="AB349" s="112">
        <v>22</v>
      </c>
    </row>
    <row r="350" spans="1:28">
      <c r="A350" s="6">
        <v>46146</v>
      </c>
      <c r="B350" s="7" t="s">
        <v>301</v>
      </c>
      <c r="C350" s="7"/>
      <c r="D350" s="7" t="s">
        <v>1512</v>
      </c>
      <c r="E350" s="7" t="s">
        <v>252</v>
      </c>
      <c r="F350" s="7"/>
      <c r="G350" s="7"/>
      <c r="H350" s="7" t="s">
        <v>994</v>
      </c>
      <c r="I350" s="84"/>
      <c r="J350" s="7" t="s">
        <v>34</v>
      </c>
      <c r="K350" s="7" t="s">
        <v>171</v>
      </c>
      <c r="L350" s="112">
        <v>291</v>
      </c>
      <c r="M350" s="112">
        <v>257</v>
      </c>
      <c r="N350" s="112">
        <v>191</v>
      </c>
      <c r="O350" s="112">
        <v>0</v>
      </c>
      <c r="P350" s="112">
        <v>0</v>
      </c>
      <c r="Q350" s="69">
        <f t="shared" si="28"/>
        <v>0.88316151202749138</v>
      </c>
      <c r="R350" s="69">
        <f t="shared" si="29"/>
        <v>0.74319066147859925</v>
      </c>
      <c r="S350" s="7"/>
      <c r="T350" s="7"/>
      <c r="U350" s="7"/>
      <c r="V350" s="7"/>
      <c r="W350" s="7"/>
      <c r="Z350">
        <f>SUM(Z339:Z349)</f>
        <v>13101</v>
      </c>
      <c r="AA350">
        <f>SUM(AA339:AA349)</f>
        <v>2283</v>
      </c>
      <c r="AB350">
        <f>SUM(AB339:AB349)</f>
        <v>347</v>
      </c>
    </row>
    <row r="351" spans="1:28">
      <c r="A351" s="6">
        <v>46146</v>
      </c>
      <c r="B351" s="7" t="s">
        <v>301</v>
      </c>
      <c r="C351" s="7"/>
      <c r="D351" s="7" t="s">
        <v>1513</v>
      </c>
      <c r="E351" s="7" t="s">
        <v>252</v>
      </c>
      <c r="F351" s="35"/>
      <c r="G351" s="7"/>
      <c r="H351" s="7" t="s">
        <v>994</v>
      </c>
      <c r="I351" s="84"/>
      <c r="J351" s="7" t="s">
        <v>34</v>
      </c>
      <c r="K351" s="7" t="s">
        <v>171</v>
      </c>
      <c r="L351" s="112">
        <v>291</v>
      </c>
      <c r="M351" s="112">
        <v>260</v>
      </c>
      <c r="N351" s="112">
        <v>195</v>
      </c>
      <c r="O351" s="112">
        <v>0</v>
      </c>
      <c r="P351" s="112">
        <v>0</v>
      </c>
      <c r="Q351" s="69">
        <f t="shared" si="28"/>
        <v>0.89347079037800692</v>
      </c>
      <c r="R351" s="69">
        <f t="shared" si="29"/>
        <v>0.75</v>
      </c>
      <c r="S351" s="7"/>
      <c r="T351" s="7"/>
      <c r="U351" s="7"/>
      <c r="V351" s="7"/>
      <c r="W351" s="7"/>
    </row>
    <row r="352" spans="1:28">
      <c r="A352" s="6">
        <v>46146</v>
      </c>
      <c r="B352" s="7" t="s">
        <v>301</v>
      </c>
      <c r="C352" s="7"/>
      <c r="D352" s="7" t="s">
        <v>1514</v>
      </c>
      <c r="E352" s="7" t="s">
        <v>252</v>
      </c>
      <c r="F352" s="35"/>
      <c r="G352" s="7"/>
      <c r="H352" s="7" t="s">
        <v>994</v>
      </c>
      <c r="I352" s="84"/>
      <c r="J352" s="7" t="s">
        <v>34</v>
      </c>
      <c r="K352" s="7" t="s">
        <v>171</v>
      </c>
      <c r="L352" s="112">
        <v>291</v>
      </c>
      <c r="M352" s="112">
        <v>260</v>
      </c>
      <c r="N352" s="112">
        <v>200</v>
      </c>
      <c r="O352" s="112">
        <v>0</v>
      </c>
      <c r="P352" s="112">
        <v>0</v>
      </c>
      <c r="Q352" s="69">
        <f t="shared" si="28"/>
        <v>0.89347079037800692</v>
      </c>
      <c r="R352" s="69">
        <f t="shared" si="29"/>
        <v>0.76923076923076927</v>
      </c>
      <c r="S352" s="7"/>
      <c r="T352" s="7"/>
      <c r="U352" s="7"/>
      <c r="V352" s="7"/>
      <c r="W352" s="7"/>
      <c r="Z352" s="112">
        <v>1841</v>
      </c>
      <c r="AA352" s="112">
        <v>8</v>
      </c>
      <c r="AB352" s="112">
        <v>1</v>
      </c>
    </row>
    <row r="353" spans="1:28">
      <c r="A353" s="6">
        <v>46146</v>
      </c>
      <c r="B353" s="7" t="s">
        <v>301</v>
      </c>
      <c r="C353" s="62">
        <v>0.9375</v>
      </c>
      <c r="D353" s="7" t="s">
        <v>1546</v>
      </c>
      <c r="E353" s="7" t="s">
        <v>252</v>
      </c>
      <c r="F353" t="s">
        <v>1544</v>
      </c>
      <c r="G353" s="7" t="s">
        <v>85</v>
      </c>
      <c r="H353" s="7" t="s">
        <v>149</v>
      </c>
      <c r="I353" s="29" t="s">
        <v>209</v>
      </c>
      <c r="J353" s="7" t="s">
        <v>34</v>
      </c>
      <c r="K353" s="7" t="s">
        <v>149</v>
      </c>
      <c r="L353" s="112">
        <v>1289</v>
      </c>
      <c r="M353" s="112">
        <v>326</v>
      </c>
      <c r="N353" s="112">
        <v>34</v>
      </c>
      <c r="O353" s="112">
        <v>5</v>
      </c>
      <c r="P353" s="112">
        <v>0</v>
      </c>
      <c r="Q353" s="69">
        <f t="shared" si="28"/>
        <v>0.25290923196276183</v>
      </c>
      <c r="R353" s="69">
        <f t="shared" si="29"/>
        <v>0.10429447852760736</v>
      </c>
      <c r="S353" s="7"/>
      <c r="T353" s="7"/>
      <c r="U353" s="7"/>
      <c r="V353" s="7"/>
      <c r="W353" s="7"/>
      <c r="Z353" s="112">
        <v>548</v>
      </c>
      <c r="AA353" s="112">
        <v>4</v>
      </c>
      <c r="AB353" s="112">
        <v>1</v>
      </c>
    </row>
    <row r="354" spans="1:28">
      <c r="A354" s="6">
        <v>46146</v>
      </c>
      <c r="B354" s="7" t="s">
        <v>301</v>
      </c>
      <c r="C354" s="62" t="s">
        <v>1129</v>
      </c>
      <c r="D354" s="7" t="s">
        <v>1553</v>
      </c>
      <c r="E354" s="7" t="s">
        <v>252</v>
      </c>
      <c r="F354" s="7" t="s">
        <v>778</v>
      </c>
      <c r="G354" s="7" t="s">
        <v>85</v>
      </c>
      <c r="H354" s="7" t="s">
        <v>149</v>
      </c>
      <c r="I354" s="29" t="s">
        <v>1492</v>
      </c>
      <c r="J354" s="7" t="s">
        <v>34</v>
      </c>
      <c r="K354" s="7" t="s">
        <v>149</v>
      </c>
      <c r="L354" s="112">
        <v>1289</v>
      </c>
      <c r="M354" s="112">
        <v>195</v>
      </c>
      <c r="N354" s="112">
        <v>17</v>
      </c>
      <c r="O354" s="112">
        <v>4</v>
      </c>
      <c r="P354" s="112">
        <v>0</v>
      </c>
      <c r="Q354" s="69">
        <f t="shared" si="28"/>
        <v>0.15128006206361522</v>
      </c>
      <c r="R354" s="69">
        <f t="shared" si="29"/>
        <v>8.7179487179487175E-2</v>
      </c>
      <c r="S354" s="7"/>
      <c r="T354" s="7"/>
      <c r="U354" s="7"/>
      <c r="V354" s="7"/>
      <c r="W354" s="7"/>
      <c r="Z354" s="112">
        <v>1066</v>
      </c>
      <c r="AA354" s="112">
        <v>513</v>
      </c>
      <c r="AB354" s="112">
        <v>329</v>
      </c>
    </row>
    <row r="355" spans="1:28" ht="16.8">
      <c r="A355" s="6">
        <v>46146</v>
      </c>
      <c r="B355" s="7" t="s">
        <v>301</v>
      </c>
      <c r="C355" s="62">
        <v>0.83333333333333337</v>
      </c>
      <c r="D355" s="7" t="s">
        <v>1549</v>
      </c>
      <c r="E355" s="7" t="s">
        <v>252</v>
      </c>
      <c r="F355" t="s">
        <v>1550</v>
      </c>
      <c r="G355" s="7" t="s">
        <v>85</v>
      </c>
      <c r="H355" s="52" t="s">
        <v>157</v>
      </c>
      <c r="I355" s="29" t="s">
        <v>209</v>
      </c>
      <c r="J355" s="7" t="s">
        <v>34</v>
      </c>
      <c r="K355" s="52" t="s">
        <v>157</v>
      </c>
      <c r="L355" s="112">
        <v>2337</v>
      </c>
      <c r="M355" s="112">
        <v>393</v>
      </c>
      <c r="N355" s="112">
        <v>54</v>
      </c>
      <c r="O355" s="112">
        <v>10</v>
      </c>
      <c r="P355" s="112">
        <v>1</v>
      </c>
      <c r="Q355" s="69">
        <f t="shared" si="28"/>
        <v>0.16816431322207959</v>
      </c>
      <c r="R355" s="69">
        <f t="shared" si="29"/>
        <v>0.13740458015267176</v>
      </c>
      <c r="S355" s="7"/>
      <c r="T355" s="7"/>
      <c r="U355" s="7"/>
      <c r="V355" s="7"/>
      <c r="W355" s="7"/>
      <c r="Z355" s="112">
        <v>1797</v>
      </c>
      <c r="AA355" s="112">
        <v>509</v>
      </c>
      <c r="AB355" s="112">
        <v>407</v>
      </c>
    </row>
    <row r="356" spans="1:28" ht="16.8">
      <c r="A356" s="6">
        <v>46146</v>
      </c>
      <c r="B356" s="7" t="s">
        <v>301</v>
      </c>
      <c r="C356" s="62">
        <v>0.96875</v>
      </c>
      <c r="D356" s="7" t="s">
        <v>1554</v>
      </c>
      <c r="E356" s="7" t="s">
        <v>252</v>
      </c>
      <c r="F356" s="77" t="s">
        <v>336</v>
      </c>
      <c r="G356" s="7" t="s">
        <v>85</v>
      </c>
      <c r="H356" s="52" t="s">
        <v>157</v>
      </c>
      <c r="I356" s="29" t="s">
        <v>1492</v>
      </c>
      <c r="J356" s="7" t="s">
        <v>34</v>
      </c>
      <c r="K356" s="52" t="s">
        <v>157</v>
      </c>
      <c r="L356" s="112">
        <v>2372</v>
      </c>
      <c r="M356" s="112">
        <v>561</v>
      </c>
      <c r="N356" s="112">
        <v>88</v>
      </c>
      <c r="O356" s="112">
        <v>16</v>
      </c>
      <c r="P356" s="112">
        <v>0</v>
      </c>
      <c r="Q356" s="69">
        <f t="shared" si="28"/>
        <v>0.23650927487352444</v>
      </c>
      <c r="R356" s="69">
        <f t="shared" si="29"/>
        <v>0.15686274509803921</v>
      </c>
      <c r="S356" s="7"/>
      <c r="T356" s="7"/>
      <c r="U356" s="7"/>
      <c r="V356" s="7"/>
      <c r="W356" s="7"/>
      <c r="Z356" s="112">
        <v>1801</v>
      </c>
      <c r="AA356" s="112">
        <v>502</v>
      </c>
      <c r="AB356" s="112">
        <v>374</v>
      </c>
    </row>
    <row r="357" spans="1:28" ht="16.8">
      <c r="A357" s="6">
        <v>46146</v>
      </c>
      <c r="B357" s="7" t="s">
        <v>301</v>
      </c>
      <c r="C357" s="62">
        <v>0.78125</v>
      </c>
      <c r="D357" s="7" t="s">
        <v>1547</v>
      </c>
      <c r="E357" s="31" t="s">
        <v>252</v>
      </c>
      <c r="F357" t="s">
        <v>1548</v>
      </c>
      <c r="G357" s="7" t="s">
        <v>85</v>
      </c>
      <c r="H357" s="52" t="s">
        <v>420</v>
      </c>
      <c r="I357" s="29" t="s">
        <v>209</v>
      </c>
      <c r="J357" s="7" t="s">
        <v>34</v>
      </c>
      <c r="K357" s="52" t="s">
        <v>420</v>
      </c>
      <c r="L357" s="112">
        <v>441</v>
      </c>
      <c r="M357" s="112">
        <v>61</v>
      </c>
      <c r="N357" s="112">
        <v>9</v>
      </c>
      <c r="O357" s="112">
        <v>1</v>
      </c>
      <c r="P357" s="112">
        <v>0</v>
      </c>
      <c r="Q357" s="69">
        <f t="shared" si="28"/>
        <v>0.1383219954648526</v>
      </c>
      <c r="R357" s="69">
        <f t="shared" si="29"/>
        <v>0.14754098360655737</v>
      </c>
      <c r="S357" s="7"/>
      <c r="T357" s="7"/>
      <c r="U357" s="7"/>
      <c r="V357" s="7"/>
      <c r="W357" s="7"/>
      <c r="Z357">
        <f>SUM(Z352:Z356)</f>
        <v>7053</v>
      </c>
      <c r="AA357">
        <f>SUM(AA352:AA356)</f>
        <v>1536</v>
      </c>
      <c r="AB357">
        <f>SUM(AB352:AB356)</f>
        <v>1112</v>
      </c>
    </row>
    <row r="358" spans="1:28" ht="16.8">
      <c r="A358" s="6">
        <v>46146</v>
      </c>
      <c r="B358" s="7" t="s">
        <v>301</v>
      </c>
      <c r="C358" s="62" t="s">
        <v>1130</v>
      </c>
      <c r="D358" s="35" t="s">
        <v>1555</v>
      </c>
      <c r="E358" s="35" t="s">
        <v>109</v>
      </c>
      <c r="F358" s="35" t="s">
        <v>150</v>
      </c>
      <c r="G358" s="7" t="s">
        <v>85</v>
      </c>
      <c r="H358" s="52" t="s">
        <v>420</v>
      </c>
      <c r="I358" s="29" t="s">
        <v>1492</v>
      </c>
      <c r="J358" s="7" t="s">
        <v>34</v>
      </c>
      <c r="K358" s="52" t="s">
        <v>420</v>
      </c>
      <c r="L358" s="112">
        <v>440</v>
      </c>
      <c r="M358" s="112">
        <v>121</v>
      </c>
      <c r="N358" s="112">
        <v>22</v>
      </c>
      <c r="O358" s="112">
        <v>2</v>
      </c>
      <c r="P358" s="112">
        <v>0</v>
      </c>
      <c r="Q358" s="69">
        <f t="shared" si="28"/>
        <v>0.27500000000000002</v>
      </c>
      <c r="R358" s="69">
        <f t="shared" si="29"/>
        <v>0.18181818181818182</v>
      </c>
      <c r="S358" s="7"/>
      <c r="T358" s="7"/>
      <c r="U358" s="7"/>
      <c r="V358" s="7"/>
      <c r="W358" s="7"/>
    </row>
    <row r="359" spans="1:28">
      <c r="A359" s="6">
        <v>46146</v>
      </c>
      <c r="B359" s="7" t="s">
        <v>301</v>
      </c>
      <c r="C359" s="62">
        <v>0.79166666666666663</v>
      </c>
      <c r="D359" s="7" t="s">
        <v>1545</v>
      </c>
      <c r="E359" s="7" t="s">
        <v>252</v>
      </c>
      <c r="F359" t="s">
        <v>1544</v>
      </c>
      <c r="G359" s="7" t="s">
        <v>85</v>
      </c>
      <c r="H359" s="7" t="s">
        <v>121</v>
      </c>
      <c r="I359" s="47" t="s">
        <v>1493</v>
      </c>
      <c r="J359" s="7" t="s">
        <v>34</v>
      </c>
      <c r="K359" s="7" t="s">
        <v>121</v>
      </c>
      <c r="L359" s="112">
        <v>1066</v>
      </c>
      <c r="M359" s="112">
        <v>513</v>
      </c>
      <c r="N359" s="112">
        <v>329</v>
      </c>
      <c r="O359" s="112">
        <v>0</v>
      </c>
      <c r="P359" s="112">
        <v>0</v>
      </c>
      <c r="Q359" s="69">
        <f t="shared" si="28"/>
        <v>0.48123827392120078</v>
      </c>
      <c r="R359" s="69">
        <f t="shared" si="29"/>
        <v>0.64132553606237819</v>
      </c>
      <c r="S359" s="7"/>
      <c r="T359" s="7"/>
      <c r="U359" s="7"/>
      <c r="V359" s="7"/>
      <c r="W359" s="7"/>
    </row>
    <row r="360" spans="1:28" ht="16.8">
      <c r="A360" s="6">
        <v>46146</v>
      </c>
      <c r="B360" s="7" t="s">
        <v>301</v>
      </c>
      <c r="C360" s="64">
        <v>0.85416666666666663</v>
      </c>
      <c r="D360" s="7" t="s">
        <v>1551</v>
      </c>
      <c r="E360" s="7" t="s">
        <v>252</v>
      </c>
      <c r="F360" t="s">
        <v>1550</v>
      </c>
      <c r="G360" s="7" t="s">
        <v>85</v>
      </c>
      <c r="H360" s="53" t="s">
        <v>210</v>
      </c>
      <c r="I360" s="47" t="s">
        <v>1493</v>
      </c>
      <c r="J360" s="35" t="s">
        <v>34</v>
      </c>
      <c r="K360" s="53" t="s">
        <v>210</v>
      </c>
      <c r="L360" s="112">
        <v>1797</v>
      </c>
      <c r="M360" s="112">
        <v>509</v>
      </c>
      <c r="N360" s="112">
        <v>407</v>
      </c>
      <c r="O360" s="112">
        <v>1</v>
      </c>
      <c r="P360" s="112">
        <v>0</v>
      </c>
      <c r="Q360" s="69">
        <f t="shared" si="28"/>
        <v>0.2832498608792432</v>
      </c>
      <c r="R360" s="69">
        <f t="shared" si="29"/>
        <v>0.79960707269155207</v>
      </c>
      <c r="S360" s="7"/>
      <c r="T360" s="7"/>
      <c r="U360" s="7"/>
      <c r="V360" s="7"/>
      <c r="W360" s="7"/>
    </row>
    <row r="361" spans="1:28" ht="16.8">
      <c r="A361" s="6">
        <v>46146</v>
      </c>
      <c r="B361" s="7" t="s">
        <v>301</v>
      </c>
      <c r="C361" s="175">
        <v>0.94791666666666663</v>
      </c>
      <c r="D361" s="7" t="s">
        <v>1552</v>
      </c>
      <c r="E361" s="7" t="s">
        <v>252</v>
      </c>
      <c r="F361" t="s">
        <v>1548</v>
      </c>
      <c r="G361" s="7" t="s">
        <v>85</v>
      </c>
      <c r="H361" s="53" t="s">
        <v>210</v>
      </c>
      <c r="I361" s="47" t="s">
        <v>1493</v>
      </c>
      <c r="J361" s="35" t="s">
        <v>34</v>
      </c>
      <c r="K361" s="53" t="s">
        <v>210</v>
      </c>
      <c r="L361" s="112">
        <v>1801</v>
      </c>
      <c r="M361" s="112">
        <v>502</v>
      </c>
      <c r="N361" s="112">
        <v>374</v>
      </c>
      <c r="O361" s="112">
        <v>0</v>
      </c>
      <c r="P361" s="112">
        <v>0</v>
      </c>
      <c r="Q361" s="69">
        <f t="shared" si="28"/>
        <v>0.27873403664630758</v>
      </c>
      <c r="R361" s="69">
        <f t="shared" si="29"/>
        <v>0.7450199203187251</v>
      </c>
      <c r="S361" s="7"/>
      <c r="T361" s="7"/>
      <c r="U361" s="7"/>
      <c r="V361" s="7"/>
      <c r="W361" s="7"/>
    </row>
    <row r="362" spans="1:28" ht="6.6" customHeight="1">
      <c r="A362" s="22"/>
      <c r="B362" s="23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5"/>
      <c r="R362" s="25"/>
      <c r="S362" s="24"/>
      <c r="T362" s="24"/>
      <c r="U362" s="24"/>
      <c r="V362" s="25"/>
      <c r="W362" s="26"/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55A2A-F2ED-4B40-8ECD-3EE7A67FA68D}">
  <dimension ref="A1:AG338"/>
  <sheetViews>
    <sheetView tabSelected="1" workbookViewId="0">
      <pane ySplit="1" topLeftCell="A324" activePane="bottomLeft" state="frozen"/>
      <selection pane="bottomLeft" activeCell="D336" sqref="D336"/>
    </sheetView>
  </sheetViews>
  <sheetFormatPr defaultRowHeight="14.4"/>
  <cols>
    <col min="1" max="1" width="10.33203125" bestFit="1" customWidth="1"/>
    <col min="2" max="2" width="8.109375" bestFit="1" customWidth="1"/>
    <col min="3" max="3" width="11.21875" bestFit="1" customWidth="1"/>
    <col min="4" max="4" width="43.88671875" bestFit="1" customWidth="1"/>
    <col min="5" max="5" width="10.6640625" bestFit="1" customWidth="1"/>
    <col min="6" max="6" width="72" bestFit="1" customWidth="1"/>
    <col min="7" max="7" width="3.88671875" bestFit="1" customWidth="1"/>
    <col min="8" max="8" width="22.88671875" bestFit="1" customWidth="1"/>
    <col min="9" max="9" width="36.21875" bestFit="1" customWidth="1"/>
    <col min="10" max="10" width="12.88671875" bestFit="1" customWidth="1"/>
    <col min="11" max="11" width="22.88671875" bestFit="1" customWidth="1"/>
    <col min="12" max="12" width="5.6640625" bestFit="1" customWidth="1"/>
    <col min="13" max="14" width="5.33203125" bestFit="1" customWidth="1"/>
    <col min="15" max="15" width="6" bestFit="1" customWidth="1"/>
    <col min="16" max="16" width="7.6640625" bestFit="1" customWidth="1"/>
    <col min="17" max="18" width="8" bestFit="1" customWidth="1"/>
    <col min="19" max="19" width="4.88671875" bestFit="1" customWidth="1"/>
    <col min="20" max="20" width="7.6640625" bestFit="1" customWidth="1"/>
    <col min="21" max="21" width="8" bestFit="1" customWidth="1"/>
    <col min="22" max="22" width="5" bestFit="1" customWidth="1"/>
    <col min="23" max="23" width="5.5546875" bestFit="1" customWidth="1"/>
  </cols>
  <sheetData>
    <row r="1" spans="1:23" ht="17.399999999999999" customHeight="1">
      <c r="A1" s="1" t="s">
        <v>0</v>
      </c>
      <c r="B1" s="1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11</v>
      </c>
      <c r="K1" s="2" t="s">
        <v>12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3" t="s">
        <v>19</v>
      </c>
      <c r="R1" s="3" t="s">
        <v>20</v>
      </c>
      <c r="S1" s="2" t="s">
        <v>21</v>
      </c>
      <c r="T1" s="2" t="s">
        <v>22</v>
      </c>
      <c r="U1" s="2" t="s">
        <v>23</v>
      </c>
      <c r="V1" s="3" t="s">
        <v>24</v>
      </c>
      <c r="W1" s="3" t="s">
        <v>25</v>
      </c>
    </row>
    <row r="2" spans="1:23">
      <c r="A2" s="4">
        <v>46126</v>
      </c>
      <c r="B2" t="s">
        <v>78</v>
      </c>
      <c r="C2" s="21"/>
      <c r="D2" s="21" t="s">
        <v>108</v>
      </c>
      <c r="E2" s="21" t="s">
        <v>116</v>
      </c>
      <c r="F2" s="21" t="s">
        <v>115</v>
      </c>
      <c r="G2" s="21"/>
      <c r="H2" s="21"/>
      <c r="I2" s="5"/>
      <c r="J2" s="21" t="s">
        <v>35</v>
      </c>
      <c r="K2" s="21" t="s">
        <v>106</v>
      </c>
      <c r="L2">
        <v>75</v>
      </c>
      <c r="M2">
        <v>3</v>
      </c>
      <c r="N2">
        <v>1</v>
      </c>
      <c r="O2">
        <v>0</v>
      </c>
      <c r="P2">
        <v>0</v>
      </c>
    </row>
    <row r="3" spans="1:23">
      <c r="A3" s="4">
        <v>46126</v>
      </c>
      <c r="B3" t="s">
        <v>78</v>
      </c>
      <c r="D3" t="s">
        <v>113</v>
      </c>
      <c r="I3" s="5" t="s">
        <v>67</v>
      </c>
      <c r="J3" t="s">
        <v>35</v>
      </c>
      <c r="L3">
        <v>1499</v>
      </c>
      <c r="M3">
        <v>1449</v>
      </c>
      <c r="N3">
        <v>940</v>
      </c>
      <c r="O3">
        <v>0</v>
      </c>
      <c r="P3">
        <v>1</v>
      </c>
    </row>
    <row r="4" spans="1:23">
      <c r="A4" s="4">
        <v>46126</v>
      </c>
      <c r="B4" t="s">
        <v>78</v>
      </c>
      <c r="D4" t="s">
        <v>114</v>
      </c>
      <c r="I4" s="5" t="s">
        <v>68</v>
      </c>
      <c r="J4" t="s">
        <v>35</v>
      </c>
      <c r="L4">
        <v>500</v>
      </c>
      <c r="M4">
        <v>487</v>
      </c>
      <c r="N4">
        <v>319</v>
      </c>
      <c r="O4">
        <v>0</v>
      </c>
      <c r="P4">
        <v>0</v>
      </c>
    </row>
    <row r="5" spans="1:23">
      <c r="A5" s="4">
        <v>46126</v>
      </c>
      <c r="B5" t="s">
        <v>78</v>
      </c>
      <c r="D5" t="s">
        <v>120</v>
      </c>
      <c r="I5" s="5" t="s">
        <v>68</v>
      </c>
      <c r="L5">
        <v>500</v>
      </c>
      <c r="M5">
        <v>485</v>
      </c>
      <c r="N5">
        <v>337</v>
      </c>
      <c r="O5">
        <v>0</v>
      </c>
      <c r="P5">
        <v>0</v>
      </c>
    </row>
    <row r="6" spans="1:23">
      <c r="A6" s="4">
        <v>46126</v>
      </c>
      <c r="B6" t="s">
        <v>78</v>
      </c>
      <c r="D6" t="s">
        <v>118</v>
      </c>
      <c r="I6" s="5"/>
      <c r="J6" t="s">
        <v>35</v>
      </c>
      <c r="K6" t="s">
        <v>69</v>
      </c>
      <c r="L6">
        <v>138</v>
      </c>
      <c r="M6">
        <v>38</v>
      </c>
      <c r="N6">
        <v>4</v>
      </c>
      <c r="O6">
        <v>0</v>
      </c>
      <c r="P6">
        <v>0</v>
      </c>
    </row>
    <row r="7" spans="1:23">
      <c r="A7" s="4">
        <v>46126</v>
      </c>
      <c r="B7" t="s">
        <v>78</v>
      </c>
      <c r="D7" t="s">
        <v>123</v>
      </c>
      <c r="J7" t="s">
        <v>35</v>
      </c>
      <c r="K7" t="s">
        <v>121</v>
      </c>
      <c r="L7">
        <v>38</v>
      </c>
      <c r="M7">
        <v>1</v>
      </c>
      <c r="N7">
        <v>1</v>
      </c>
      <c r="O7">
        <v>0</v>
      </c>
      <c r="P7">
        <v>0</v>
      </c>
    </row>
    <row r="8" spans="1:23" ht="6.6" customHeight="1">
      <c r="A8" s="22"/>
      <c r="B8" s="23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5"/>
      <c r="R8" s="25"/>
      <c r="S8" s="24"/>
      <c r="T8" s="24"/>
      <c r="U8" s="24"/>
      <c r="V8" s="25"/>
      <c r="W8" s="26"/>
    </row>
    <row r="9" spans="1:23">
      <c r="A9" s="6">
        <v>46127</v>
      </c>
      <c r="B9" s="7" t="s">
        <v>124</v>
      </c>
      <c r="C9" s="18"/>
      <c r="D9" s="18" t="s">
        <v>108</v>
      </c>
      <c r="E9" s="18" t="s">
        <v>116</v>
      </c>
      <c r="F9" s="18" t="s">
        <v>115</v>
      </c>
      <c r="G9" s="18"/>
      <c r="H9" s="18"/>
      <c r="I9" s="14"/>
      <c r="J9" s="18" t="s">
        <v>35</v>
      </c>
      <c r="K9" s="18" t="s">
        <v>106</v>
      </c>
      <c r="L9" s="7">
        <v>109</v>
      </c>
      <c r="M9" s="7">
        <v>5</v>
      </c>
      <c r="N9" s="7">
        <v>2</v>
      </c>
      <c r="O9" s="7">
        <v>0</v>
      </c>
      <c r="P9" s="7">
        <v>0</v>
      </c>
      <c r="Q9" s="32">
        <f t="shared" ref="Q9:R16" si="0">M9/L9</f>
        <v>4.5871559633027525E-2</v>
      </c>
      <c r="R9" s="32">
        <f t="shared" si="0"/>
        <v>0.4</v>
      </c>
      <c r="S9" s="7"/>
      <c r="T9" s="7"/>
      <c r="U9" s="7"/>
      <c r="V9" s="7"/>
      <c r="W9" s="7"/>
    </row>
    <row r="10" spans="1:23">
      <c r="A10" s="6">
        <v>46127</v>
      </c>
      <c r="B10" s="7" t="s">
        <v>124</v>
      </c>
      <c r="C10" s="18"/>
      <c r="D10" s="18" t="s">
        <v>155</v>
      </c>
      <c r="E10" s="18" t="s">
        <v>116</v>
      </c>
      <c r="F10" s="18" t="s">
        <v>156</v>
      </c>
      <c r="G10" s="18"/>
      <c r="H10" s="18"/>
      <c r="I10" s="30" t="s">
        <v>130</v>
      </c>
      <c r="J10" s="18"/>
      <c r="K10" s="18" t="s">
        <v>157</v>
      </c>
      <c r="L10" s="7">
        <v>2</v>
      </c>
      <c r="M10" s="7">
        <v>0</v>
      </c>
      <c r="N10" s="7">
        <v>0</v>
      </c>
      <c r="O10" s="7">
        <v>0</v>
      </c>
      <c r="P10" s="7">
        <v>0</v>
      </c>
      <c r="Q10" s="32">
        <f t="shared" si="0"/>
        <v>0</v>
      </c>
      <c r="R10" s="32" t="e">
        <f t="shared" si="0"/>
        <v>#DIV/0!</v>
      </c>
      <c r="S10" s="7"/>
      <c r="T10" s="7"/>
      <c r="U10" s="7"/>
      <c r="V10" s="7"/>
      <c r="W10" s="7"/>
    </row>
    <row r="11" spans="1:23">
      <c r="A11" s="6">
        <v>46127</v>
      </c>
      <c r="B11" s="7" t="s">
        <v>124</v>
      </c>
      <c r="C11" s="18"/>
      <c r="D11" s="18" t="s">
        <v>158</v>
      </c>
      <c r="E11" s="18" t="s">
        <v>116</v>
      </c>
      <c r="F11" s="18" t="s">
        <v>159</v>
      </c>
      <c r="G11" s="18"/>
      <c r="H11" s="18"/>
      <c r="I11" s="30" t="s">
        <v>143</v>
      </c>
      <c r="J11" s="18"/>
      <c r="K11" s="18" t="s">
        <v>149</v>
      </c>
      <c r="L11" s="7">
        <v>1</v>
      </c>
      <c r="M11" s="7">
        <v>1</v>
      </c>
      <c r="N11" s="7">
        <v>0</v>
      </c>
      <c r="O11" s="7">
        <v>0</v>
      </c>
      <c r="P11" s="7">
        <v>0</v>
      </c>
      <c r="Q11" s="32">
        <f t="shared" si="0"/>
        <v>1</v>
      </c>
      <c r="R11" s="32">
        <f t="shared" si="0"/>
        <v>0</v>
      </c>
      <c r="S11" s="7"/>
      <c r="T11" s="7"/>
      <c r="U11" s="7"/>
      <c r="V11" s="7"/>
      <c r="W11" s="7"/>
    </row>
    <row r="12" spans="1:23">
      <c r="A12" s="6">
        <v>46127</v>
      </c>
      <c r="B12" s="7" t="s">
        <v>124</v>
      </c>
      <c r="C12" s="7"/>
      <c r="D12" s="31" t="s">
        <v>163</v>
      </c>
      <c r="E12" s="7"/>
      <c r="F12" s="7"/>
      <c r="G12" s="7"/>
      <c r="H12" s="7"/>
      <c r="I12" s="14" t="s">
        <v>67</v>
      </c>
      <c r="J12" s="7" t="s">
        <v>35</v>
      </c>
      <c r="K12" s="7"/>
      <c r="L12" s="7">
        <v>1499</v>
      </c>
      <c r="M12" s="7">
        <v>1430</v>
      </c>
      <c r="N12" s="7">
        <v>985</v>
      </c>
      <c r="O12" s="7">
        <v>0</v>
      </c>
      <c r="P12" s="7">
        <v>0</v>
      </c>
      <c r="Q12" s="32">
        <f t="shared" si="0"/>
        <v>0.95396931287525022</v>
      </c>
      <c r="R12" s="32">
        <f t="shared" si="0"/>
        <v>0.68881118881118886</v>
      </c>
      <c r="S12" s="7"/>
      <c r="T12" s="7"/>
      <c r="U12" s="7"/>
      <c r="V12" s="7"/>
      <c r="W12" s="7"/>
    </row>
    <row r="13" spans="1:23">
      <c r="A13" s="6">
        <v>46127</v>
      </c>
      <c r="B13" s="7" t="s">
        <v>124</v>
      </c>
      <c r="C13" s="7"/>
      <c r="D13" s="31" t="s">
        <v>164</v>
      </c>
      <c r="E13" s="7"/>
      <c r="F13" s="7"/>
      <c r="G13" s="7"/>
      <c r="H13" s="7"/>
      <c r="I13" s="14" t="s">
        <v>68</v>
      </c>
      <c r="J13" s="7" t="s">
        <v>35</v>
      </c>
      <c r="K13" s="7"/>
      <c r="L13" s="7">
        <v>500</v>
      </c>
      <c r="M13" s="7">
        <v>487</v>
      </c>
      <c r="N13" s="7">
        <v>329</v>
      </c>
      <c r="O13" s="7">
        <v>0</v>
      </c>
      <c r="P13" s="7">
        <v>0</v>
      </c>
      <c r="Q13" s="32">
        <f t="shared" si="0"/>
        <v>0.97399999999999998</v>
      </c>
      <c r="R13" s="32">
        <f t="shared" si="0"/>
        <v>0.67556468172484596</v>
      </c>
      <c r="S13" s="7"/>
      <c r="T13" s="7"/>
      <c r="U13" s="7"/>
      <c r="V13" s="7"/>
      <c r="W13" s="7"/>
    </row>
    <row r="14" spans="1:23">
      <c r="A14" s="6">
        <v>46127</v>
      </c>
      <c r="B14" s="7" t="s">
        <v>124</v>
      </c>
      <c r="C14" s="7"/>
      <c r="D14" s="31" t="s">
        <v>165</v>
      </c>
      <c r="E14" s="7"/>
      <c r="F14" s="7"/>
      <c r="G14" s="7"/>
      <c r="H14" s="7"/>
      <c r="I14" s="14" t="s">
        <v>68</v>
      </c>
      <c r="J14" s="7"/>
      <c r="K14" s="7"/>
      <c r="L14" s="7">
        <v>500</v>
      </c>
      <c r="M14" s="7">
        <v>486</v>
      </c>
      <c r="N14" s="7">
        <v>317</v>
      </c>
      <c r="O14" s="7">
        <v>0</v>
      </c>
      <c r="P14" s="7">
        <v>0</v>
      </c>
      <c r="Q14" s="32">
        <f t="shared" si="0"/>
        <v>0.97199999999999998</v>
      </c>
      <c r="R14" s="32">
        <f t="shared" si="0"/>
        <v>0.65226337448559668</v>
      </c>
      <c r="S14" s="7"/>
      <c r="T14" s="7"/>
      <c r="U14" s="7"/>
      <c r="V14" s="7"/>
      <c r="W14" s="7"/>
    </row>
    <row r="15" spans="1:23">
      <c r="A15" s="6">
        <v>46127</v>
      </c>
      <c r="B15" s="7" t="s">
        <v>124</v>
      </c>
      <c r="C15" s="7"/>
      <c r="D15" s="7" t="s">
        <v>160</v>
      </c>
      <c r="E15" s="7" t="s">
        <v>116</v>
      </c>
      <c r="F15" s="7" t="s">
        <v>161</v>
      </c>
      <c r="G15" s="7" t="s">
        <v>85</v>
      </c>
      <c r="H15" s="7" t="s">
        <v>149</v>
      </c>
      <c r="I15" s="14"/>
      <c r="J15" s="7" t="s">
        <v>35</v>
      </c>
      <c r="K15" s="7" t="s">
        <v>149</v>
      </c>
      <c r="L15" s="7">
        <v>141</v>
      </c>
      <c r="M15" s="7">
        <v>33</v>
      </c>
      <c r="N15" s="7">
        <v>9</v>
      </c>
      <c r="O15" s="7">
        <v>1</v>
      </c>
      <c r="P15" s="7">
        <v>0</v>
      </c>
      <c r="Q15" s="32">
        <f t="shared" si="0"/>
        <v>0.23404255319148937</v>
      </c>
      <c r="R15" s="32">
        <f t="shared" si="0"/>
        <v>0.27272727272727271</v>
      </c>
      <c r="S15" s="7"/>
      <c r="T15" s="7"/>
      <c r="U15" s="7"/>
      <c r="V15" s="7"/>
      <c r="W15" s="7"/>
    </row>
    <row r="16" spans="1:23">
      <c r="A16" s="6">
        <v>46127</v>
      </c>
      <c r="B16" s="7" t="s">
        <v>124</v>
      </c>
      <c r="C16" s="7"/>
      <c r="D16" s="7" t="s">
        <v>162</v>
      </c>
      <c r="E16" s="7" t="s">
        <v>116</v>
      </c>
      <c r="F16" s="7" t="s">
        <v>161</v>
      </c>
      <c r="G16" s="7" t="s">
        <v>85</v>
      </c>
      <c r="H16" s="7" t="s">
        <v>121</v>
      </c>
      <c r="I16" s="14"/>
      <c r="J16" s="7" t="s">
        <v>35</v>
      </c>
      <c r="K16" s="7" t="s">
        <v>121</v>
      </c>
      <c r="L16" s="7">
        <v>192</v>
      </c>
      <c r="M16" s="7">
        <v>25</v>
      </c>
      <c r="N16" s="7">
        <v>15</v>
      </c>
      <c r="O16" s="7">
        <v>1</v>
      </c>
      <c r="P16" s="7">
        <v>0</v>
      </c>
      <c r="Q16" s="32">
        <f t="shared" si="0"/>
        <v>0.13020833333333334</v>
      </c>
      <c r="R16" s="32">
        <f t="shared" si="0"/>
        <v>0.6</v>
      </c>
      <c r="S16" s="7"/>
      <c r="T16" s="7"/>
      <c r="U16" s="7"/>
      <c r="V16" s="7"/>
      <c r="W16" s="7"/>
    </row>
    <row r="17" spans="1:23" ht="6.6" customHeight="1">
      <c r="A17" s="22"/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5"/>
      <c r="R17" s="25"/>
      <c r="S17" s="24"/>
      <c r="T17" s="24"/>
      <c r="U17" s="24"/>
      <c r="V17" s="25"/>
      <c r="W17" s="26"/>
    </row>
    <row r="18" spans="1:23">
      <c r="A18" s="38">
        <v>46128</v>
      </c>
      <c r="B18" s="39" t="s">
        <v>166</v>
      </c>
      <c r="C18" s="40"/>
      <c r="D18" s="40" t="s">
        <v>108</v>
      </c>
      <c r="E18" s="40" t="s">
        <v>116</v>
      </c>
      <c r="F18" s="40" t="s">
        <v>115</v>
      </c>
      <c r="G18" s="40"/>
      <c r="H18" s="40"/>
      <c r="I18" s="41"/>
      <c r="J18" s="40" t="s">
        <v>35</v>
      </c>
      <c r="K18" s="40" t="s">
        <v>106</v>
      </c>
      <c r="L18" s="39">
        <v>101</v>
      </c>
      <c r="M18" s="39">
        <v>3</v>
      </c>
      <c r="N18" s="39">
        <v>0</v>
      </c>
      <c r="O18" s="39">
        <v>0</v>
      </c>
      <c r="P18" s="39">
        <v>2</v>
      </c>
      <c r="Q18" s="42">
        <f t="shared" ref="Q18:R27" si="1">M18/L18</f>
        <v>2.9702970297029702E-2</v>
      </c>
      <c r="R18" s="42">
        <f t="shared" si="1"/>
        <v>0</v>
      </c>
      <c r="S18" s="39"/>
      <c r="T18" s="39"/>
      <c r="U18" s="39"/>
      <c r="V18" s="39"/>
      <c r="W18" s="39"/>
    </row>
    <row r="19" spans="1:23">
      <c r="A19" s="6">
        <v>46128</v>
      </c>
      <c r="B19" s="7" t="s">
        <v>166</v>
      </c>
      <c r="C19" s="18"/>
      <c r="D19" s="18" t="s">
        <v>155</v>
      </c>
      <c r="E19" s="18" t="s">
        <v>116</v>
      </c>
      <c r="F19" s="18" t="s">
        <v>156</v>
      </c>
      <c r="G19" s="18"/>
      <c r="H19" s="18"/>
      <c r="I19" s="30" t="s">
        <v>169</v>
      </c>
      <c r="J19" s="40" t="s">
        <v>35</v>
      </c>
      <c r="K19" s="18" t="s">
        <v>157</v>
      </c>
      <c r="L19" s="7">
        <v>4</v>
      </c>
      <c r="M19" s="7">
        <v>1</v>
      </c>
      <c r="N19" s="7">
        <v>0</v>
      </c>
      <c r="O19" s="7">
        <v>0</v>
      </c>
      <c r="P19" s="7">
        <v>0</v>
      </c>
      <c r="Q19" s="32">
        <f t="shared" si="1"/>
        <v>0.25</v>
      </c>
      <c r="R19" s="32">
        <f t="shared" si="1"/>
        <v>0</v>
      </c>
      <c r="S19" s="7"/>
      <c r="T19" s="7"/>
      <c r="U19" s="7"/>
      <c r="V19" s="7"/>
      <c r="W19" s="7"/>
    </row>
    <row r="20" spans="1:23">
      <c r="A20" s="6">
        <v>46128</v>
      </c>
      <c r="B20" s="7" t="s">
        <v>166</v>
      </c>
      <c r="C20" s="18"/>
      <c r="D20" s="18" t="s">
        <v>158</v>
      </c>
      <c r="E20" s="18" t="s">
        <v>116</v>
      </c>
      <c r="F20" s="18" t="s">
        <v>159</v>
      </c>
      <c r="G20" s="18"/>
      <c r="H20" s="18"/>
      <c r="I20" s="30" t="s">
        <v>169</v>
      </c>
      <c r="J20" s="40" t="s">
        <v>35</v>
      </c>
      <c r="K20" s="18" t="s">
        <v>149</v>
      </c>
      <c r="L20" s="7">
        <v>2</v>
      </c>
      <c r="M20" s="7">
        <v>1</v>
      </c>
      <c r="N20" s="7">
        <v>1</v>
      </c>
      <c r="O20" s="7">
        <v>0</v>
      </c>
      <c r="P20" s="7">
        <v>0</v>
      </c>
      <c r="Q20" s="32">
        <f t="shared" si="1"/>
        <v>0.5</v>
      </c>
      <c r="R20" s="32">
        <f t="shared" si="1"/>
        <v>1</v>
      </c>
      <c r="S20" s="7"/>
      <c r="T20" s="7"/>
      <c r="U20" s="7"/>
      <c r="V20" s="7"/>
      <c r="W20" s="7"/>
    </row>
    <row r="21" spans="1:23">
      <c r="A21" s="6">
        <v>46128</v>
      </c>
      <c r="B21" s="7" t="s">
        <v>166</v>
      </c>
      <c r="C21" s="18"/>
      <c r="D21" s="18" t="s">
        <v>189</v>
      </c>
      <c r="E21" s="18" t="s">
        <v>116</v>
      </c>
      <c r="F21" s="18"/>
      <c r="G21" s="18"/>
      <c r="H21" s="18"/>
      <c r="I21" s="30" t="s">
        <v>168</v>
      </c>
      <c r="J21" s="40" t="s">
        <v>35</v>
      </c>
      <c r="K21" s="18" t="s">
        <v>186</v>
      </c>
      <c r="L21" s="7">
        <v>32</v>
      </c>
      <c r="M21" s="7">
        <v>0</v>
      </c>
      <c r="N21" s="7">
        <v>0</v>
      </c>
      <c r="O21" s="7">
        <v>0</v>
      </c>
      <c r="P21" s="7">
        <v>0</v>
      </c>
      <c r="Q21" s="32">
        <f t="shared" si="1"/>
        <v>0</v>
      </c>
      <c r="R21" s="32" t="e">
        <f t="shared" si="1"/>
        <v>#DIV/0!</v>
      </c>
      <c r="S21" s="7"/>
      <c r="T21" s="7"/>
      <c r="U21" s="7"/>
      <c r="V21" s="7"/>
      <c r="W21" s="7"/>
    </row>
    <row r="22" spans="1:23">
      <c r="A22" s="6">
        <v>46128</v>
      </c>
      <c r="B22" s="7" t="s">
        <v>166</v>
      </c>
      <c r="C22" s="7"/>
      <c r="D22" s="31" t="s">
        <v>179</v>
      </c>
      <c r="E22" s="7"/>
      <c r="F22" s="7"/>
      <c r="G22" s="7"/>
      <c r="H22" s="7"/>
      <c r="I22" s="14" t="s">
        <v>67</v>
      </c>
      <c r="J22" s="7" t="s">
        <v>35</v>
      </c>
      <c r="K22" s="7" t="s">
        <v>170</v>
      </c>
      <c r="L22" s="7">
        <v>1499</v>
      </c>
      <c r="M22" s="7">
        <v>1370</v>
      </c>
      <c r="N22" s="7">
        <v>917</v>
      </c>
      <c r="O22" s="7">
        <v>0</v>
      </c>
      <c r="P22" s="7">
        <v>1</v>
      </c>
      <c r="Q22" s="32">
        <f t="shared" si="1"/>
        <v>0.91394262841894591</v>
      </c>
      <c r="R22" s="32">
        <f t="shared" si="1"/>
        <v>0.66934306569343061</v>
      </c>
      <c r="S22" s="7"/>
      <c r="T22" s="7"/>
      <c r="U22" s="7"/>
      <c r="V22" s="7"/>
      <c r="W22" s="7"/>
    </row>
    <row r="23" spans="1:23">
      <c r="A23" s="6">
        <v>46128</v>
      </c>
      <c r="B23" s="7" t="s">
        <v>166</v>
      </c>
      <c r="C23" s="7"/>
      <c r="D23" s="31" t="s">
        <v>180</v>
      </c>
      <c r="E23" s="7"/>
      <c r="F23" s="7"/>
      <c r="G23" s="7"/>
      <c r="H23" s="7"/>
      <c r="I23" s="47" t="s">
        <v>178</v>
      </c>
      <c r="J23" s="7" t="s">
        <v>35</v>
      </c>
      <c r="K23" s="7" t="s">
        <v>170</v>
      </c>
      <c r="L23" s="7">
        <v>364</v>
      </c>
      <c r="M23" s="7">
        <v>323</v>
      </c>
      <c r="N23" s="7">
        <v>218</v>
      </c>
      <c r="O23" s="7">
        <v>0</v>
      </c>
      <c r="P23" s="7">
        <v>0</v>
      </c>
      <c r="Q23" s="32">
        <f t="shared" si="1"/>
        <v>0.88736263736263732</v>
      </c>
      <c r="R23" s="32">
        <f t="shared" si="1"/>
        <v>0.67492260061919507</v>
      </c>
      <c r="S23" s="7"/>
      <c r="T23" s="7"/>
      <c r="U23" s="7"/>
      <c r="V23" s="7"/>
      <c r="W23" s="7"/>
    </row>
    <row r="24" spans="1:23">
      <c r="A24" s="6">
        <v>46128</v>
      </c>
      <c r="B24" s="7" t="s">
        <v>166</v>
      </c>
      <c r="C24" s="7"/>
      <c r="D24" s="31" t="s">
        <v>181</v>
      </c>
      <c r="E24" s="7"/>
      <c r="F24" s="7"/>
      <c r="G24" s="7"/>
      <c r="H24" s="7"/>
      <c r="I24" s="14" t="s">
        <v>68</v>
      </c>
      <c r="J24" s="7" t="s">
        <v>35</v>
      </c>
      <c r="K24" s="7" t="s">
        <v>171</v>
      </c>
      <c r="L24" s="7">
        <v>178</v>
      </c>
      <c r="M24" s="7">
        <v>113</v>
      </c>
      <c r="N24" s="7">
        <v>74</v>
      </c>
      <c r="O24" s="7">
        <v>0</v>
      </c>
      <c r="P24" s="7">
        <v>322</v>
      </c>
      <c r="Q24" s="32">
        <f t="shared" si="1"/>
        <v>0.6348314606741573</v>
      </c>
      <c r="R24" s="32">
        <f t="shared" si="1"/>
        <v>0.65486725663716816</v>
      </c>
      <c r="S24" s="7"/>
      <c r="T24" s="7"/>
      <c r="U24" s="7"/>
      <c r="V24" s="7"/>
      <c r="W24" s="7"/>
    </row>
    <row r="25" spans="1:23">
      <c r="A25" s="6">
        <v>46128</v>
      </c>
      <c r="B25" s="7" t="s">
        <v>166</v>
      </c>
      <c r="C25" s="7"/>
      <c r="D25" s="31" t="s">
        <v>182</v>
      </c>
      <c r="E25" s="7"/>
      <c r="F25" s="7"/>
      <c r="G25" s="7"/>
      <c r="H25" s="7"/>
      <c r="I25" s="14" t="s">
        <v>68</v>
      </c>
      <c r="J25" s="7" t="s">
        <v>35</v>
      </c>
      <c r="K25" s="7" t="s">
        <v>171</v>
      </c>
      <c r="L25" s="7">
        <v>178</v>
      </c>
      <c r="M25" s="7">
        <v>114</v>
      </c>
      <c r="N25" s="7">
        <v>71</v>
      </c>
      <c r="O25" s="7">
        <v>0</v>
      </c>
      <c r="P25" s="7">
        <v>0</v>
      </c>
      <c r="Q25" s="32">
        <f t="shared" si="1"/>
        <v>0.6404494382022472</v>
      </c>
      <c r="R25" s="32">
        <f t="shared" si="1"/>
        <v>0.6228070175438597</v>
      </c>
      <c r="S25" s="7"/>
      <c r="T25" s="7"/>
      <c r="U25" s="7"/>
      <c r="V25" s="7"/>
      <c r="W25" s="7"/>
    </row>
    <row r="26" spans="1:23">
      <c r="A26" s="6">
        <v>46128</v>
      </c>
      <c r="B26" s="7" t="s">
        <v>166</v>
      </c>
      <c r="C26" s="7"/>
      <c r="D26" s="31" t="s">
        <v>183</v>
      </c>
      <c r="E26" s="7" t="s">
        <v>116</v>
      </c>
      <c r="F26" s="7" t="s">
        <v>161</v>
      </c>
      <c r="G26" s="7" t="s">
        <v>85</v>
      </c>
      <c r="H26" s="7"/>
      <c r="I26" s="14"/>
      <c r="J26" s="7" t="s">
        <v>35</v>
      </c>
      <c r="K26" s="7" t="s">
        <v>149</v>
      </c>
      <c r="L26" s="7">
        <v>142</v>
      </c>
      <c r="M26" s="7">
        <v>28</v>
      </c>
      <c r="N26" s="7">
        <v>7</v>
      </c>
      <c r="O26" s="7">
        <v>0</v>
      </c>
      <c r="P26" s="7">
        <v>0</v>
      </c>
      <c r="Q26" s="32">
        <f t="shared" si="1"/>
        <v>0.19718309859154928</v>
      </c>
      <c r="R26" s="32">
        <f t="shared" si="1"/>
        <v>0.25</v>
      </c>
      <c r="S26" s="7"/>
      <c r="T26" s="7"/>
      <c r="U26" s="7"/>
      <c r="V26" s="7"/>
      <c r="W26" s="7"/>
    </row>
    <row r="27" spans="1:23">
      <c r="A27" s="6">
        <v>46128</v>
      </c>
      <c r="B27" s="7" t="s">
        <v>166</v>
      </c>
      <c r="C27" s="7"/>
      <c r="D27" s="31" t="s">
        <v>184</v>
      </c>
      <c r="E27" s="7" t="s">
        <v>116</v>
      </c>
      <c r="F27" s="7" t="s">
        <v>161</v>
      </c>
      <c r="G27" s="7" t="s">
        <v>85</v>
      </c>
      <c r="H27" s="7"/>
      <c r="I27" s="14"/>
      <c r="J27" s="7" t="s">
        <v>35</v>
      </c>
      <c r="K27" s="7" t="s">
        <v>121</v>
      </c>
      <c r="L27" s="7">
        <v>178</v>
      </c>
      <c r="M27" s="7">
        <v>17</v>
      </c>
      <c r="N27" s="7">
        <v>11</v>
      </c>
      <c r="O27" s="7">
        <v>0</v>
      </c>
      <c r="P27" s="7">
        <v>15</v>
      </c>
      <c r="Q27" s="32">
        <f t="shared" si="1"/>
        <v>9.5505617977528087E-2</v>
      </c>
      <c r="R27" s="32">
        <f t="shared" si="1"/>
        <v>0.6470588235294118</v>
      </c>
      <c r="S27" s="7"/>
      <c r="T27" s="7"/>
      <c r="U27" s="7"/>
      <c r="V27" s="7"/>
      <c r="W27" s="7"/>
    </row>
    <row r="28" spans="1:23" ht="6.6" customHeight="1">
      <c r="A28" s="22"/>
      <c r="B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5"/>
      <c r="R28" s="25"/>
      <c r="S28" s="24"/>
      <c r="T28" s="24"/>
      <c r="U28" s="24"/>
      <c r="V28" s="25"/>
      <c r="W28" s="26"/>
    </row>
    <row r="29" spans="1:23">
      <c r="A29" s="6">
        <v>46129</v>
      </c>
      <c r="B29" s="39" t="s">
        <v>206</v>
      </c>
      <c r="C29" s="40"/>
      <c r="D29" s="40" t="s">
        <v>108</v>
      </c>
      <c r="E29" s="40" t="s">
        <v>116</v>
      </c>
      <c r="F29" s="40" t="s">
        <v>115</v>
      </c>
      <c r="G29" s="40"/>
      <c r="H29" s="40"/>
      <c r="I29" s="41"/>
      <c r="J29" s="40" t="s">
        <v>35</v>
      </c>
      <c r="K29" s="40" t="s">
        <v>106</v>
      </c>
      <c r="L29" s="39">
        <v>111</v>
      </c>
      <c r="M29" s="39">
        <v>4</v>
      </c>
      <c r="N29" s="39">
        <v>3</v>
      </c>
      <c r="O29" s="39">
        <v>0</v>
      </c>
      <c r="P29" s="39">
        <v>0</v>
      </c>
      <c r="Q29" s="42">
        <f t="shared" ref="Q29:R40" si="2">M29/L29</f>
        <v>3.6036036036036036E-2</v>
      </c>
      <c r="R29" s="42">
        <f t="shared" si="2"/>
        <v>0.75</v>
      </c>
      <c r="S29" s="39"/>
      <c r="T29" s="39"/>
      <c r="U29" s="39"/>
      <c r="V29" s="39"/>
      <c r="W29" s="39"/>
    </row>
    <row r="30" spans="1:23">
      <c r="A30" s="6">
        <v>46129</v>
      </c>
      <c r="B30" s="7" t="s">
        <v>206</v>
      </c>
      <c r="C30" s="18"/>
      <c r="D30" s="18" t="s">
        <v>155</v>
      </c>
      <c r="E30" s="18" t="s">
        <v>116</v>
      </c>
      <c r="F30" s="18" t="s">
        <v>156</v>
      </c>
      <c r="G30" s="18"/>
      <c r="H30" s="18"/>
      <c r="I30" s="30"/>
      <c r="J30" s="18" t="s">
        <v>35</v>
      </c>
      <c r="K30" s="18" t="s">
        <v>157</v>
      </c>
      <c r="L30" s="7">
        <v>5</v>
      </c>
      <c r="M30" s="7">
        <v>1</v>
      </c>
      <c r="N30" s="7">
        <v>1</v>
      </c>
      <c r="O30" s="7">
        <v>0</v>
      </c>
      <c r="P30" s="7">
        <v>0</v>
      </c>
      <c r="Q30" s="32">
        <f t="shared" si="2"/>
        <v>0.2</v>
      </c>
      <c r="R30" s="32">
        <f t="shared" si="2"/>
        <v>1</v>
      </c>
      <c r="S30" s="7"/>
      <c r="T30" s="7"/>
      <c r="U30" s="7"/>
      <c r="V30" s="7"/>
      <c r="W30" s="7"/>
    </row>
    <row r="31" spans="1:23">
      <c r="A31" s="6">
        <v>46129</v>
      </c>
      <c r="B31" s="7" t="s">
        <v>206</v>
      </c>
      <c r="C31" s="18"/>
      <c r="D31" s="18" t="s">
        <v>158</v>
      </c>
      <c r="E31" s="18" t="s">
        <v>116</v>
      </c>
      <c r="F31" s="18" t="s">
        <v>159</v>
      </c>
      <c r="G31" s="18"/>
      <c r="H31" s="18"/>
      <c r="I31" s="30"/>
      <c r="J31" s="18" t="s">
        <v>35</v>
      </c>
      <c r="K31" s="18" t="s">
        <v>149</v>
      </c>
      <c r="L31" s="7">
        <v>3</v>
      </c>
      <c r="M31" s="7">
        <v>2</v>
      </c>
      <c r="N31" s="7">
        <v>1</v>
      </c>
      <c r="O31" s="7">
        <v>0</v>
      </c>
      <c r="P31" s="7">
        <v>0</v>
      </c>
      <c r="Q31" s="32">
        <f t="shared" si="2"/>
        <v>0.66666666666666663</v>
      </c>
      <c r="R31" s="32">
        <f t="shared" si="2"/>
        <v>0.5</v>
      </c>
      <c r="S31" s="7"/>
      <c r="T31" s="7"/>
      <c r="U31" s="7"/>
      <c r="V31" s="7"/>
      <c r="W31" s="7"/>
    </row>
    <row r="32" spans="1:23">
      <c r="A32" s="6">
        <v>46129</v>
      </c>
      <c r="B32" s="7" t="s">
        <v>206</v>
      </c>
      <c r="C32" s="18"/>
      <c r="D32" s="18" t="s">
        <v>189</v>
      </c>
      <c r="E32" s="18" t="s">
        <v>116</v>
      </c>
      <c r="F32" s="18"/>
      <c r="G32" s="18"/>
      <c r="H32" s="18"/>
      <c r="I32" s="30"/>
      <c r="J32" s="18" t="s">
        <v>35</v>
      </c>
      <c r="K32" s="18" t="s">
        <v>186</v>
      </c>
      <c r="L32" s="7">
        <v>56</v>
      </c>
      <c r="M32" s="7">
        <v>0</v>
      </c>
      <c r="N32" s="7">
        <v>0</v>
      </c>
      <c r="O32" s="7">
        <v>0</v>
      </c>
      <c r="P32" s="7">
        <v>0</v>
      </c>
      <c r="Q32" s="32">
        <f t="shared" si="2"/>
        <v>0</v>
      </c>
      <c r="R32" s="32" t="e">
        <f t="shared" si="2"/>
        <v>#DIV/0!</v>
      </c>
      <c r="S32" s="7"/>
      <c r="T32" s="7"/>
      <c r="U32" s="7"/>
      <c r="V32" s="7"/>
      <c r="W32" s="7"/>
    </row>
    <row r="33" spans="1:23">
      <c r="A33" s="6">
        <v>46129</v>
      </c>
      <c r="B33" s="7" t="s">
        <v>206</v>
      </c>
      <c r="C33" s="7"/>
      <c r="D33" s="31" t="s">
        <v>271</v>
      </c>
      <c r="E33" s="7"/>
      <c r="F33" s="7"/>
      <c r="G33" s="7"/>
      <c r="H33" s="7"/>
      <c r="I33" s="14" t="s">
        <v>67</v>
      </c>
      <c r="J33" s="7" t="s">
        <v>35</v>
      </c>
      <c r="K33" s="7" t="s">
        <v>170</v>
      </c>
      <c r="L33" s="7">
        <v>1499</v>
      </c>
      <c r="M33" s="7">
        <v>1449</v>
      </c>
      <c r="N33" s="7">
        <v>961</v>
      </c>
      <c r="O33" s="7">
        <v>0</v>
      </c>
      <c r="P33" s="7">
        <v>1</v>
      </c>
      <c r="Q33" s="32">
        <f t="shared" si="2"/>
        <v>0.9666444296197465</v>
      </c>
      <c r="R33" s="32">
        <f t="shared" si="2"/>
        <v>0.66321601104209804</v>
      </c>
      <c r="S33" s="7"/>
      <c r="T33" s="7"/>
      <c r="U33" s="7"/>
      <c r="V33" s="7"/>
      <c r="W33" s="7"/>
    </row>
    <row r="34" spans="1:23">
      <c r="A34" s="6">
        <v>46129</v>
      </c>
      <c r="B34" s="7" t="s">
        <v>206</v>
      </c>
      <c r="C34" s="7"/>
      <c r="D34" s="65" t="s">
        <v>272</v>
      </c>
      <c r="E34" s="7"/>
      <c r="F34" s="7"/>
      <c r="G34" s="7"/>
      <c r="H34" s="7"/>
      <c r="I34" s="47" t="s">
        <v>211</v>
      </c>
      <c r="J34" s="7" t="s">
        <v>35</v>
      </c>
      <c r="K34" s="7" t="s">
        <v>170</v>
      </c>
      <c r="L34" s="7">
        <v>246</v>
      </c>
      <c r="M34" s="7">
        <v>240</v>
      </c>
      <c r="N34" s="7">
        <v>160</v>
      </c>
      <c r="O34" s="7">
        <v>0</v>
      </c>
      <c r="P34" s="7">
        <v>0</v>
      </c>
      <c r="Q34" s="32">
        <f t="shared" si="2"/>
        <v>0.97560975609756095</v>
      </c>
      <c r="R34" s="32">
        <f t="shared" si="2"/>
        <v>0.66666666666666663</v>
      </c>
      <c r="S34" s="7"/>
      <c r="T34" s="7"/>
      <c r="U34" s="7"/>
      <c r="V34" s="7"/>
      <c r="W34" s="7"/>
    </row>
    <row r="35" spans="1:23">
      <c r="A35" s="6">
        <v>46129</v>
      </c>
      <c r="B35" s="7" t="s">
        <v>206</v>
      </c>
      <c r="C35" s="7"/>
      <c r="D35" s="51" t="s">
        <v>181</v>
      </c>
      <c r="E35" s="7"/>
      <c r="F35" s="7"/>
      <c r="G35" s="7"/>
      <c r="H35" s="7"/>
      <c r="I35" s="14" t="s">
        <v>68</v>
      </c>
      <c r="J35" s="7" t="s">
        <v>35</v>
      </c>
      <c r="K35" s="7" t="s">
        <v>171</v>
      </c>
      <c r="L35" s="7"/>
      <c r="M35" s="7"/>
      <c r="N35" s="7"/>
      <c r="O35" s="7"/>
      <c r="P35" s="7"/>
      <c r="Q35" s="32" t="e">
        <f t="shared" si="2"/>
        <v>#DIV/0!</v>
      </c>
      <c r="R35" s="32" t="e">
        <f t="shared" si="2"/>
        <v>#DIV/0!</v>
      </c>
      <c r="S35" s="7"/>
      <c r="T35" s="7"/>
      <c r="U35" s="7"/>
      <c r="V35" s="7"/>
      <c r="W35" s="7"/>
    </row>
    <row r="36" spans="1:23">
      <c r="A36" s="6">
        <v>46129</v>
      </c>
      <c r="B36" s="7" t="s">
        <v>206</v>
      </c>
      <c r="C36" s="7"/>
      <c r="D36" s="51" t="s">
        <v>182</v>
      </c>
      <c r="E36" s="7"/>
      <c r="F36" s="7"/>
      <c r="G36" s="7"/>
      <c r="H36" s="7"/>
      <c r="I36" s="14" t="s">
        <v>68</v>
      </c>
      <c r="J36" s="7" t="s">
        <v>35</v>
      </c>
      <c r="K36" s="7" t="s">
        <v>171</v>
      </c>
      <c r="L36" s="7"/>
      <c r="M36" s="7"/>
      <c r="N36" s="7"/>
      <c r="O36" s="7"/>
      <c r="P36" s="7"/>
      <c r="Q36" s="32" t="e">
        <f t="shared" si="2"/>
        <v>#DIV/0!</v>
      </c>
      <c r="R36" s="32" t="e">
        <f t="shared" si="2"/>
        <v>#DIV/0!</v>
      </c>
      <c r="S36" s="7"/>
      <c r="T36" s="7"/>
      <c r="U36" s="7"/>
      <c r="V36" s="7"/>
      <c r="W36" s="7"/>
    </row>
    <row r="37" spans="1:23">
      <c r="A37" s="6">
        <v>46129</v>
      </c>
      <c r="B37" s="7" t="s">
        <v>206</v>
      </c>
      <c r="C37" s="62">
        <v>0.85416666666666663</v>
      </c>
      <c r="D37" s="31" t="s">
        <v>254</v>
      </c>
      <c r="E37" s="7" t="s">
        <v>253</v>
      </c>
      <c r="F37" s="7" t="s">
        <v>247</v>
      </c>
      <c r="G37" s="7"/>
      <c r="H37" s="7"/>
      <c r="I37" s="30" t="s">
        <v>209</v>
      </c>
      <c r="J37" s="7" t="s">
        <v>35</v>
      </c>
      <c r="K37" s="7" t="s">
        <v>149</v>
      </c>
      <c r="L37" s="7">
        <v>142</v>
      </c>
      <c r="M37" s="7">
        <v>18</v>
      </c>
      <c r="N37" s="7">
        <v>2</v>
      </c>
      <c r="O37" s="7">
        <v>0</v>
      </c>
      <c r="P37" s="7">
        <v>0</v>
      </c>
      <c r="Q37" s="32">
        <f t="shared" si="2"/>
        <v>0.12676056338028169</v>
      </c>
      <c r="R37" s="32">
        <f t="shared" si="2"/>
        <v>0.1111111111111111</v>
      </c>
      <c r="S37" s="7"/>
      <c r="T37" s="7"/>
      <c r="U37" s="7"/>
      <c r="V37" s="7"/>
      <c r="W37" s="7"/>
    </row>
    <row r="38" spans="1:23" ht="16.8">
      <c r="A38" s="6">
        <v>46129</v>
      </c>
      <c r="B38" s="7" t="s">
        <v>206</v>
      </c>
      <c r="C38" s="62">
        <v>0.875</v>
      </c>
      <c r="D38" s="31" t="s">
        <v>255</v>
      </c>
      <c r="E38" s="7" t="s">
        <v>253</v>
      </c>
      <c r="F38" s="7" t="s">
        <v>247</v>
      </c>
      <c r="G38" s="7"/>
      <c r="H38" s="7"/>
      <c r="I38" s="30" t="s">
        <v>256</v>
      </c>
      <c r="J38" s="7" t="s">
        <v>35</v>
      </c>
      <c r="K38" s="52" t="s">
        <v>157</v>
      </c>
      <c r="L38" s="7">
        <v>61</v>
      </c>
      <c r="M38" s="7">
        <v>7</v>
      </c>
      <c r="N38" s="7">
        <v>0</v>
      </c>
      <c r="O38" s="7">
        <v>0</v>
      </c>
      <c r="P38" s="7">
        <v>0</v>
      </c>
      <c r="Q38" s="32">
        <f t="shared" si="2"/>
        <v>0.11475409836065574</v>
      </c>
      <c r="R38" s="32">
        <f t="shared" si="2"/>
        <v>0</v>
      </c>
      <c r="S38" s="7"/>
      <c r="T38" s="7"/>
      <c r="U38" s="7"/>
      <c r="V38" s="7"/>
      <c r="W38" s="7"/>
    </row>
    <row r="39" spans="1:23">
      <c r="A39" s="6">
        <v>46129</v>
      </c>
      <c r="B39" s="7" t="s">
        <v>206</v>
      </c>
      <c r="C39" s="62">
        <v>0.91666666666666663</v>
      </c>
      <c r="D39" s="31" t="s">
        <v>257</v>
      </c>
      <c r="E39" s="7" t="s">
        <v>253</v>
      </c>
      <c r="F39" s="7" t="s">
        <v>247</v>
      </c>
      <c r="G39" s="7"/>
      <c r="H39" s="7"/>
      <c r="I39" s="30" t="s">
        <v>209</v>
      </c>
      <c r="J39" s="7" t="s">
        <v>35</v>
      </c>
      <c r="K39" s="7" t="s">
        <v>121</v>
      </c>
      <c r="L39" s="7">
        <v>178</v>
      </c>
      <c r="M39" s="7">
        <v>22</v>
      </c>
      <c r="N39" s="7">
        <v>16</v>
      </c>
      <c r="O39" s="7">
        <v>0</v>
      </c>
      <c r="P39" s="7">
        <v>0</v>
      </c>
      <c r="Q39" s="32">
        <f t="shared" si="2"/>
        <v>0.12359550561797752</v>
      </c>
      <c r="R39" s="32">
        <f t="shared" si="2"/>
        <v>0.72727272727272729</v>
      </c>
      <c r="S39" s="7"/>
      <c r="T39" s="7"/>
      <c r="U39" s="7"/>
      <c r="V39" s="7"/>
      <c r="W39" s="7"/>
    </row>
    <row r="40" spans="1:23" ht="16.8">
      <c r="A40" s="6">
        <v>46129</v>
      </c>
      <c r="B40" s="7" t="s">
        <v>206</v>
      </c>
      <c r="C40" s="62">
        <v>0.96875</v>
      </c>
      <c r="D40" s="31" t="s">
        <v>258</v>
      </c>
      <c r="E40" s="7" t="s">
        <v>253</v>
      </c>
      <c r="F40" s="7" t="s">
        <v>247</v>
      </c>
      <c r="G40" s="7"/>
      <c r="H40" s="7"/>
      <c r="I40" s="30" t="s">
        <v>256</v>
      </c>
      <c r="J40" s="7" t="s">
        <v>34</v>
      </c>
      <c r="K40" s="52" t="s">
        <v>210</v>
      </c>
      <c r="L40" s="7">
        <v>49</v>
      </c>
      <c r="M40" s="7">
        <v>1</v>
      </c>
      <c r="N40" s="7">
        <v>0</v>
      </c>
      <c r="O40" s="7">
        <v>0</v>
      </c>
      <c r="P40" s="7">
        <v>0</v>
      </c>
      <c r="Q40" s="32">
        <f t="shared" si="2"/>
        <v>2.0408163265306121E-2</v>
      </c>
      <c r="R40" s="32">
        <f t="shared" si="2"/>
        <v>0</v>
      </c>
      <c r="S40" s="7"/>
      <c r="T40" s="7"/>
      <c r="U40" s="7"/>
      <c r="V40" s="7"/>
      <c r="W40" s="7"/>
    </row>
    <row r="41" spans="1:23" ht="6.6" customHeight="1">
      <c r="A41" s="22"/>
      <c r="B41" s="23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5"/>
      <c r="R41" s="25"/>
      <c r="S41" s="24"/>
      <c r="T41" s="24"/>
      <c r="U41" s="24"/>
      <c r="V41" s="25"/>
      <c r="W41" s="26"/>
    </row>
    <row r="42" spans="1:23">
      <c r="A42" s="6">
        <v>46130</v>
      </c>
      <c r="B42" s="39" t="s">
        <v>26</v>
      </c>
      <c r="C42" s="40"/>
      <c r="D42" s="40" t="s">
        <v>108</v>
      </c>
      <c r="E42" s="40" t="s">
        <v>116</v>
      </c>
      <c r="F42" s="40" t="s">
        <v>115</v>
      </c>
      <c r="G42" s="40"/>
      <c r="H42" s="40"/>
      <c r="I42" s="41"/>
      <c r="J42" s="40" t="s">
        <v>35</v>
      </c>
      <c r="K42" s="40" t="s">
        <v>106</v>
      </c>
      <c r="L42" s="39">
        <v>111</v>
      </c>
      <c r="M42" s="39">
        <v>1</v>
      </c>
      <c r="N42" s="39">
        <v>0</v>
      </c>
      <c r="O42" s="39">
        <v>0</v>
      </c>
      <c r="P42" s="39">
        <v>0</v>
      </c>
      <c r="Q42" s="42">
        <f t="shared" ref="Q42:R53" si="3">M42/L42</f>
        <v>9.0090090090090089E-3</v>
      </c>
      <c r="R42" s="42">
        <f t="shared" si="3"/>
        <v>0</v>
      </c>
      <c r="S42" s="39"/>
      <c r="T42" s="39"/>
      <c r="U42" s="39"/>
      <c r="V42" s="39"/>
      <c r="W42" s="39"/>
    </row>
    <row r="43" spans="1:23">
      <c r="A43" s="6">
        <v>46130</v>
      </c>
      <c r="B43" s="7" t="s">
        <v>26</v>
      </c>
      <c r="C43" s="18"/>
      <c r="D43" s="18" t="s">
        <v>155</v>
      </c>
      <c r="E43" s="18" t="s">
        <v>116</v>
      </c>
      <c r="F43" s="18" t="s">
        <v>156</v>
      </c>
      <c r="G43" s="18"/>
      <c r="H43" s="18"/>
      <c r="I43" s="30"/>
      <c r="J43" s="18" t="s">
        <v>35</v>
      </c>
      <c r="K43" s="18" t="s">
        <v>157</v>
      </c>
      <c r="L43" s="7">
        <v>2</v>
      </c>
      <c r="M43" s="7">
        <v>0</v>
      </c>
      <c r="N43" s="7">
        <v>0</v>
      </c>
      <c r="O43" s="7">
        <v>0</v>
      </c>
      <c r="P43" s="7">
        <v>0</v>
      </c>
      <c r="Q43" s="32">
        <f t="shared" si="3"/>
        <v>0</v>
      </c>
      <c r="R43" s="32" t="e">
        <f t="shared" si="3"/>
        <v>#DIV/0!</v>
      </c>
      <c r="S43" s="7"/>
      <c r="T43" s="7"/>
      <c r="U43" s="7"/>
      <c r="V43" s="7"/>
      <c r="W43" s="7"/>
    </row>
    <row r="44" spans="1:23">
      <c r="A44" s="6">
        <v>46130</v>
      </c>
      <c r="B44" s="7" t="s">
        <v>26</v>
      </c>
      <c r="C44" s="18"/>
      <c r="D44" s="18" t="s">
        <v>158</v>
      </c>
      <c r="E44" s="18" t="s">
        <v>116</v>
      </c>
      <c r="F44" s="18" t="s">
        <v>159</v>
      </c>
      <c r="G44" s="18"/>
      <c r="H44" s="18"/>
      <c r="I44" s="30"/>
      <c r="J44" s="18" t="s">
        <v>35</v>
      </c>
      <c r="K44" s="18" t="s">
        <v>149</v>
      </c>
      <c r="L44" s="7">
        <v>3</v>
      </c>
      <c r="M44" s="7">
        <v>0</v>
      </c>
      <c r="N44" s="7">
        <v>0</v>
      </c>
      <c r="O44" s="7">
        <v>0</v>
      </c>
      <c r="P44" s="7">
        <v>0</v>
      </c>
      <c r="Q44" s="32">
        <f t="shared" si="3"/>
        <v>0</v>
      </c>
      <c r="R44" s="32" t="e">
        <f t="shared" si="3"/>
        <v>#DIV/0!</v>
      </c>
      <c r="S44" s="7"/>
      <c r="T44" s="7"/>
      <c r="U44" s="7"/>
      <c r="V44" s="7"/>
      <c r="W44" s="7"/>
    </row>
    <row r="45" spans="1:23">
      <c r="A45" s="6">
        <v>46130</v>
      </c>
      <c r="B45" s="7" t="s">
        <v>26</v>
      </c>
      <c r="C45" s="18"/>
      <c r="D45" s="18" t="s">
        <v>189</v>
      </c>
      <c r="E45" s="18" t="s">
        <v>116</v>
      </c>
      <c r="F45" s="18"/>
      <c r="G45" s="18"/>
      <c r="H45" s="18"/>
      <c r="I45" s="30"/>
      <c r="J45" s="18" t="s">
        <v>35</v>
      </c>
      <c r="K45" s="18" t="s">
        <v>186</v>
      </c>
      <c r="L45" s="7">
        <v>80</v>
      </c>
      <c r="M45" s="7">
        <v>2</v>
      </c>
      <c r="N45" s="7">
        <v>0</v>
      </c>
      <c r="O45" s="7">
        <v>0</v>
      </c>
      <c r="P45" s="7">
        <v>0</v>
      </c>
      <c r="Q45" s="32">
        <f t="shared" si="3"/>
        <v>2.5000000000000001E-2</v>
      </c>
      <c r="R45" s="32">
        <f t="shared" si="3"/>
        <v>0</v>
      </c>
      <c r="S45" s="7"/>
      <c r="T45" s="7"/>
      <c r="U45" s="7"/>
      <c r="V45" s="7"/>
      <c r="W45" s="7"/>
    </row>
    <row r="46" spans="1:23">
      <c r="A46" s="6">
        <v>46130</v>
      </c>
      <c r="B46" s="7" t="s">
        <v>26</v>
      </c>
      <c r="C46" s="7"/>
      <c r="D46" s="31" t="s">
        <v>274</v>
      </c>
      <c r="E46" s="7"/>
      <c r="F46" s="7"/>
      <c r="G46" s="7"/>
      <c r="H46" s="7"/>
      <c r="I46" s="14" t="s">
        <v>67</v>
      </c>
      <c r="J46" s="7" t="s">
        <v>35</v>
      </c>
      <c r="K46" s="7" t="s">
        <v>170</v>
      </c>
      <c r="L46" s="7">
        <v>1499</v>
      </c>
      <c r="M46" s="7">
        <v>1449</v>
      </c>
      <c r="N46" s="7">
        <v>926</v>
      </c>
      <c r="O46" s="7">
        <v>0</v>
      </c>
      <c r="P46" s="7">
        <v>1</v>
      </c>
      <c r="Q46" s="32">
        <f t="shared" si="3"/>
        <v>0.9666444296197465</v>
      </c>
      <c r="R46" s="32">
        <f t="shared" si="3"/>
        <v>0.63906142167011737</v>
      </c>
      <c r="S46" s="7"/>
      <c r="T46" s="7"/>
      <c r="U46" s="7"/>
      <c r="V46" s="7"/>
      <c r="W46" s="7"/>
    </row>
    <row r="47" spans="1:23">
      <c r="A47" s="6">
        <v>46130</v>
      </c>
      <c r="B47" s="7" t="s">
        <v>26</v>
      </c>
      <c r="C47" s="7"/>
      <c r="D47" s="65" t="s">
        <v>272</v>
      </c>
      <c r="E47" s="7"/>
      <c r="F47" s="7"/>
      <c r="G47" s="7"/>
      <c r="H47" s="7"/>
      <c r="I47" s="47" t="s">
        <v>211</v>
      </c>
      <c r="J47" s="7" t="s">
        <v>35</v>
      </c>
      <c r="K47" s="7" t="s">
        <v>170</v>
      </c>
      <c r="L47" s="7">
        <v>469</v>
      </c>
      <c r="M47" s="7">
        <v>449</v>
      </c>
      <c r="N47" s="7">
        <v>277</v>
      </c>
      <c r="O47" s="7">
        <v>0</v>
      </c>
      <c r="P47" s="7">
        <v>1</v>
      </c>
      <c r="Q47" s="32">
        <f t="shared" si="3"/>
        <v>0.95735607675906187</v>
      </c>
      <c r="R47" s="32">
        <f t="shared" si="3"/>
        <v>0.61692650334075727</v>
      </c>
      <c r="S47" s="7"/>
      <c r="T47" s="7"/>
      <c r="U47" s="7"/>
      <c r="V47" s="7"/>
      <c r="W47" s="7"/>
    </row>
    <row r="48" spans="1:23">
      <c r="A48" s="6">
        <v>46130</v>
      </c>
      <c r="B48" s="7" t="s">
        <v>26</v>
      </c>
      <c r="C48" s="7"/>
      <c r="D48" s="51" t="s">
        <v>181</v>
      </c>
      <c r="E48" s="7"/>
      <c r="F48" s="7"/>
      <c r="G48" s="7"/>
      <c r="H48" s="7"/>
      <c r="I48" s="14" t="s">
        <v>68</v>
      </c>
      <c r="J48" s="7" t="s">
        <v>35</v>
      </c>
      <c r="K48" s="7" t="s">
        <v>171</v>
      </c>
      <c r="L48" s="7"/>
      <c r="M48" s="7"/>
      <c r="N48" s="7"/>
      <c r="O48" s="7"/>
      <c r="P48" s="7"/>
      <c r="Q48" s="32" t="e">
        <f t="shared" si="3"/>
        <v>#DIV/0!</v>
      </c>
      <c r="R48" s="32" t="e">
        <f t="shared" si="3"/>
        <v>#DIV/0!</v>
      </c>
      <c r="S48" s="7"/>
      <c r="T48" s="7"/>
      <c r="U48" s="7"/>
      <c r="V48" s="7"/>
      <c r="W48" s="7"/>
    </row>
    <row r="49" spans="1:23">
      <c r="A49" s="6">
        <v>46130</v>
      </c>
      <c r="B49" s="7" t="s">
        <v>26</v>
      </c>
      <c r="C49" s="7"/>
      <c r="D49" s="51" t="s">
        <v>182</v>
      </c>
      <c r="E49" s="7"/>
      <c r="F49" s="7"/>
      <c r="G49" s="7"/>
      <c r="H49" s="7"/>
      <c r="I49" s="14" t="s">
        <v>68</v>
      </c>
      <c r="J49" s="7" t="s">
        <v>35</v>
      </c>
      <c r="K49" s="7" t="s">
        <v>171</v>
      </c>
      <c r="L49" s="7"/>
      <c r="M49" s="7"/>
      <c r="N49" s="7"/>
      <c r="O49" s="7"/>
      <c r="P49" s="7"/>
      <c r="Q49" s="32" t="e">
        <f t="shared" si="3"/>
        <v>#DIV/0!</v>
      </c>
      <c r="R49" s="32" t="e">
        <f t="shared" si="3"/>
        <v>#DIV/0!</v>
      </c>
      <c r="S49" s="7"/>
      <c r="T49" s="7"/>
      <c r="U49" s="7"/>
      <c r="V49" s="7"/>
      <c r="W49" s="7"/>
    </row>
    <row r="50" spans="1:23">
      <c r="A50" s="6">
        <v>46130</v>
      </c>
      <c r="B50" s="7" t="s">
        <v>26</v>
      </c>
      <c r="C50" s="62">
        <v>0.85416666666666663</v>
      </c>
      <c r="D50" s="31" t="s">
        <v>261</v>
      </c>
      <c r="E50" s="7" t="s">
        <v>116</v>
      </c>
      <c r="F50" s="7" t="s">
        <v>161</v>
      </c>
      <c r="G50" s="7" t="s">
        <v>85</v>
      </c>
      <c r="H50" s="7"/>
      <c r="I50" s="30"/>
      <c r="J50" s="7" t="s">
        <v>35</v>
      </c>
      <c r="K50" s="7" t="s">
        <v>149</v>
      </c>
      <c r="L50" s="7">
        <v>147</v>
      </c>
      <c r="M50" s="7">
        <v>30</v>
      </c>
      <c r="N50" s="7">
        <v>5</v>
      </c>
      <c r="O50" s="7">
        <v>0</v>
      </c>
      <c r="P50" s="7">
        <v>0</v>
      </c>
      <c r="Q50" s="32">
        <f t="shared" si="3"/>
        <v>0.20408163265306123</v>
      </c>
      <c r="R50" s="32">
        <f t="shared" si="3"/>
        <v>0.16666666666666666</v>
      </c>
      <c r="S50" s="7"/>
      <c r="T50" s="7"/>
      <c r="U50" s="7"/>
      <c r="V50" s="7"/>
      <c r="W50" s="7"/>
    </row>
    <row r="51" spans="1:23" ht="16.8">
      <c r="A51" s="6">
        <v>46130</v>
      </c>
      <c r="B51" s="7" t="s">
        <v>26</v>
      </c>
      <c r="C51" s="62">
        <v>0.875</v>
      </c>
      <c r="D51" s="31" t="s">
        <v>255</v>
      </c>
      <c r="E51" s="7" t="s">
        <v>253</v>
      </c>
      <c r="F51" s="7" t="s">
        <v>247</v>
      </c>
      <c r="G51" s="7"/>
      <c r="H51" s="7"/>
      <c r="I51" s="30"/>
      <c r="J51" s="7" t="s">
        <v>35</v>
      </c>
      <c r="K51" s="52" t="s">
        <v>157</v>
      </c>
      <c r="L51" s="7">
        <v>129</v>
      </c>
      <c r="M51" s="7">
        <v>28</v>
      </c>
      <c r="N51" s="7">
        <v>1</v>
      </c>
      <c r="O51" s="7">
        <v>0</v>
      </c>
      <c r="P51" s="7">
        <v>0</v>
      </c>
      <c r="Q51" s="32">
        <f t="shared" si="3"/>
        <v>0.21705426356589147</v>
      </c>
      <c r="R51" s="32">
        <f t="shared" si="3"/>
        <v>3.5714285714285712E-2</v>
      </c>
      <c r="S51" s="7"/>
      <c r="T51" s="7"/>
      <c r="U51" s="7"/>
      <c r="V51" s="7"/>
      <c r="W51" s="7"/>
    </row>
    <row r="52" spans="1:23">
      <c r="A52" s="6">
        <v>46130</v>
      </c>
      <c r="B52" s="7" t="s">
        <v>26</v>
      </c>
      <c r="C52" s="62">
        <v>0.91666666666666663</v>
      </c>
      <c r="D52" s="31" t="s">
        <v>262</v>
      </c>
      <c r="E52" s="7" t="s">
        <v>116</v>
      </c>
      <c r="F52" s="7" t="s">
        <v>161</v>
      </c>
      <c r="G52" s="7" t="s">
        <v>85</v>
      </c>
      <c r="H52" s="7"/>
      <c r="I52" s="30"/>
      <c r="J52" s="7" t="s">
        <v>35</v>
      </c>
      <c r="K52" s="7" t="s">
        <v>121</v>
      </c>
      <c r="L52" s="7">
        <v>178</v>
      </c>
      <c r="M52" s="7">
        <v>19</v>
      </c>
      <c r="N52" s="7">
        <v>13</v>
      </c>
      <c r="O52" s="7">
        <v>0</v>
      </c>
      <c r="P52" s="7">
        <v>0</v>
      </c>
      <c r="Q52" s="32">
        <f t="shared" si="3"/>
        <v>0.10674157303370786</v>
      </c>
      <c r="R52" s="32">
        <f t="shared" si="3"/>
        <v>0.68421052631578949</v>
      </c>
      <c r="S52" s="7"/>
      <c r="T52" s="7"/>
      <c r="U52" s="7"/>
      <c r="V52" s="7"/>
      <c r="W52" s="7"/>
    </row>
    <row r="53" spans="1:23" ht="16.8">
      <c r="A53" s="6">
        <v>46130</v>
      </c>
      <c r="B53" s="7" t="s">
        <v>26</v>
      </c>
      <c r="C53" s="62">
        <v>0.96875</v>
      </c>
      <c r="D53" s="31" t="s">
        <v>258</v>
      </c>
      <c r="E53" s="7" t="s">
        <v>253</v>
      </c>
      <c r="F53" s="7" t="s">
        <v>247</v>
      </c>
      <c r="G53" s="7"/>
      <c r="H53" s="7"/>
      <c r="I53" s="30"/>
      <c r="J53" s="7" t="s">
        <v>34</v>
      </c>
      <c r="K53" s="52" t="s">
        <v>210</v>
      </c>
      <c r="L53" s="7">
        <v>125</v>
      </c>
      <c r="M53" s="7">
        <v>1</v>
      </c>
      <c r="N53" s="7">
        <v>0</v>
      </c>
      <c r="O53" s="7">
        <v>0</v>
      </c>
      <c r="P53" s="7">
        <v>0</v>
      </c>
      <c r="Q53" s="32">
        <f t="shared" si="3"/>
        <v>8.0000000000000002E-3</v>
      </c>
      <c r="R53" s="32">
        <f t="shared" si="3"/>
        <v>0</v>
      </c>
      <c r="S53" s="7"/>
      <c r="T53" s="7"/>
      <c r="U53" s="7"/>
      <c r="V53" s="7"/>
      <c r="W53" s="7"/>
    </row>
    <row r="54" spans="1:23" ht="6.6" customHeight="1">
      <c r="A54" s="22"/>
      <c r="B54" s="23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5"/>
      <c r="R54" s="25"/>
      <c r="S54" s="24"/>
      <c r="T54" s="24"/>
      <c r="U54" s="24"/>
      <c r="V54" s="25"/>
      <c r="W54" s="26"/>
    </row>
    <row r="55" spans="1:23">
      <c r="A55" s="6">
        <v>46131</v>
      </c>
      <c r="B55" s="39" t="s">
        <v>33</v>
      </c>
      <c r="C55" s="40"/>
      <c r="D55" s="40" t="s">
        <v>108</v>
      </c>
      <c r="E55" s="40" t="s">
        <v>116</v>
      </c>
      <c r="F55" s="40" t="s">
        <v>115</v>
      </c>
      <c r="G55" s="40"/>
      <c r="H55" s="40"/>
      <c r="I55" s="41"/>
      <c r="J55" s="40" t="s">
        <v>35</v>
      </c>
      <c r="K55" s="40" t="s">
        <v>106</v>
      </c>
      <c r="L55" s="39">
        <v>101</v>
      </c>
      <c r="M55" s="39">
        <v>2</v>
      </c>
      <c r="N55" s="39">
        <v>1</v>
      </c>
      <c r="O55" s="39">
        <v>0</v>
      </c>
      <c r="P55" s="39">
        <v>0</v>
      </c>
      <c r="Q55" s="42">
        <f t="shared" ref="Q55:R66" si="4">M55/L55</f>
        <v>1.9801980198019802E-2</v>
      </c>
      <c r="R55" s="42">
        <f t="shared" si="4"/>
        <v>0.5</v>
      </c>
      <c r="S55" s="39"/>
      <c r="T55" s="39"/>
      <c r="U55" s="39"/>
      <c r="V55" s="39"/>
      <c r="W55" s="39"/>
    </row>
    <row r="56" spans="1:23">
      <c r="A56" s="6">
        <v>46131</v>
      </c>
      <c r="B56" s="7" t="s">
        <v>33</v>
      </c>
      <c r="C56" s="18"/>
      <c r="D56" s="18" t="s">
        <v>155</v>
      </c>
      <c r="E56" s="18" t="s">
        <v>116</v>
      </c>
      <c r="F56" s="18" t="s">
        <v>156</v>
      </c>
      <c r="G56" s="18"/>
      <c r="H56" s="18"/>
      <c r="I56" s="30"/>
      <c r="J56" s="18" t="s">
        <v>35</v>
      </c>
      <c r="K56" s="18" t="s">
        <v>157</v>
      </c>
      <c r="L56" s="7">
        <v>6</v>
      </c>
      <c r="M56" s="7">
        <v>2</v>
      </c>
      <c r="N56" s="7">
        <v>1</v>
      </c>
      <c r="O56" s="7">
        <v>0</v>
      </c>
      <c r="P56" s="7">
        <v>0</v>
      </c>
      <c r="Q56" s="32">
        <f t="shared" si="4"/>
        <v>0.33333333333333331</v>
      </c>
      <c r="R56" s="32">
        <f t="shared" si="4"/>
        <v>0.5</v>
      </c>
      <c r="S56" s="7"/>
      <c r="T56" s="7"/>
      <c r="U56" s="7"/>
      <c r="V56" s="7"/>
      <c r="W56" s="7"/>
    </row>
    <row r="57" spans="1:23">
      <c r="A57" s="6">
        <v>46131</v>
      </c>
      <c r="B57" s="7" t="s">
        <v>33</v>
      </c>
      <c r="C57" s="18"/>
      <c r="D57" s="18" t="s">
        <v>158</v>
      </c>
      <c r="E57" s="18" t="s">
        <v>116</v>
      </c>
      <c r="F57" s="18" t="s">
        <v>159</v>
      </c>
      <c r="G57" s="18"/>
      <c r="H57" s="18"/>
      <c r="I57" s="30"/>
      <c r="J57" s="18" t="s">
        <v>35</v>
      </c>
      <c r="K57" s="18" t="s">
        <v>149</v>
      </c>
      <c r="L57" s="7">
        <v>4</v>
      </c>
      <c r="M57" s="7">
        <v>1</v>
      </c>
      <c r="N57" s="7">
        <v>0</v>
      </c>
      <c r="O57" s="7">
        <v>0</v>
      </c>
      <c r="P57" s="7">
        <v>0</v>
      </c>
      <c r="Q57" s="32">
        <f t="shared" si="4"/>
        <v>0.25</v>
      </c>
      <c r="R57" s="32">
        <f t="shared" si="4"/>
        <v>0</v>
      </c>
      <c r="S57" s="7"/>
      <c r="T57" s="7"/>
      <c r="U57" s="7"/>
      <c r="V57" s="7"/>
      <c r="W57" s="7"/>
    </row>
    <row r="58" spans="1:23">
      <c r="A58" s="6">
        <v>46131</v>
      </c>
      <c r="B58" s="7" t="s">
        <v>33</v>
      </c>
      <c r="C58" s="18"/>
      <c r="D58" s="18" t="s">
        <v>189</v>
      </c>
      <c r="E58" s="18" t="s">
        <v>116</v>
      </c>
      <c r="F58" s="18"/>
      <c r="G58" s="18"/>
      <c r="H58" s="18"/>
      <c r="I58" s="30"/>
      <c r="J58" s="18" t="s">
        <v>35</v>
      </c>
      <c r="K58" s="18" t="s">
        <v>186</v>
      </c>
      <c r="L58" s="7">
        <v>84</v>
      </c>
      <c r="M58" s="7">
        <v>0</v>
      </c>
      <c r="N58" s="7">
        <v>0</v>
      </c>
      <c r="O58" s="7">
        <v>0</v>
      </c>
      <c r="P58" s="7">
        <v>0</v>
      </c>
      <c r="Q58" s="32">
        <f t="shared" si="4"/>
        <v>0</v>
      </c>
      <c r="R58" s="32" t="e">
        <f t="shared" si="4"/>
        <v>#DIV/0!</v>
      </c>
      <c r="S58" s="7"/>
      <c r="T58" s="7"/>
      <c r="U58" s="7"/>
      <c r="V58" s="7"/>
      <c r="W58" s="7"/>
    </row>
    <row r="59" spans="1:23">
      <c r="A59" s="6">
        <v>46131</v>
      </c>
      <c r="B59" s="7" t="s">
        <v>33</v>
      </c>
      <c r="C59" s="7"/>
      <c r="D59" s="31" t="s">
        <v>276</v>
      </c>
      <c r="E59" s="7"/>
      <c r="F59" s="7"/>
      <c r="G59" s="7"/>
      <c r="H59" s="7"/>
      <c r="I59" s="14" t="s">
        <v>67</v>
      </c>
      <c r="J59" s="7" t="s">
        <v>35</v>
      </c>
      <c r="K59" s="7" t="s">
        <v>170</v>
      </c>
      <c r="L59" s="7">
        <v>1499</v>
      </c>
      <c r="M59" s="7">
        <v>1427</v>
      </c>
      <c r="N59" s="7">
        <v>943</v>
      </c>
      <c r="O59" s="7">
        <v>0</v>
      </c>
      <c r="P59" s="7">
        <v>1</v>
      </c>
      <c r="Q59" s="32">
        <f t="shared" si="4"/>
        <v>0.95196797865243499</v>
      </c>
      <c r="R59" s="32">
        <f t="shared" si="4"/>
        <v>0.66082690960056056</v>
      </c>
      <c r="S59" s="7"/>
      <c r="T59" s="7"/>
      <c r="U59" s="7"/>
      <c r="V59" s="7"/>
      <c r="W59" s="7"/>
    </row>
    <row r="60" spans="1:23">
      <c r="A60" s="6">
        <v>46131</v>
      </c>
      <c r="B60" s="7" t="s">
        <v>33</v>
      </c>
      <c r="C60" s="7"/>
      <c r="D60" s="65" t="s">
        <v>272</v>
      </c>
      <c r="E60" s="7"/>
      <c r="F60" s="7"/>
      <c r="G60" s="7"/>
      <c r="H60" s="7"/>
      <c r="I60" s="47" t="s">
        <v>211</v>
      </c>
      <c r="J60" s="7" t="s">
        <v>35</v>
      </c>
      <c r="K60" s="7" t="s">
        <v>170</v>
      </c>
      <c r="L60" s="7">
        <v>487</v>
      </c>
      <c r="M60" s="7">
        <v>464</v>
      </c>
      <c r="N60" s="7">
        <v>301</v>
      </c>
      <c r="O60" s="7">
        <v>0</v>
      </c>
      <c r="P60" s="7">
        <v>0</v>
      </c>
      <c r="Q60" s="32">
        <f t="shared" si="4"/>
        <v>0.95277207392197127</v>
      </c>
      <c r="R60" s="32">
        <f t="shared" si="4"/>
        <v>0.64870689655172409</v>
      </c>
      <c r="S60" s="7"/>
      <c r="T60" s="7"/>
      <c r="U60" s="7"/>
      <c r="V60" s="7"/>
      <c r="W60" s="7"/>
    </row>
    <row r="61" spans="1:23">
      <c r="A61" s="6">
        <v>46131</v>
      </c>
      <c r="B61" s="7" t="s">
        <v>33</v>
      </c>
      <c r="C61" s="7"/>
      <c r="D61" s="51" t="s">
        <v>181</v>
      </c>
      <c r="E61" s="7"/>
      <c r="F61" s="7"/>
      <c r="G61" s="7"/>
      <c r="H61" s="7"/>
      <c r="I61" s="14" t="s">
        <v>68</v>
      </c>
      <c r="J61" s="7" t="s">
        <v>35</v>
      </c>
      <c r="K61" s="7" t="s">
        <v>171</v>
      </c>
      <c r="L61" s="7"/>
      <c r="M61" s="7"/>
      <c r="N61" s="7"/>
      <c r="O61" s="7"/>
      <c r="P61" s="7"/>
      <c r="Q61" s="32" t="e">
        <f t="shared" si="4"/>
        <v>#DIV/0!</v>
      </c>
      <c r="R61" s="32" t="e">
        <f t="shared" si="4"/>
        <v>#DIV/0!</v>
      </c>
      <c r="S61" s="7"/>
      <c r="T61" s="7"/>
      <c r="U61" s="7"/>
      <c r="V61" s="7"/>
      <c r="W61" s="7"/>
    </row>
    <row r="62" spans="1:23">
      <c r="A62" s="6">
        <v>46131</v>
      </c>
      <c r="B62" s="7" t="s">
        <v>33</v>
      </c>
      <c r="C62" s="7"/>
      <c r="D62" s="51" t="s">
        <v>182</v>
      </c>
      <c r="E62" s="7"/>
      <c r="F62" s="7"/>
      <c r="G62" s="7"/>
      <c r="H62" s="7"/>
      <c r="I62" s="14" t="s">
        <v>68</v>
      </c>
      <c r="J62" s="7" t="s">
        <v>35</v>
      </c>
      <c r="K62" s="7" t="s">
        <v>171</v>
      </c>
      <c r="L62" s="7"/>
      <c r="M62" s="7"/>
      <c r="N62" s="7"/>
      <c r="O62" s="7"/>
      <c r="P62" s="7"/>
      <c r="Q62" s="32" t="e">
        <f t="shared" si="4"/>
        <v>#DIV/0!</v>
      </c>
      <c r="R62" s="32" t="e">
        <f t="shared" si="4"/>
        <v>#DIV/0!</v>
      </c>
      <c r="S62" s="7"/>
      <c r="T62" s="7"/>
      <c r="U62" s="7"/>
      <c r="V62" s="7"/>
      <c r="W62" s="7"/>
    </row>
    <row r="63" spans="1:23">
      <c r="A63" s="6">
        <v>46131</v>
      </c>
      <c r="B63" s="7" t="s">
        <v>33</v>
      </c>
      <c r="C63" s="62">
        <v>0.85416666666666663</v>
      </c>
      <c r="D63" s="31" t="s">
        <v>264</v>
      </c>
      <c r="E63" s="7" t="s">
        <v>253</v>
      </c>
      <c r="F63" s="7" t="s">
        <v>247</v>
      </c>
      <c r="G63" s="7" t="s">
        <v>85</v>
      </c>
      <c r="H63" s="7"/>
      <c r="I63" s="30"/>
      <c r="J63" s="7" t="s">
        <v>35</v>
      </c>
      <c r="K63" s="7" t="s">
        <v>149</v>
      </c>
      <c r="L63" s="7">
        <v>147</v>
      </c>
      <c r="M63" s="7">
        <v>25</v>
      </c>
      <c r="N63" s="7">
        <v>2</v>
      </c>
      <c r="O63" s="7">
        <v>0</v>
      </c>
      <c r="P63" s="7">
        <v>0</v>
      </c>
      <c r="Q63" s="32">
        <f t="shared" si="4"/>
        <v>0.17006802721088435</v>
      </c>
      <c r="R63" s="32">
        <f t="shared" si="4"/>
        <v>0.08</v>
      </c>
      <c r="S63" s="7"/>
      <c r="T63" s="7"/>
      <c r="U63" s="7"/>
      <c r="V63" s="7"/>
      <c r="W63" s="7"/>
    </row>
    <row r="64" spans="1:23" ht="16.8">
      <c r="A64" s="6">
        <v>46131</v>
      </c>
      <c r="B64" s="7" t="s">
        <v>33</v>
      </c>
      <c r="C64" s="62">
        <v>0.875</v>
      </c>
      <c r="D64" s="31" t="s">
        <v>255</v>
      </c>
      <c r="E64" s="7" t="s">
        <v>253</v>
      </c>
      <c r="F64" s="7" t="s">
        <v>247</v>
      </c>
      <c r="G64" s="7"/>
      <c r="H64" s="7"/>
      <c r="I64" s="30"/>
      <c r="J64" s="7" t="s">
        <v>35</v>
      </c>
      <c r="K64" s="52" t="s">
        <v>157</v>
      </c>
      <c r="L64" s="7">
        <v>6</v>
      </c>
      <c r="M64" s="7">
        <v>0</v>
      </c>
      <c r="N64" s="7">
        <v>0</v>
      </c>
      <c r="O64" s="7">
        <v>0</v>
      </c>
      <c r="P64" s="7">
        <v>0</v>
      </c>
      <c r="Q64" s="32">
        <f t="shared" si="4"/>
        <v>0</v>
      </c>
      <c r="R64" s="32" t="e">
        <f t="shared" si="4"/>
        <v>#DIV/0!</v>
      </c>
      <c r="S64" s="7"/>
      <c r="T64" s="7"/>
      <c r="U64" s="7"/>
      <c r="V64" s="7"/>
      <c r="W64" s="7"/>
    </row>
    <row r="65" spans="1:23">
      <c r="A65" s="6">
        <v>46131</v>
      </c>
      <c r="B65" s="7" t="s">
        <v>33</v>
      </c>
      <c r="C65" s="62">
        <v>0.91666666666666663</v>
      </c>
      <c r="D65" s="31" t="s">
        <v>265</v>
      </c>
      <c r="E65" s="7" t="s">
        <v>253</v>
      </c>
      <c r="F65" s="7" t="s">
        <v>247</v>
      </c>
      <c r="G65" s="7" t="s">
        <v>85</v>
      </c>
      <c r="H65" s="7"/>
      <c r="I65" s="30"/>
      <c r="J65" s="7" t="s">
        <v>35</v>
      </c>
      <c r="K65" s="7" t="s">
        <v>121</v>
      </c>
      <c r="L65" s="7">
        <v>179</v>
      </c>
      <c r="M65" s="7">
        <v>18</v>
      </c>
      <c r="N65" s="7">
        <v>13</v>
      </c>
      <c r="O65" s="7">
        <v>0</v>
      </c>
      <c r="P65" s="7">
        <v>0</v>
      </c>
      <c r="Q65" s="32">
        <f t="shared" si="4"/>
        <v>0.1005586592178771</v>
      </c>
      <c r="R65" s="32">
        <f t="shared" si="4"/>
        <v>0.72222222222222221</v>
      </c>
      <c r="S65" s="7"/>
      <c r="T65" s="7"/>
      <c r="U65" s="7"/>
      <c r="V65" s="7"/>
      <c r="W65" s="7"/>
    </row>
    <row r="66" spans="1:23" ht="16.8">
      <c r="A66" s="6">
        <v>46131</v>
      </c>
      <c r="B66" s="7" t="s">
        <v>33</v>
      </c>
      <c r="C66" s="62">
        <v>0.96875</v>
      </c>
      <c r="D66" s="31" t="s">
        <v>258</v>
      </c>
      <c r="E66" s="7" t="s">
        <v>253</v>
      </c>
      <c r="F66" s="7" t="s">
        <v>247</v>
      </c>
      <c r="G66" s="7"/>
      <c r="H66" s="7"/>
      <c r="I66" s="30"/>
      <c r="J66" s="7" t="s">
        <v>34</v>
      </c>
      <c r="K66" s="52" t="s">
        <v>210</v>
      </c>
      <c r="L66" s="7">
        <v>107</v>
      </c>
      <c r="M66" s="7">
        <v>18</v>
      </c>
      <c r="N66" s="7">
        <v>12</v>
      </c>
      <c r="O66" s="7">
        <v>0</v>
      </c>
      <c r="P66" s="7">
        <v>1</v>
      </c>
      <c r="Q66" s="32">
        <f t="shared" si="4"/>
        <v>0.16822429906542055</v>
      </c>
      <c r="R66" s="32">
        <f t="shared" si="4"/>
        <v>0.66666666666666663</v>
      </c>
      <c r="S66" s="7"/>
      <c r="T66" s="7"/>
      <c r="U66" s="7"/>
      <c r="V66" s="7"/>
      <c r="W66" s="7"/>
    </row>
    <row r="67" spans="1:23" ht="6.6" customHeight="1">
      <c r="A67" s="22"/>
      <c r="B67" s="23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5"/>
      <c r="R67" s="25"/>
      <c r="S67" s="24"/>
      <c r="T67" s="24"/>
      <c r="U67" s="24"/>
      <c r="V67" s="25"/>
      <c r="W67" s="26"/>
    </row>
    <row r="68" spans="1:23">
      <c r="A68" s="6">
        <v>46132</v>
      </c>
      <c r="B68" s="39" t="s">
        <v>36</v>
      </c>
      <c r="C68" s="40"/>
      <c r="D68" s="40" t="s">
        <v>108</v>
      </c>
      <c r="E68" s="40" t="s">
        <v>116</v>
      </c>
      <c r="F68" s="40" t="s">
        <v>115</v>
      </c>
      <c r="G68" s="40"/>
      <c r="H68" s="40"/>
      <c r="I68" s="41"/>
      <c r="J68" s="40" t="s">
        <v>35</v>
      </c>
      <c r="K68" s="40" t="s">
        <v>106</v>
      </c>
      <c r="L68" s="39">
        <v>105</v>
      </c>
      <c r="M68" s="39">
        <v>1</v>
      </c>
      <c r="N68" s="39">
        <v>0</v>
      </c>
      <c r="O68" s="39">
        <v>0</v>
      </c>
      <c r="P68" s="39">
        <v>0</v>
      </c>
      <c r="Q68" s="42">
        <f t="shared" ref="Q68:R78" si="5">M68/L68</f>
        <v>9.5238095238095247E-3</v>
      </c>
      <c r="R68" s="42">
        <f t="shared" si="5"/>
        <v>0</v>
      </c>
      <c r="S68" s="39"/>
      <c r="T68" s="39"/>
      <c r="U68" s="39"/>
      <c r="V68" s="39"/>
      <c r="W68" s="39"/>
    </row>
    <row r="69" spans="1:23">
      <c r="A69" s="6">
        <v>46132</v>
      </c>
      <c r="B69" s="7" t="s">
        <v>36</v>
      </c>
      <c r="C69" s="18"/>
      <c r="D69" s="18" t="s">
        <v>155</v>
      </c>
      <c r="E69" s="18" t="s">
        <v>116</v>
      </c>
      <c r="F69" s="18" t="s">
        <v>156</v>
      </c>
      <c r="G69" s="18"/>
      <c r="H69" s="18"/>
      <c r="I69" s="30"/>
      <c r="J69" s="18" t="s">
        <v>35</v>
      </c>
      <c r="K69" s="18" t="s">
        <v>157</v>
      </c>
      <c r="L69" s="7">
        <v>4</v>
      </c>
      <c r="M69" s="7">
        <v>0</v>
      </c>
      <c r="N69" s="7">
        <v>0</v>
      </c>
      <c r="O69" s="7">
        <v>0</v>
      </c>
      <c r="P69" s="7">
        <v>0</v>
      </c>
      <c r="Q69" s="32">
        <f t="shared" si="5"/>
        <v>0</v>
      </c>
      <c r="R69" s="32" t="e">
        <f t="shared" si="5"/>
        <v>#DIV/0!</v>
      </c>
      <c r="S69" s="7"/>
      <c r="T69" s="7"/>
      <c r="U69" s="7"/>
      <c r="V69" s="7"/>
      <c r="W69" s="7"/>
    </row>
    <row r="70" spans="1:23">
      <c r="A70" s="6">
        <v>46132</v>
      </c>
      <c r="B70" s="7" t="s">
        <v>36</v>
      </c>
      <c r="C70" s="18"/>
      <c r="D70" s="18" t="s">
        <v>158</v>
      </c>
      <c r="E70" s="18" t="s">
        <v>116</v>
      </c>
      <c r="F70" s="18" t="s">
        <v>159</v>
      </c>
      <c r="G70" s="18"/>
      <c r="H70" s="18"/>
      <c r="I70" s="30"/>
      <c r="J70" s="18" t="s">
        <v>35</v>
      </c>
      <c r="K70" s="18" t="s">
        <v>149</v>
      </c>
      <c r="L70" s="7">
        <v>3</v>
      </c>
      <c r="M70" s="7">
        <v>2</v>
      </c>
      <c r="N70" s="7">
        <v>1</v>
      </c>
      <c r="O70" s="7">
        <v>0</v>
      </c>
      <c r="P70" s="7">
        <v>0</v>
      </c>
      <c r="Q70" s="32">
        <f t="shared" si="5"/>
        <v>0.66666666666666663</v>
      </c>
      <c r="R70" s="32">
        <f t="shared" si="5"/>
        <v>0.5</v>
      </c>
      <c r="S70" s="7"/>
      <c r="T70" s="7"/>
      <c r="U70" s="7"/>
      <c r="V70" s="7"/>
      <c r="W70" s="7"/>
    </row>
    <row r="71" spans="1:23">
      <c r="A71" s="6">
        <v>46132</v>
      </c>
      <c r="B71" s="7" t="s">
        <v>36</v>
      </c>
      <c r="C71" s="18"/>
      <c r="D71" s="18" t="s">
        <v>189</v>
      </c>
      <c r="E71" s="18" t="s">
        <v>116</v>
      </c>
      <c r="F71" s="18"/>
      <c r="G71" s="18"/>
      <c r="H71" s="18"/>
      <c r="I71" s="30"/>
      <c r="J71" s="18" t="s">
        <v>35</v>
      </c>
      <c r="K71" s="18" t="s">
        <v>186</v>
      </c>
      <c r="L71" s="7">
        <v>57</v>
      </c>
      <c r="M71" s="7">
        <v>1</v>
      </c>
      <c r="N71" s="7">
        <v>0</v>
      </c>
      <c r="O71" s="7">
        <v>0</v>
      </c>
      <c r="P71" s="7">
        <v>0</v>
      </c>
      <c r="Q71" s="32">
        <f t="shared" si="5"/>
        <v>1.7543859649122806E-2</v>
      </c>
      <c r="R71" s="32">
        <f t="shared" si="5"/>
        <v>0</v>
      </c>
      <c r="S71" s="7"/>
      <c r="T71" s="7"/>
      <c r="U71" s="7"/>
      <c r="V71" s="7"/>
      <c r="W71" s="7"/>
    </row>
    <row r="72" spans="1:23">
      <c r="A72" s="6">
        <v>46132</v>
      </c>
      <c r="B72" s="7" t="s">
        <v>36</v>
      </c>
      <c r="C72" s="7"/>
      <c r="D72" s="31" t="s">
        <v>290</v>
      </c>
      <c r="E72" s="7"/>
      <c r="F72" s="7"/>
      <c r="G72" s="7"/>
      <c r="H72" s="7"/>
      <c r="I72" s="14" t="s">
        <v>67</v>
      </c>
      <c r="J72" s="7" t="s">
        <v>35</v>
      </c>
      <c r="K72" s="7" t="s">
        <v>170</v>
      </c>
      <c r="L72" s="7">
        <v>1499</v>
      </c>
      <c r="M72" s="7">
        <v>1425</v>
      </c>
      <c r="N72" s="7">
        <v>945</v>
      </c>
      <c r="O72" s="7">
        <v>0</v>
      </c>
      <c r="P72" s="7">
        <v>1</v>
      </c>
      <c r="Q72" s="32">
        <f t="shared" si="5"/>
        <v>0.95063375583722487</v>
      </c>
      <c r="R72" s="32">
        <f t="shared" si="5"/>
        <v>0.66315789473684206</v>
      </c>
      <c r="S72" s="7"/>
      <c r="T72" s="7"/>
      <c r="U72" s="7"/>
      <c r="V72" s="7"/>
      <c r="W72" s="7"/>
    </row>
    <row r="73" spans="1:23">
      <c r="A73" s="6">
        <v>46132</v>
      </c>
      <c r="B73" s="7" t="s">
        <v>36</v>
      </c>
      <c r="C73" s="7"/>
      <c r="D73" s="65" t="s">
        <v>291</v>
      </c>
      <c r="E73" s="7"/>
      <c r="F73" s="7"/>
      <c r="G73" s="7"/>
      <c r="H73" s="7"/>
      <c r="I73" s="47" t="s">
        <v>278</v>
      </c>
      <c r="J73" s="7" t="s">
        <v>35</v>
      </c>
      <c r="K73" s="7" t="s">
        <v>170</v>
      </c>
      <c r="L73" s="7">
        <v>348</v>
      </c>
      <c r="M73" s="7">
        <v>330</v>
      </c>
      <c r="N73" s="7">
        <v>219</v>
      </c>
      <c r="O73" s="7">
        <v>0</v>
      </c>
      <c r="P73" s="7">
        <v>0</v>
      </c>
      <c r="Q73" s="32">
        <f t="shared" si="5"/>
        <v>0.94827586206896552</v>
      </c>
      <c r="R73" s="32">
        <f t="shared" si="5"/>
        <v>0.66363636363636369</v>
      </c>
      <c r="S73" s="7"/>
      <c r="T73" s="7"/>
      <c r="U73" s="7"/>
      <c r="V73" s="7"/>
      <c r="W73" s="7"/>
    </row>
    <row r="74" spans="1:23">
      <c r="A74" s="6">
        <v>46132</v>
      </c>
      <c r="B74" s="7" t="s">
        <v>36</v>
      </c>
      <c r="C74" s="7"/>
      <c r="D74" s="65" t="s">
        <v>272</v>
      </c>
      <c r="E74" s="7"/>
      <c r="F74" s="7"/>
      <c r="G74" s="7"/>
      <c r="H74" s="7"/>
      <c r="I74" s="47" t="s">
        <v>277</v>
      </c>
      <c r="J74" s="7" t="s">
        <v>35</v>
      </c>
      <c r="K74" s="7" t="s">
        <v>170</v>
      </c>
      <c r="L74" s="7">
        <v>297</v>
      </c>
      <c r="M74" s="7">
        <v>289</v>
      </c>
      <c r="N74" s="7">
        <v>167</v>
      </c>
      <c r="O74" s="7">
        <v>0</v>
      </c>
      <c r="P74" s="7">
        <v>0</v>
      </c>
      <c r="Q74" s="32">
        <f t="shared" si="5"/>
        <v>0.97306397306397308</v>
      </c>
      <c r="R74" s="32">
        <f t="shared" si="5"/>
        <v>0.57785467128027679</v>
      </c>
      <c r="S74" s="7"/>
      <c r="T74" s="7"/>
      <c r="U74" s="7"/>
      <c r="V74" s="7"/>
      <c r="W74" s="7"/>
    </row>
    <row r="75" spans="1:23">
      <c r="A75" s="6">
        <v>46132</v>
      </c>
      <c r="B75" s="7" t="s">
        <v>36</v>
      </c>
      <c r="C75" s="62">
        <v>0.85416666666666663</v>
      </c>
      <c r="D75" s="31" t="s">
        <v>297</v>
      </c>
      <c r="E75" s="7" t="s">
        <v>253</v>
      </c>
      <c r="F75" s="7" t="s">
        <v>161</v>
      </c>
      <c r="G75" s="7" t="s">
        <v>85</v>
      </c>
      <c r="H75" s="7"/>
      <c r="I75" s="47" t="s">
        <v>292</v>
      </c>
      <c r="J75" s="7" t="s">
        <v>35</v>
      </c>
      <c r="K75" s="7" t="s">
        <v>149</v>
      </c>
      <c r="L75" s="7">
        <v>151</v>
      </c>
      <c r="M75" s="7">
        <v>30</v>
      </c>
      <c r="N75" s="7">
        <v>7</v>
      </c>
      <c r="O75" s="7">
        <v>2</v>
      </c>
      <c r="P75" s="7">
        <v>0</v>
      </c>
      <c r="Q75" s="32">
        <f t="shared" si="5"/>
        <v>0.19867549668874171</v>
      </c>
      <c r="R75" s="32">
        <f t="shared" si="5"/>
        <v>0.23333333333333334</v>
      </c>
      <c r="S75" s="7"/>
      <c r="T75" s="7"/>
      <c r="U75" s="7"/>
      <c r="V75" s="7"/>
      <c r="W75" s="7"/>
    </row>
    <row r="76" spans="1:23" ht="16.8">
      <c r="A76" s="6">
        <v>46132</v>
      </c>
      <c r="B76" s="7" t="s">
        <v>36</v>
      </c>
      <c r="C76" s="62">
        <v>0.875</v>
      </c>
      <c r="D76" s="31" t="s">
        <v>298</v>
      </c>
      <c r="E76" s="7" t="s">
        <v>253</v>
      </c>
      <c r="F76" s="7" t="s">
        <v>247</v>
      </c>
      <c r="G76" s="7"/>
      <c r="H76" s="7"/>
      <c r="I76" s="47" t="s">
        <v>292</v>
      </c>
      <c r="J76" s="7" t="s">
        <v>35</v>
      </c>
      <c r="K76" s="52" t="s">
        <v>157</v>
      </c>
      <c r="L76" s="7">
        <v>120</v>
      </c>
      <c r="M76" s="7">
        <v>20</v>
      </c>
      <c r="N76" s="7">
        <v>4</v>
      </c>
      <c r="O76" s="7">
        <v>1</v>
      </c>
      <c r="P76" s="7">
        <v>0</v>
      </c>
      <c r="Q76" s="32">
        <f t="shared" si="5"/>
        <v>0.16666666666666666</v>
      </c>
      <c r="R76" s="32">
        <f t="shared" si="5"/>
        <v>0.2</v>
      </c>
      <c r="S76" s="7"/>
      <c r="T76" s="7"/>
      <c r="U76" s="7"/>
      <c r="V76" s="7"/>
      <c r="W76" s="7"/>
    </row>
    <row r="77" spans="1:23">
      <c r="A77" s="6">
        <v>46132</v>
      </c>
      <c r="B77" s="7" t="s">
        <v>36</v>
      </c>
      <c r="C77" s="62">
        <v>0.91666666666666663</v>
      </c>
      <c r="D77" s="31" t="s">
        <v>299</v>
      </c>
      <c r="E77" s="7" t="s">
        <v>253</v>
      </c>
      <c r="F77" s="7" t="s">
        <v>161</v>
      </c>
      <c r="G77" s="7" t="s">
        <v>85</v>
      </c>
      <c r="H77" s="7"/>
      <c r="I77" s="47" t="s">
        <v>292</v>
      </c>
      <c r="J77" s="7" t="s">
        <v>35</v>
      </c>
      <c r="K77" s="7" t="s">
        <v>121</v>
      </c>
      <c r="L77" s="7">
        <v>182</v>
      </c>
      <c r="M77" s="7">
        <v>18</v>
      </c>
      <c r="N77" s="7">
        <v>8</v>
      </c>
      <c r="O77" s="7">
        <v>0</v>
      </c>
      <c r="P77" s="7">
        <v>0</v>
      </c>
      <c r="Q77" s="32">
        <f t="shared" si="5"/>
        <v>9.8901098901098897E-2</v>
      </c>
      <c r="R77" s="32">
        <f t="shared" si="5"/>
        <v>0.44444444444444442</v>
      </c>
      <c r="S77" s="7"/>
      <c r="T77" s="7"/>
      <c r="U77" s="7"/>
      <c r="V77" s="7"/>
      <c r="W77" s="7"/>
    </row>
    <row r="78" spans="1:23" ht="16.8">
      <c r="A78" s="6">
        <v>46132</v>
      </c>
      <c r="B78" s="7" t="s">
        <v>36</v>
      </c>
      <c r="C78" s="62">
        <v>0.96875</v>
      </c>
      <c r="D78" s="31" t="s">
        <v>300</v>
      </c>
      <c r="E78" s="7" t="s">
        <v>253</v>
      </c>
      <c r="F78" s="7" t="s">
        <v>247</v>
      </c>
      <c r="G78" s="7"/>
      <c r="H78" s="7"/>
      <c r="I78" s="47" t="s">
        <v>292</v>
      </c>
      <c r="J78" s="7" t="s">
        <v>34</v>
      </c>
      <c r="K78" s="52" t="s">
        <v>210</v>
      </c>
      <c r="L78" s="7">
        <v>150</v>
      </c>
      <c r="M78" s="7">
        <v>0</v>
      </c>
      <c r="N78" s="7">
        <v>0</v>
      </c>
      <c r="O78" s="7">
        <v>0</v>
      </c>
      <c r="P78" s="7">
        <v>0</v>
      </c>
      <c r="Q78" s="32">
        <f t="shared" si="5"/>
        <v>0</v>
      </c>
      <c r="R78" s="32" t="e">
        <f t="shared" si="5"/>
        <v>#DIV/0!</v>
      </c>
      <c r="S78" s="7"/>
      <c r="T78" s="7"/>
      <c r="U78" s="7"/>
      <c r="V78" s="7"/>
      <c r="W78" s="7"/>
    </row>
    <row r="79" spans="1:23" ht="6.6" customHeight="1">
      <c r="A79" s="22"/>
      <c r="B79" s="23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5"/>
      <c r="R79" s="25"/>
      <c r="S79" s="24"/>
      <c r="T79" s="24"/>
      <c r="U79" s="24"/>
      <c r="V79" s="25"/>
      <c r="W79" s="26"/>
    </row>
    <row r="80" spans="1:23">
      <c r="A80" s="6">
        <v>46133</v>
      </c>
      <c r="B80" s="39" t="s">
        <v>78</v>
      </c>
      <c r="C80" s="40"/>
      <c r="D80" s="40" t="s">
        <v>108</v>
      </c>
      <c r="E80" s="40" t="s">
        <v>116</v>
      </c>
      <c r="F80" s="40" t="s">
        <v>115</v>
      </c>
      <c r="G80" s="40"/>
      <c r="H80" s="40"/>
      <c r="I80" s="41"/>
      <c r="J80" s="40" t="s">
        <v>35</v>
      </c>
      <c r="K80" s="40" t="s">
        <v>106</v>
      </c>
      <c r="L80" s="39">
        <v>105</v>
      </c>
      <c r="M80" s="39">
        <v>0</v>
      </c>
      <c r="N80" s="39">
        <v>0</v>
      </c>
      <c r="O80" s="39">
        <v>1</v>
      </c>
      <c r="P80" s="39">
        <v>0</v>
      </c>
      <c r="Q80" s="42">
        <f t="shared" ref="Q80:R90" si="6">M80/L80</f>
        <v>0</v>
      </c>
      <c r="R80" s="42" t="e">
        <f t="shared" si="6"/>
        <v>#DIV/0!</v>
      </c>
      <c r="S80" s="39"/>
      <c r="T80" s="39"/>
      <c r="U80" s="39"/>
      <c r="V80" s="39"/>
      <c r="W80" s="39"/>
    </row>
    <row r="81" spans="1:23">
      <c r="A81" s="6">
        <v>46133</v>
      </c>
      <c r="B81" s="7" t="s">
        <v>78</v>
      </c>
      <c r="C81" s="18"/>
      <c r="D81" s="18" t="s">
        <v>155</v>
      </c>
      <c r="E81" s="18" t="s">
        <v>116</v>
      </c>
      <c r="F81" s="18" t="s">
        <v>156</v>
      </c>
      <c r="G81" s="18"/>
      <c r="H81" s="18"/>
      <c r="I81" s="30"/>
      <c r="J81" s="18" t="s">
        <v>35</v>
      </c>
      <c r="K81" s="18" t="s">
        <v>157</v>
      </c>
      <c r="L81" s="7">
        <v>8</v>
      </c>
      <c r="M81" s="7">
        <v>0</v>
      </c>
      <c r="N81" s="7">
        <v>0</v>
      </c>
      <c r="O81" s="7">
        <v>0</v>
      </c>
      <c r="P81" s="7">
        <v>0</v>
      </c>
      <c r="Q81" s="32">
        <f t="shared" si="6"/>
        <v>0</v>
      </c>
      <c r="R81" s="32" t="e">
        <f t="shared" si="6"/>
        <v>#DIV/0!</v>
      </c>
      <c r="S81" s="7"/>
      <c r="T81" s="7"/>
      <c r="U81" s="7"/>
      <c r="V81" s="7"/>
      <c r="W81" s="7"/>
    </row>
    <row r="82" spans="1:23">
      <c r="A82" s="6">
        <v>46133</v>
      </c>
      <c r="B82" s="7" t="s">
        <v>78</v>
      </c>
      <c r="C82" s="18"/>
      <c r="D82" s="18" t="s">
        <v>158</v>
      </c>
      <c r="E82" s="18" t="s">
        <v>116</v>
      </c>
      <c r="F82" s="18" t="s">
        <v>159</v>
      </c>
      <c r="G82" s="18"/>
      <c r="H82" s="18"/>
      <c r="I82" s="30"/>
      <c r="J82" s="18" t="s">
        <v>35</v>
      </c>
      <c r="K82" s="18" t="s">
        <v>149</v>
      </c>
      <c r="L82" s="7">
        <v>8</v>
      </c>
      <c r="M82" s="7">
        <v>1</v>
      </c>
      <c r="N82" s="7">
        <v>1</v>
      </c>
      <c r="O82" s="7">
        <v>0</v>
      </c>
      <c r="P82" s="7">
        <v>0</v>
      </c>
      <c r="Q82" s="32">
        <f t="shared" si="6"/>
        <v>0.125</v>
      </c>
      <c r="R82" s="32">
        <f t="shared" si="6"/>
        <v>1</v>
      </c>
      <c r="S82" s="7"/>
      <c r="T82" s="7"/>
      <c r="U82" s="7"/>
      <c r="V82" s="7"/>
      <c r="W82" s="7"/>
    </row>
    <row r="83" spans="1:23">
      <c r="A83" s="6">
        <v>46133</v>
      </c>
      <c r="B83" s="7" t="s">
        <v>78</v>
      </c>
      <c r="C83" s="18"/>
      <c r="D83" s="18" t="s">
        <v>189</v>
      </c>
      <c r="E83" s="18" t="s">
        <v>116</v>
      </c>
      <c r="F83" s="18"/>
      <c r="G83" s="18"/>
      <c r="H83" s="18"/>
      <c r="I83" s="30"/>
      <c r="J83" s="18" t="s">
        <v>35</v>
      </c>
      <c r="K83" s="18" t="s">
        <v>186</v>
      </c>
      <c r="L83" s="7">
        <v>58</v>
      </c>
      <c r="M83" s="7">
        <v>0</v>
      </c>
      <c r="N83" s="7">
        <v>0</v>
      </c>
      <c r="O83" s="7">
        <v>0</v>
      </c>
      <c r="P83" s="7">
        <v>0</v>
      </c>
      <c r="Q83" s="32">
        <f t="shared" si="6"/>
        <v>0</v>
      </c>
      <c r="R83" s="32" t="e">
        <f t="shared" si="6"/>
        <v>#DIV/0!</v>
      </c>
      <c r="S83" s="7"/>
      <c r="T83" s="7"/>
      <c r="U83" s="7"/>
      <c r="V83" s="7"/>
      <c r="W83" s="7"/>
    </row>
    <row r="84" spans="1:23">
      <c r="A84" s="6">
        <v>46133</v>
      </c>
      <c r="B84" s="7" t="s">
        <v>78</v>
      </c>
      <c r="C84" s="7"/>
      <c r="D84" s="31" t="s">
        <v>331</v>
      </c>
      <c r="E84" s="7" t="s">
        <v>253</v>
      </c>
      <c r="F84" s="7"/>
      <c r="G84" s="7"/>
      <c r="H84" s="7"/>
      <c r="I84" s="14" t="s">
        <v>67</v>
      </c>
      <c r="J84" s="7" t="s">
        <v>35</v>
      </c>
      <c r="K84" s="7" t="s">
        <v>170</v>
      </c>
      <c r="L84" s="7">
        <v>1499</v>
      </c>
      <c r="M84" s="7">
        <v>1390</v>
      </c>
      <c r="N84" s="7">
        <v>937</v>
      </c>
      <c r="O84" s="7">
        <v>0</v>
      </c>
      <c r="P84" s="7">
        <v>1</v>
      </c>
      <c r="Q84" s="32">
        <f t="shared" si="6"/>
        <v>0.92728485657104731</v>
      </c>
      <c r="R84" s="32">
        <f t="shared" si="6"/>
        <v>0.67410071942446048</v>
      </c>
      <c r="S84" s="7"/>
      <c r="T84" s="7"/>
      <c r="U84" s="7"/>
      <c r="V84" s="7"/>
      <c r="W84" s="7"/>
    </row>
    <row r="85" spans="1:23">
      <c r="A85" s="6">
        <v>46133</v>
      </c>
      <c r="B85" s="7" t="s">
        <v>78</v>
      </c>
      <c r="C85" s="7"/>
      <c r="D85" s="65" t="s">
        <v>291</v>
      </c>
      <c r="E85" s="7" t="s">
        <v>253</v>
      </c>
      <c r="F85" s="7"/>
      <c r="G85" s="7"/>
      <c r="H85" s="7"/>
      <c r="I85" s="47"/>
      <c r="J85" s="7" t="s">
        <v>35</v>
      </c>
      <c r="K85" s="7" t="s">
        <v>170</v>
      </c>
      <c r="L85" s="7">
        <v>464</v>
      </c>
      <c r="M85" s="7">
        <v>417</v>
      </c>
      <c r="N85" s="7">
        <v>277</v>
      </c>
      <c r="O85" s="7">
        <v>0</v>
      </c>
      <c r="P85" s="7">
        <v>1</v>
      </c>
      <c r="Q85" s="32">
        <f t="shared" si="6"/>
        <v>0.89870689655172409</v>
      </c>
      <c r="R85" s="32">
        <f t="shared" si="6"/>
        <v>0.66426858513189446</v>
      </c>
      <c r="S85" s="7"/>
      <c r="T85" s="7"/>
      <c r="U85" s="7"/>
      <c r="V85" s="7"/>
      <c r="W85" s="7"/>
    </row>
    <row r="86" spans="1:23">
      <c r="A86" s="6">
        <v>46133</v>
      </c>
      <c r="B86" s="7" t="s">
        <v>78</v>
      </c>
      <c r="C86" s="7"/>
      <c r="D86" s="65" t="s">
        <v>332</v>
      </c>
      <c r="E86" s="7" t="s">
        <v>253</v>
      </c>
      <c r="F86" s="7"/>
      <c r="G86" s="7"/>
      <c r="H86" s="7"/>
      <c r="I86" s="47" t="s">
        <v>326</v>
      </c>
      <c r="J86" s="7" t="s">
        <v>35</v>
      </c>
      <c r="K86" s="7" t="s">
        <v>170</v>
      </c>
      <c r="L86" s="7">
        <v>366</v>
      </c>
      <c r="M86" s="7">
        <v>341</v>
      </c>
      <c r="N86" s="7">
        <v>211</v>
      </c>
      <c r="O86" s="7">
        <v>0</v>
      </c>
      <c r="P86" s="7">
        <v>0</v>
      </c>
      <c r="Q86" s="32">
        <f t="shared" si="6"/>
        <v>0.93169398907103829</v>
      </c>
      <c r="R86" s="32">
        <f t="shared" si="6"/>
        <v>0.61876832844574781</v>
      </c>
      <c r="S86" s="7"/>
      <c r="T86" s="7"/>
      <c r="U86" s="7"/>
      <c r="V86" s="7"/>
      <c r="W86" s="7"/>
    </row>
    <row r="87" spans="1:23">
      <c r="A87" s="6">
        <v>46133</v>
      </c>
      <c r="B87" s="7" t="s">
        <v>78</v>
      </c>
      <c r="C87" s="62">
        <v>0.85416666666666663</v>
      </c>
      <c r="D87" s="31" t="s">
        <v>339</v>
      </c>
      <c r="E87" s="7" t="s">
        <v>253</v>
      </c>
      <c r="F87" s="7" t="s">
        <v>340</v>
      </c>
      <c r="G87" s="7"/>
      <c r="H87" s="7"/>
      <c r="I87" s="47" t="s">
        <v>209</v>
      </c>
      <c r="J87" s="7" t="s">
        <v>35</v>
      </c>
      <c r="K87" s="7" t="s">
        <v>149</v>
      </c>
      <c r="L87" s="7">
        <v>145</v>
      </c>
      <c r="M87" s="7">
        <v>26</v>
      </c>
      <c r="N87" s="7">
        <v>4</v>
      </c>
      <c r="O87" s="7">
        <v>1</v>
      </c>
      <c r="P87" s="7">
        <v>0</v>
      </c>
      <c r="Q87" s="32">
        <f t="shared" si="6"/>
        <v>0.1793103448275862</v>
      </c>
      <c r="R87" s="32">
        <f t="shared" si="6"/>
        <v>0.15384615384615385</v>
      </c>
      <c r="S87" s="7"/>
      <c r="T87" s="7"/>
      <c r="U87" s="7"/>
      <c r="V87" s="7"/>
      <c r="W87" s="7"/>
    </row>
    <row r="88" spans="1:23" ht="16.8">
      <c r="A88" s="6">
        <v>46133</v>
      </c>
      <c r="B88" s="7" t="s">
        <v>78</v>
      </c>
      <c r="C88" s="62">
        <v>0.875</v>
      </c>
      <c r="D88" s="31" t="s">
        <v>341</v>
      </c>
      <c r="E88" s="7" t="s">
        <v>253</v>
      </c>
      <c r="F88" s="7" t="s">
        <v>342</v>
      </c>
      <c r="G88" s="7"/>
      <c r="H88" s="7"/>
      <c r="I88" s="47" t="s">
        <v>209</v>
      </c>
      <c r="J88" s="7" t="s">
        <v>35</v>
      </c>
      <c r="K88" s="52" t="s">
        <v>157</v>
      </c>
      <c r="L88" s="7">
        <v>194</v>
      </c>
      <c r="M88" s="7">
        <v>35</v>
      </c>
      <c r="N88" s="7">
        <v>5</v>
      </c>
      <c r="O88" s="7">
        <v>0</v>
      </c>
      <c r="P88" s="7">
        <v>0</v>
      </c>
      <c r="Q88" s="32">
        <f t="shared" si="6"/>
        <v>0.18041237113402062</v>
      </c>
      <c r="R88" s="32">
        <f t="shared" si="6"/>
        <v>0.14285714285714285</v>
      </c>
      <c r="S88" s="7"/>
      <c r="T88" s="7"/>
      <c r="U88" s="7"/>
      <c r="V88" s="7"/>
      <c r="W88" s="7"/>
    </row>
    <row r="89" spans="1:23">
      <c r="A89" s="6">
        <v>46133</v>
      </c>
      <c r="B89" s="7" t="s">
        <v>78</v>
      </c>
      <c r="C89" s="62">
        <v>0.91666666666666663</v>
      </c>
      <c r="D89" s="31" t="s">
        <v>343</v>
      </c>
      <c r="E89" s="7" t="s">
        <v>253</v>
      </c>
      <c r="F89" s="7" t="s">
        <v>340</v>
      </c>
      <c r="G89" s="7"/>
      <c r="H89" s="7"/>
      <c r="I89" s="47" t="s">
        <v>209</v>
      </c>
      <c r="J89" s="7" t="s">
        <v>35</v>
      </c>
      <c r="K89" s="7" t="s">
        <v>121</v>
      </c>
      <c r="L89" s="7">
        <v>188</v>
      </c>
      <c r="M89" s="7">
        <v>19</v>
      </c>
      <c r="N89" s="7">
        <v>13</v>
      </c>
      <c r="O89" s="7">
        <v>0</v>
      </c>
      <c r="P89" s="7">
        <v>0</v>
      </c>
      <c r="Q89" s="32">
        <f t="shared" si="6"/>
        <v>0.10106382978723404</v>
      </c>
      <c r="R89" s="32">
        <f t="shared" si="6"/>
        <v>0.68421052631578949</v>
      </c>
      <c r="S89" s="7"/>
      <c r="T89" s="7"/>
      <c r="U89" s="7"/>
      <c r="V89" s="7"/>
      <c r="W89" s="7"/>
    </row>
    <row r="90" spans="1:23" ht="16.8">
      <c r="A90" s="6">
        <v>46133</v>
      </c>
      <c r="B90" s="7" t="s">
        <v>78</v>
      </c>
      <c r="C90" s="62">
        <v>0.96875</v>
      </c>
      <c r="D90" s="31" t="s">
        <v>344</v>
      </c>
      <c r="E90" s="7" t="s">
        <v>253</v>
      </c>
      <c r="F90" s="7" t="s">
        <v>342</v>
      </c>
      <c r="G90" s="7"/>
      <c r="H90" s="7"/>
      <c r="I90" s="47" t="s">
        <v>209</v>
      </c>
      <c r="J90" s="7" t="s">
        <v>34</v>
      </c>
      <c r="K90" s="52" t="s">
        <v>210</v>
      </c>
      <c r="L90" s="7">
        <v>344</v>
      </c>
      <c r="M90" s="7">
        <v>25</v>
      </c>
      <c r="N90" s="7">
        <v>14</v>
      </c>
      <c r="O90" s="7">
        <v>0</v>
      </c>
      <c r="P90" s="7">
        <v>0</v>
      </c>
      <c r="Q90" s="32">
        <f t="shared" si="6"/>
        <v>7.2674418604651167E-2</v>
      </c>
      <c r="R90" s="32">
        <f t="shared" si="6"/>
        <v>0.56000000000000005</v>
      </c>
      <c r="S90" s="7"/>
      <c r="T90" s="7"/>
      <c r="U90" s="7"/>
      <c r="V90" s="7"/>
      <c r="W90" s="7"/>
    </row>
    <row r="91" spans="1:23" ht="6.6" customHeight="1">
      <c r="A91" s="22"/>
      <c r="B91" s="23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5"/>
      <c r="R91" s="25"/>
      <c r="S91" s="24"/>
      <c r="T91" s="24"/>
      <c r="U91" s="24"/>
      <c r="V91" s="25"/>
      <c r="W91" s="26"/>
    </row>
    <row r="92" spans="1:23">
      <c r="A92" s="6">
        <v>46134</v>
      </c>
      <c r="B92" s="39" t="s">
        <v>124</v>
      </c>
      <c r="C92" s="40"/>
      <c r="D92" s="40" t="s">
        <v>108</v>
      </c>
      <c r="E92" s="40" t="s">
        <v>116</v>
      </c>
      <c r="F92" s="40" t="s">
        <v>115</v>
      </c>
      <c r="G92" s="40"/>
      <c r="H92" s="40"/>
      <c r="I92" s="41"/>
      <c r="J92" s="40" t="s">
        <v>35</v>
      </c>
      <c r="K92" s="40" t="s">
        <v>106</v>
      </c>
      <c r="L92" s="39">
        <v>104</v>
      </c>
      <c r="M92" s="39">
        <v>4</v>
      </c>
      <c r="N92" s="39">
        <v>1</v>
      </c>
      <c r="O92" s="39">
        <v>0</v>
      </c>
      <c r="P92" s="39">
        <v>0</v>
      </c>
      <c r="Q92" s="42">
        <f t="shared" ref="Q92:R103" si="7">M92/L92</f>
        <v>3.8461538461538464E-2</v>
      </c>
      <c r="R92" s="42">
        <f t="shared" si="7"/>
        <v>0.25</v>
      </c>
      <c r="S92" s="39"/>
      <c r="T92" s="39"/>
      <c r="U92" s="39"/>
      <c r="V92" s="39"/>
      <c r="W92" s="39"/>
    </row>
    <row r="93" spans="1:23">
      <c r="A93" s="6">
        <v>46134</v>
      </c>
      <c r="B93" s="7" t="s">
        <v>124</v>
      </c>
      <c r="C93" s="18"/>
      <c r="D93" s="18" t="s">
        <v>155</v>
      </c>
      <c r="E93" s="18" t="s">
        <v>116</v>
      </c>
      <c r="F93" s="18" t="s">
        <v>156</v>
      </c>
      <c r="G93" s="18"/>
      <c r="H93" s="18"/>
      <c r="I93" s="30"/>
      <c r="J93" s="18" t="s">
        <v>35</v>
      </c>
      <c r="K93" s="18" t="s">
        <v>157</v>
      </c>
      <c r="L93" s="7">
        <v>16</v>
      </c>
      <c r="M93" s="7">
        <v>2</v>
      </c>
      <c r="N93" s="7">
        <v>1</v>
      </c>
      <c r="O93" s="7">
        <v>0</v>
      </c>
      <c r="P93" s="7">
        <v>0</v>
      </c>
      <c r="Q93" s="32">
        <f t="shared" si="7"/>
        <v>0.125</v>
      </c>
      <c r="R93" s="32">
        <f t="shared" si="7"/>
        <v>0.5</v>
      </c>
      <c r="S93" s="7"/>
      <c r="T93" s="7"/>
      <c r="U93" s="7"/>
      <c r="V93" s="7"/>
      <c r="W93" s="7"/>
    </row>
    <row r="94" spans="1:23">
      <c r="A94" s="6">
        <v>46134</v>
      </c>
      <c r="B94" s="7" t="s">
        <v>124</v>
      </c>
      <c r="C94" s="18"/>
      <c r="D94" s="18" t="s">
        <v>158</v>
      </c>
      <c r="E94" s="18" t="s">
        <v>116</v>
      </c>
      <c r="F94" s="18" t="s">
        <v>159</v>
      </c>
      <c r="G94" s="18"/>
      <c r="H94" s="18"/>
      <c r="I94" s="30"/>
      <c r="J94" s="18" t="s">
        <v>35</v>
      </c>
      <c r="K94" s="18" t="s">
        <v>149</v>
      </c>
      <c r="L94" s="7">
        <v>9</v>
      </c>
      <c r="M94" s="7">
        <v>3</v>
      </c>
      <c r="N94" s="7">
        <v>0</v>
      </c>
      <c r="O94" s="7">
        <v>0</v>
      </c>
      <c r="P94" s="7">
        <v>0</v>
      </c>
      <c r="Q94" s="32">
        <f t="shared" si="7"/>
        <v>0.33333333333333331</v>
      </c>
      <c r="R94" s="32">
        <f t="shared" si="7"/>
        <v>0</v>
      </c>
      <c r="S94" s="7"/>
      <c r="T94" s="7"/>
      <c r="U94" s="7"/>
      <c r="V94" s="7"/>
      <c r="W94" s="7"/>
    </row>
    <row r="95" spans="1:23">
      <c r="A95" s="6">
        <v>46134</v>
      </c>
      <c r="B95" s="7" t="s">
        <v>124</v>
      </c>
      <c r="C95" s="18"/>
      <c r="D95" s="18" t="s">
        <v>189</v>
      </c>
      <c r="E95" s="18" t="s">
        <v>116</v>
      </c>
      <c r="F95" s="18"/>
      <c r="G95" s="18"/>
      <c r="H95" s="18"/>
      <c r="I95" s="30"/>
      <c r="J95" s="18" t="s">
        <v>35</v>
      </c>
      <c r="K95" s="18" t="s">
        <v>186</v>
      </c>
      <c r="L95" s="7">
        <v>1247</v>
      </c>
      <c r="M95" s="7">
        <v>5</v>
      </c>
      <c r="N95" s="7">
        <v>0</v>
      </c>
      <c r="O95" s="7">
        <v>0</v>
      </c>
      <c r="P95" s="7">
        <v>1</v>
      </c>
      <c r="Q95" s="32">
        <f t="shared" si="7"/>
        <v>4.0096230954290296E-3</v>
      </c>
      <c r="R95" s="32">
        <f t="shared" si="7"/>
        <v>0</v>
      </c>
      <c r="S95" s="7"/>
      <c r="T95" s="7"/>
      <c r="U95" s="7"/>
      <c r="V95" s="7"/>
      <c r="W95" s="7"/>
    </row>
    <row r="96" spans="1:23">
      <c r="A96" s="6">
        <v>46134</v>
      </c>
      <c r="B96" s="7" t="s">
        <v>124</v>
      </c>
      <c r="C96" s="7"/>
      <c r="D96" s="7" t="s">
        <v>400</v>
      </c>
      <c r="E96" s="7" t="s">
        <v>253</v>
      </c>
      <c r="F96" s="7"/>
      <c r="G96" s="7"/>
      <c r="H96" s="7"/>
      <c r="I96" s="14" t="s">
        <v>67</v>
      </c>
      <c r="J96" s="7" t="s">
        <v>35</v>
      </c>
      <c r="K96" s="7" t="s">
        <v>170</v>
      </c>
      <c r="L96" s="7">
        <v>1499</v>
      </c>
      <c r="M96" s="7">
        <v>1388</v>
      </c>
      <c r="N96" s="7">
        <v>887</v>
      </c>
      <c r="O96" s="7">
        <v>0</v>
      </c>
      <c r="P96" s="7">
        <v>1</v>
      </c>
      <c r="Q96" s="32">
        <f t="shared" si="7"/>
        <v>0.92595063375583719</v>
      </c>
      <c r="R96" s="32">
        <f t="shared" si="7"/>
        <v>0.63904899135446691</v>
      </c>
      <c r="S96" s="7"/>
      <c r="T96" s="7"/>
      <c r="U96" s="7"/>
      <c r="V96" s="7"/>
      <c r="W96" s="7"/>
    </row>
    <row r="97" spans="1:23">
      <c r="A97" s="6">
        <v>46134</v>
      </c>
      <c r="B97" s="7" t="s">
        <v>124</v>
      </c>
      <c r="C97" s="7"/>
      <c r="D97" s="65" t="s">
        <v>291</v>
      </c>
      <c r="E97" s="7" t="s">
        <v>253</v>
      </c>
      <c r="F97" s="7"/>
      <c r="G97" s="7"/>
      <c r="H97" s="7"/>
      <c r="I97" s="47"/>
      <c r="J97" s="7" t="s">
        <v>35</v>
      </c>
      <c r="K97" s="7" t="s">
        <v>170</v>
      </c>
      <c r="L97" s="7">
        <v>462</v>
      </c>
      <c r="M97" s="7">
        <v>421</v>
      </c>
      <c r="N97" s="7">
        <v>275</v>
      </c>
      <c r="O97" s="7">
        <v>0</v>
      </c>
      <c r="P97" s="7">
        <v>0</v>
      </c>
      <c r="Q97" s="32">
        <f t="shared" si="7"/>
        <v>0.91125541125541121</v>
      </c>
      <c r="R97" s="32">
        <f t="shared" si="7"/>
        <v>0.65320665083135387</v>
      </c>
      <c r="S97" s="7"/>
      <c r="T97" s="7"/>
      <c r="U97" s="7"/>
      <c r="V97" s="7"/>
      <c r="W97" s="7"/>
    </row>
    <row r="98" spans="1:23">
      <c r="A98" s="6">
        <v>46134</v>
      </c>
      <c r="B98" s="7" t="s">
        <v>124</v>
      </c>
      <c r="C98" s="7"/>
      <c r="D98" s="65" t="s">
        <v>332</v>
      </c>
      <c r="E98" s="7" t="s">
        <v>253</v>
      </c>
      <c r="F98" s="7"/>
      <c r="G98" s="7"/>
      <c r="H98" s="7"/>
      <c r="I98" s="47" t="s">
        <v>326</v>
      </c>
      <c r="J98" s="7" t="s">
        <v>35</v>
      </c>
      <c r="K98" s="7" t="s">
        <v>170</v>
      </c>
      <c r="L98" s="7">
        <v>475</v>
      </c>
      <c r="M98" s="7">
        <v>430</v>
      </c>
      <c r="N98" s="7">
        <v>279</v>
      </c>
      <c r="O98" s="7">
        <v>0</v>
      </c>
      <c r="P98" s="7">
        <v>1</v>
      </c>
      <c r="Q98" s="32">
        <f t="shared" si="7"/>
        <v>0.90526315789473688</v>
      </c>
      <c r="R98" s="32">
        <f t="shared" si="7"/>
        <v>0.64883720930232558</v>
      </c>
      <c r="S98" s="7"/>
      <c r="T98" s="7"/>
      <c r="U98" s="7"/>
      <c r="V98" s="7"/>
      <c r="W98" s="7"/>
    </row>
    <row r="99" spans="1:23">
      <c r="A99" s="6">
        <v>46134</v>
      </c>
      <c r="B99" s="7" t="s">
        <v>124</v>
      </c>
      <c r="C99" s="62">
        <v>0.85416666666666663</v>
      </c>
      <c r="D99" s="31" t="s">
        <v>405</v>
      </c>
      <c r="E99" s="7" t="s">
        <v>253</v>
      </c>
      <c r="F99" s="7" t="s">
        <v>161</v>
      </c>
      <c r="G99" s="7" t="s">
        <v>85</v>
      </c>
      <c r="H99" s="7"/>
      <c r="I99" s="47"/>
      <c r="J99" s="7" t="s">
        <v>35</v>
      </c>
      <c r="K99" s="7" t="s">
        <v>149</v>
      </c>
      <c r="L99" s="7">
        <v>150</v>
      </c>
      <c r="M99" s="7">
        <v>28</v>
      </c>
      <c r="N99" s="7">
        <v>5</v>
      </c>
      <c r="O99" s="7">
        <v>1</v>
      </c>
      <c r="P99" s="7">
        <v>0</v>
      </c>
      <c r="Q99" s="32">
        <f t="shared" si="7"/>
        <v>0.18666666666666668</v>
      </c>
      <c r="R99" s="32">
        <f t="shared" si="7"/>
        <v>0.17857142857142858</v>
      </c>
      <c r="S99" s="7"/>
      <c r="T99" s="7"/>
      <c r="U99" s="7"/>
      <c r="V99" s="7"/>
      <c r="W99" s="7"/>
    </row>
    <row r="100" spans="1:23" ht="16.8">
      <c r="A100" s="6">
        <v>46134</v>
      </c>
      <c r="B100" s="7" t="s">
        <v>124</v>
      </c>
      <c r="C100" s="62">
        <v>0.875</v>
      </c>
      <c r="D100" s="31" t="s">
        <v>406</v>
      </c>
      <c r="E100" s="7" t="s">
        <v>253</v>
      </c>
      <c r="F100" s="7" t="s">
        <v>247</v>
      </c>
      <c r="G100" s="7"/>
      <c r="H100" s="7"/>
      <c r="I100" s="47"/>
      <c r="J100" s="7" t="s">
        <v>35</v>
      </c>
      <c r="K100" s="52" t="s">
        <v>157</v>
      </c>
      <c r="L100" s="7">
        <v>202</v>
      </c>
      <c r="M100" s="7">
        <v>40</v>
      </c>
      <c r="N100" s="7">
        <v>10</v>
      </c>
      <c r="O100" s="7">
        <v>1</v>
      </c>
      <c r="P100" s="7">
        <v>0</v>
      </c>
      <c r="Q100" s="32">
        <f t="shared" si="7"/>
        <v>0.19801980198019803</v>
      </c>
      <c r="R100" s="32">
        <f t="shared" si="7"/>
        <v>0.25</v>
      </c>
      <c r="S100" s="7"/>
      <c r="T100" s="7"/>
      <c r="U100" s="7"/>
      <c r="V100" s="7"/>
      <c r="W100" s="7"/>
    </row>
    <row r="101" spans="1:23" ht="16.8">
      <c r="A101" s="6">
        <v>46134</v>
      </c>
      <c r="B101" s="7" t="s">
        <v>124</v>
      </c>
      <c r="C101" s="62">
        <v>0.97916666666666663</v>
      </c>
      <c r="D101" s="31" t="s">
        <v>422</v>
      </c>
      <c r="E101" s="31" t="s">
        <v>253</v>
      </c>
      <c r="F101" s="31" t="s">
        <v>342</v>
      </c>
      <c r="G101" s="7"/>
      <c r="H101" s="7"/>
      <c r="I101" s="47" t="s">
        <v>419</v>
      </c>
      <c r="J101" s="7" t="s">
        <v>35</v>
      </c>
      <c r="K101" s="52" t="s">
        <v>420</v>
      </c>
      <c r="L101" s="7">
        <v>126</v>
      </c>
      <c r="M101" s="7">
        <v>20</v>
      </c>
      <c r="N101" s="7">
        <v>5</v>
      </c>
      <c r="O101" s="7">
        <v>0</v>
      </c>
      <c r="P101" s="7">
        <v>0</v>
      </c>
      <c r="Q101" s="32">
        <f t="shared" si="7"/>
        <v>0.15873015873015872</v>
      </c>
      <c r="R101" s="32">
        <f t="shared" si="7"/>
        <v>0.25</v>
      </c>
      <c r="S101" s="7"/>
      <c r="T101" s="7"/>
      <c r="U101" s="7"/>
      <c r="V101" s="7"/>
      <c r="W101" s="7"/>
    </row>
    <row r="102" spans="1:23">
      <c r="A102" s="6">
        <v>46134</v>
      </c>
      <c r="B102" s="7" t="s">
        <v>124</v>
      </c>
      <c r="C102" s="62">
        <v>0.91666666666666663</v>
      </c>
      <c r="D102" s="31" t="s">
        <v>407</v>
      </c>
      <c r="E102" s="7" t="s">
        <v>253</v>
      </c>
      <c r="F102" s="7" t="s">
        <v>161</v>
      </c>
      <c r="G102" s="7" t="s">
        <v>85</v>
      </c>
      <c r="H102" s="7"/>
      <c r="I102" s="47"/>
      <c r="J102" s="7" t="s">
        <v>35</v>
      </c>
      <c r="K102" s="7" t="s">
        <v>121</v>
      </c>
      <c r="L102" s="7">
        <v>227</v>
      </c>
      <c r="M102" s="7">
        <v>23</v>
      </c>
      <c r="N102" s="7">
        <v>15</v>
      </c>
      <c r="O102" s="7">
        <v>0</v>
      </c>
      <c r="P102" s="7">
        <v>0</v>
      </c>
      <c r="Q102" s="32">
        <f t="shared" si="7"/>
        <v>0.1013215859030837</v>
      </c>
      <c r="R102" s="32">
        <f t="shared" si="7"/>
        <v>0.65217391304347827</v>
      </c>
      <c r="S102" s="7"/>
      <c r="T102" s="7"/>
      <c r="U102" s="7"/>
      <c r="V102" s="7"/>
      <c r="W102" s="7"/>
    </row>
    <row r="103" spans="1:23" ht="16.8">
      <c r="A103" s="6">
        <v>46134</v>
      </c>
      <c r="B103" s="7" t="s">
        <v>124</v>
      </c>
      <c r="C103" s="62">
        <v>0.96875</v>
      </c>
      <c r="D103" s="31" t="s">
        <v>408</v>
      </c>
      <c r="E103" s="7" t="s">
        <v>253</v>
      </c>
      <c r="F103" s="7" t="s">
        <v>247</v>
      </c>
      <c r="G103" s="7"/>
      <c r="H103" s="7"/>
      <c r="I103" s="47"/>
      <c r="J103" s="7" t="s">
        <v>34</v>
      </c>
      <c r="K103" s="52" t="s">
        <v>210</v>
      </c>
      <c r="L103" s="7">
        <v>479</v>
      </c>
      <c r="M103" s="7">
        <v>30</v>
      </c>
      <c r="N103" s="7">
        <v>21</v>
      </c>
      <c r="O103" s="7">
        <v>1</v>
      </c>
      <c r="P103" s="7">
        <v>0</v>
      </c>
      <c r="Q103" s="32">
        <f t="shared" si="7"/>
        <v>6.2630480167014613E-2</v>
      </c>
      <c r="R103" s="32">
        <f t="shared" si="7"/>
        <v>0.7</v>
      </c>
      <c r="S103" s="7"/>
      <c r="T103" s="7"/>
      <c r="U103" s="7"/>
      <c r="V103" s="7"/>
      <c r="W103" s="7"/>
    </row>
    <row r="104" spans="1:23" ht="6.6" customHeight="1">
      <c r="A104" s="22"/>
      <c r="B104" s="23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5"/>
      <c r="R104" s="25"/>
      <c r="S104" s="24"/>
      <c r="T104" s="24"/>
      <c r="U104" s="24"/>
      <c r="V104" s="25"/>
      <c r="W104" s="26"/>
    </row>
    <row r="105" spans="1:23">
      <c r="A105" s="6">
        <v>46135</v>
      </c>
      <c r="B105" s="7" t="s">
        <v>166</v>
      </c>
      <c r="C105" s="18"/>
      <c r="D105" s="18" t="s">
        <v>108</v>
      </c>
      <c r="E105" s="18" t="s">
        <v>116</v>
      </c>
      <c r="F105" s="18" t="s">
        <v>115</v>
      </c>
      <c r="G105" s="18"/>
      <c r="H105" s="18" t="s">
        <v>106</v>
      </c>
      <c r="I105" s="14"/>
      <c r="J105" s="18" t="s">
        <v>35</v>
      </c>
      <c r="K105" s="18" t="s">
        <v>106</v>
      </c>
      <c r="L105" s="7">
        <v>341</v>
      </c>
      <c r="M105" s="7">
        <v>8</v>
      </c>
      <c r="N105" s="7">
        <v>2</v>
      </c>
      <c r="O105" s="7">
        <v>1</v>
      </c>
      <c r="P105" s="7">
        <v>1</v>
      </c>
      <c r="Q105" s="69">
        <f t="shared" ref="Q105:R117" si="8">M105/L105</f>
        <v>2.3460410557184751E-2</v>
      </c>
      <c r="R105" s="69">
        <f t="shared" si="8"/>
        <v>0.25</v>
      </c>
      <c r="S105" s="7"/>
      <c r="T105" s="7"/>
      <c r="U105" s="7"/>
      <c r="V105" s="7"/>
      <c r="W105" s="7"/>
    </row>
    <row r="106" spans="1:23">
      <c r="A106" s="6">
        <v>46135</v>
      </c>
      <c r="B106" s="7" t="s">
        <v>166</v>
      </c>
      <c r="C106" s="18"/>
      <c r="D106" s="18" t="s">
        <v>155</v>
      </c>
      <c r="E106" s="18" t="s">
        <v>116</v>
      </c>
      <c r="F106" s="18" t="s">
        <v>156</v>
      </c>
      <c r="G106" s="18"/>
      <c r="H106" s="18" t="s">
        <v>157</v>
      </c>
      <c r="I106" s="30"/>
      <c r="J106" s="18" t="s">
        <v>35</v>
      </c>
      <c r="K106" s="18" t="s">
        <v>157</v>
      </c>
      <c r="L106" s="7">
        <v>122</v>
      </c>
      <c r="M106" s="7">
        <v>7</v>
      </c>
      <c r="N106" s="7">
        <v>4</v>
      </c>
      <c r="O106" s="7">
        <v>0</v>
      </c>
      <c r="P106" s="7">
        <v>0</v>
      </c>
      <c r="Q106" s="69">
        <f t="shared" si="8"/>
        <v>5.737704918032787E-2</v>
      </c>
      <c r="R106" s="69">
        <f t="shared" si="8"/>
        <v>0.5714285714285714</v>
      </c>
      <c r="S106" s="7"/>
      <c r="T106" s="7"/>
      <c r="U106" s="7"/>
      <c r="V106" s="7"/>
      <c r="W106" s="7"/>
    </row>
    <row r="107" spans="1:23">
      <c r="A107" s="6">
        <v>46135</v>
      </c>
      <c r="B107" s="7" t="s">
        <v>166</v>
      </c>
      <c r="C107" s="18"/>
      <c r="D107" s="18" t="s">
        <v>158</v>
      </c>
      <c r="E107" s="18" t="s">
        <v>116</v>
      </c>
      <c r="F107" s="18" t="s">
        <v>159</v>
      </c>
      <c r="G107" s="18"/>
      <c r="H107" s="18" t="s">
        <v>149</v>
      </c>
      <c r="I107" s="30"/>
      <c r="J107" s="18" t="s">
        <v>35</v>
      </c>
      <c r="K107" s="18" t="s">
        <v>149</v>
      </c>
      <c r="L107" s="7">
        <v>46</v>
      </c>
      <c r="M107" s="7">
        <v>6</v>
      </c>
      <c r="N107" s="7">
        <v>3</v>
      </c>
      <c r="O107" s="7">
        <v>1</v>
      </c>
      <c r="P107" s="7">
        <v>0</v>
      </c>
      <c r="Q107" s="69">
        <f t="shared" si="8"/>
        <v>0.13043478260869565</v>
      </c>
      <c r="R107" s="69">
        <f t="shared" si="8"/>
        <v>0.5</v>
      </c>
      <c r="S107" s="7"/>
      <c r="T107" s="7"/>
      <c r="U107" s="7"/>
      <c r="V107" s="7"/>
      <c r="W107" s="7"/>
    </row>
    <row r="108" spans="1:23">
      <c r="A108" s="6">
        <v>46135</v>
      </c>
      <c r="B108" s="7" t="s">
        <v>166</v>
      </c>
      <c r="C108" s="18"/>
      <c r="D108" s="18" t="s">
        <v>189</v>
      </c>
      <c r="E108" s="18" t="s">
        <v>116</v>
      </c>
      <c r="F108" s="18"/>
      <c r="G108" s="18"/>
      <c r="H108" s="18" t="s">
        <v>186</v>
      </c>
      <c r="I108" s="30"/>
      <c r="J108" s="18" t="s">
        <v>35</v>
      </c>
      <c r="K108" s="18" t="s">
        <v>186</v>
      </c>
      <c r="L108" s="7">
        <v>1272</v>
      </c>
      <c r="M108" s="7">
        <v>9</v>
      </c>
      <c r="N108" s="7">
        <v>1</v>
      </c>
      <c r="O108" s="7">
        <v>0</v>
      </c>
      <c r="P108" s="7">
        <v>1</v>
      </c>
      <c r="Q108" s="69">
        <f t="shared" si="8"/>
        <v>7.0754716981132077E-3</v>
      </c>
      <c r="R108" s="69">
        <f t="shared" si="8"/>
        <v>0.1111111111111111</v>
      </c>
      <c r="S108" s="7"/>
      <c r="T108" s="7"/>
      <c r="U108" s="7"/>
      <c r="V108" s="7"/>
      <c r="W108" s="7"/>
    </row>
    <row r="109" spans="1:23">
      <c r="A109" s="6">
        <v>46135</v>
      </c>
      <c r="B109" s="7" t="s">
        <v>166</v>
      </c>
      <c r="C109" s="7"/>
      <c r="D109" s="51" t="s">
        <v>400</v>
      </c>
      <c r="E109" s="7" t="s">
        <v>253</v>
      </c>
      <c r="F109" s="7"/>
      <c r="G109" s="7"/>
      <c r="H109" s="7" t="s">
        <v>170</v>
      </c>
      <c r="I109" s="14" t="s">
        <v>67</v>
      </c>
      <c r="J109" s="7" t="s">
        <v>35</v>
      </c>
      <c r="K109" s="7" t="s">
        <v>170</v>
      </c>
      <c r="L109" s="7"/>
      <c r="M109" s="7"/>
      <c r="N109" s="7"/>
      <c r="O109" s="7"/>
      <c r="P109" s="7"/>
      <c r="Q109" s="69" t="e">
        <f t="shared" si="8"/>
        <v>#DIV/0!</v>
      </c>
      <c r="R109" s="69" t="e">
        <f t="shared" si="8"/>
        <v>#DIV/0!</v>
      </c>
      <c r="S109" s="7"/>
      <c r="T109" s="7"/>
      <c r="U109" s="7"/>
      <c r="V109" s="7"/>
      <c r="W109" s="7"/>
    </row>
    <row r="110" spans="1:23">
      <c r="A110" s="6">
        <v>46135</v>
      </c>
      <c r="B110" s="7" t="s">
        <v>166</v>
      </c>
      <c r="C110" s="7"/>
      <c r="D110" s="90" t="s">
        <v>291</v>
      </c>
      <c r="E110" s="7" t="s">
        <v>253</v>
      </c>
      <c r="F110" s="7"/>
      <c r="G110" s="7"/>
      <c r="H110" s="7" t="s">
        <v>170</v>
      </c>
      <c r="I110" s="84" t="s">
        <v>454</v>
      </c>
      <c r="J110" s="7" t="s">
        <v>35</v>
      </c>
      <c r="K110" s="7" t="s">
        <v>170</v>
      </c>
      <c r="L110" s="7"/>
      <c r="M110" s="7"/>
      <c r="N110" s="7"/>
      <c r="O110" s="7"/>
      <c r="P110" s="7"/>
      <c r="Q110" s="69" t="e">
        <f t="shared" si="8"/>
        <v>#DIV/0!</v>
      </c>
      <c r="R110" s="69" t="e">
        <f t="shared" si="8"/>
        <v>#DIV/0!</v>
      </c>
      <c r="S110" s="7"/>
      <c r="T110" s="7"/>
      <c r="U110" s="7"/>
      <c r="V110" s="7"/>
      <c r="W110" s="7"/>
    </row>
    <row r="111" spans="1:23">
      <c r="A111" s="6">
        <v>46135</v>
      </c>
      <c r="B111" s="7" t="s">
        <v>166</v>
      </c>
      <c r="C111" s="7"/>
      <c r="D111" s="90" t="s">
        <v>291</v>
      </c>
      <c r="E111" s="7" t="s">
        <v>253</v>
      </c>
      <c r="F111" s="7"/>
      <c r="G111" s="7"/>
      <c r="H111" s="7" t="s">
        <v>170</v>
      </c>
      <c r="I111" s="84" t="s">
        <v>455</v>
      </c>
      <c r="J111" s="7" t="s">
        <v>35</v>
      </c>
      <c r="K111" s="7" t="s">
        <v>170</v>
      </c>
      <c r="L111" s="7"/>
      <c r="M111" s="7"/>
      <c r="N111" s="7"/>
      <c r="O111" s="7"/>
      <c r="P111" s="7"/>
      <c r="Q111" s="69" t="e">
        <f t="shared" si="8"/>
        <v>#DIV/0!</v>
      </c>
      <c r="R111" s="69" t="e">
        <f t="shared" si="8"/>
        <v>#DIV/0!</v>
      </c>
      <c r="S111" s="7"/>
      <c r="T111" s="7"/>
      <c r="U111" s="7"/>
      <c r="V111" s="7"/>
      <c r="W111" s="7"/>
    </row>
    <row r="112" spans="1:23">
      <c r="A112" s="6">
        <v>46135</v>
      </c>
      <c r="B112" s="7" t="s">
        <v>166</v>
      </c>
      <c r="C112" s="7"/>
      <c r="D112" s="65" t="s">
        <v>332</v>
      </c>
      <c r="E112" s="7" t="s">
        <v>253</v>
      </c>
      <c r="F112" s="7"/>
      <c r="G112" s="7"/>
      <c r="H112" s="7" t="s">
        <v>170</v>
      </c>
      <c r="I112" s="47" t="s">
        <v>326</v>
      </c>
      <c r="J112" s="7" t="s">
        <v>35</v>
      </c>
      <c r="K112" s="7" t="s">
        <v>170</v>
      </c>
      <c r="L112" s="7">
        <v>457</v>
      </c>
      <c r="M112" s="7">
        <v>412</v>
      </c>
      <c r="N112" s="7">
        <v>269</v>
      </c>
      <c r="O112" s="7">
        <v>0</v>
      </c>
      <c r="P112" s="7">
        <v>0</v>
      </c>
      <c r="Q112" s="69">
        <f t="shared" si="8"/>
        <v>0.90153172866520792</v>
      </c>
      <c r="R112" s="69">
        <f t="shared" si="8"/>
        <v>0.65291262135922334</v>
      </c>
      <c r="S112" s="7"/>
      <c r="T112" s="7"/>
      <c r="U112" s="7"/>
      <c r="V112" s="7"/>
      <c r="W112" s="7"/>
    </row>
    <row r="113" spans="1:23">
      <c r="A113" s="6">
        <v>46135</v>
      </c>
      <c r="B113" s="7" t="s">
        <v>166</v>
      </c>
      <c r="C113" s="62">
        <v>0.85416666666666663</v>
      </c>
      <c r="D113" s="77" t="s">
        <v>495</v>
      </c>
      <c r="E113" s="7" t="s">
        <v>253</v>
      </c>
      <c r="F113" s="77" t="s">
        <v>436</v>
      </c>
      <c r="G113" s="7"/>
      <c r="H113" s="7" t="s">
        <v>149</v>
      </c>
      <c r="I113" s="47"/>
      <c r="J113" s="7" t="s">
        <v>35</v>
      </c>
      <c r="K113" s="7" t="s">
        <v>149</v>
      </c>
      <c r="L113" s="7">
        <v>153</v>
      </c>
      <c r="M113" s="7">
        <v>14</v>
      </c>
      <c r="N113" s="7">
        <v>1</v>
      </c>
      <c r="O113" s="7">
        <v>0</v>
      </c>
      <c r="P113" s="7">
        <v>0</v>
      </c>
      <c r="Q113" s="69">
        <f t="shared" si="8"/>
        <v>9.1503267973856203E-2</v>
      </c>
      <c r="R113" s="69">
        <f t="shared" si="8"/>
        <v>7.1428571428571425E-2</v>
      </c>
      <c r="S113" s="7"/>
      <c r="T113" s="7"/>
      <c r="U113" s="7"/>
      <c r="V113" s="7"/>
      <c r="W113" s="7"/>
    </row>
    <row r="114" spans="1:23" ht="16.8">
      <c r="A114" s="6">
        <v>46135</v>
      </c>
      <c r="B114" s="7" t="s">
        <v>166</v>
      </c>
      <c r="C114" s="62">
        <v>0.875</v>
      </c>
      <c r="D114" s="77" t="s">
        <v>496</v>
      </c>
      <c r="E114" s="7" t="s">
        <v>253</v>
      </c>
      <c r="F114" s="77" t="s">
        <v>438</v>
      </c>
      <c r="G114" s="7"/>
      <c r="H114" s="52" t="s">
        <v>157</v>
      </c>
      <c r="I114" s="47"/>
      <c r="J114" s="7" t="s">
        <v>35</v>
      </c>
      <c r="K114" s="52" t="s">
        <v>157</v>
      </c>
      <c r="L114" s="7">
        <v>219</v>
      </c>
      <c r="M114" s="7">
        <v>28</v>
      </c>
      <c r="N114" s="7">
        <v>4</v>
      </c>
      <c r="O114" s="7">
        <v>1</v>
      </c>
      <c r="P114" s="7">
        <v>0</v>
      </c>
      <c r="Q114" s="69">
        <f t="shared" si="8"/>
        <v>0.12785388127853881</v>
      </c>
      <c r="R114" s="69">
        <f t="shared" si="8"/>
        <v>0.14285714285714285</v>
      </c>
      <c r="S114" s="7"/>
      <c r="T114" s="7"/>
      <c r="U114" s="7"/>
      <c r="V114" s="7"/>
      <c r="W114" s="7"/>
    </row>
    <row r="115" spans="1:23" ht="16.8">
      <c r="A115" s="6">
        <v>46135</v>
      </c>
      <c r="B115" s="7" t="s">
        <v>166</v>
      </c>
      <c r="C115" s="62">
        <v>0.97916666666666663</v>
      </c>
      <c r="D115" s="77" t="s">
        <v>497</v>
      </c>
      <c r="E115" s="7" t="s">
        <v>253</v>
      </c>
      <c r="F115" s="77" t="s">
        <v>440</v>
      </c>
      <c r="G115" s="7"/>
      <c r="H115" s="52" t="s">
        <v>420</v>
      </c>
      <c r="I115" s="47"/>
      <c r="J115" s="7" t="s">
        <v>35</v>
      </c>
      <c r="K115" s="52" t="s">
        <v>420</v>
      </c>
      <c r="L115" s="7">
        <v>133</v>
      </c>
      <c r="M115" s="7">
        <v>12</v>
      </c>
      <c r="N115" s="7">
        <v>4</v>
      </c>
      <c r="O115" s="7">
        <v>0</v>
      </c>
      <c r="P115" s="7">
        <v>0</v>
      </c>
      <c r="Q115" s="69">
        <f t="shared" si="8"/>
        <v>9.0225563909774431E-2</v>
      </c>
      <c r="R115" s="69">
        <f t="shared" si="8"/>
        <v>0.33333333333333331</v>
      </c>
      <c r="S115" s="7"/>
      <c r="T115" s="7"/>
      <c r="U115" s="7"/>
      <c r="V115" s="7"/>
      <c r="W115" s="7"/>
    </row>
    <row r="116" spans="1:23">
      <c r="A116" s="6">
        <v>46135</v>
      </c>
      <c r="B116" s="7" t="s">
        <v>166</v>
      </c>
      <c r="C116" s="62">
        <v>0.91666666666666663</v>
      </c>
      <c r="D116" s="77" t="s">
        <v>498</v>
      </c>
      <c r="E116" s="7" t="s">
        <v>253</v>
      </c>
      <c r="F116" s="77" t="s">
        <v>442</v>
      </c>
      <c r="G116" s="7"/>
      <c r="H116" s="7" t="s">
        <v>121</v>
      </c>
      <c r="I116" s="47"/>
      <c r="J116" s="7" t="s">
        <v>35</v>
      </c>
      <c r="K116" s="7" t="s">
        <v>121</v>
      </c>
      <c r="L116" s="7">
        <v>242</v>
      </c>
      <c r="M116" s="7">
        <v>23</v>
      </c>
      <c r="N116" s="7">
        <v>17</v>
      </c>
      <c r="O116" s="7">
        <v>0</v>
      </c>
      <c r="P116" s="7">
        <v>0</v>
      </c>
      <c r="Q116" s="69">
        <f t="shared" si="8"/>
        <v>9.5041322314049589E-2</v>
      </c>
      <c r="R116" s="69">
        <f t="shared" si="8"/>
        <v>0.73913043478260865</v>
      </c>
      <c r="S116" s="7"/>
      <c r="T116" s="7"/>
      <c r="U116" s="7"/>
      <c r="V116" s="7"/>
      <c r="W116" s="7"/>
    </row>
    <row r="117" spans="1:23" ht="16.8">
      <c r="A117" s="6">
        <v>46135</v>
      </c>
      <c r="B117" s="7" t="s">
        <v>166</v>
      </c>
      <c r="C117" s="62">
        <v>0.96875</v>
      </c>
      <c r="D117" s="7" t="s">
        <v>499</v>
      </c>
      <c r="E117" s="7" t="s">
        <v>253</v>
      </c>
      <c r="F117" s="7" t="s">
        <v>412</v>
      </c>
      <c r="G117" s="7"/>
      <c r="H117" s="52" t="s">
        <v>210</v>
      </c>
      <c r="I117" s="47"/>
      <c r="J117" s="7" t="s">
        <v>35</v>
      </c>
      <c r="K117" s="52" t="s">
        <v>210</v>
      </c>
      <c r="L117" s="7">
        <v>561</v>
      </c>
      <c r="M117" s="7">
        <v>34</v>
      </c>
      <c r="N117" s="7">
        <v>14</v>
      </c>
      <c r="O117" s="7">
        <v>0</v>
      </c>
      <c r="P117" s="7">
        <v>0</v>
      </c>
      <c r="Q117" s="69">
        <f t="shared" si="8"/>
        <v>6.0606060606060608E-2</v>
      </c>
      <c r="R117" s="69">
        <f t="shared" si="8"/>
        <v>0.41176470588235292</v>
      </c>
      <c r="S117" s="7"/>
      <c r="T117" s="7"/>
      <c r="U117" s="7"/>
      <c r="V117" s="7"/>
      <c r="W117" s="7"/>
    </row>
    <row r="118" spans="1:23" ht="6.6" customHeight="1">
      <c r="A118" s="22"/>
      <c r="B118" s="23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5"/>
      <c r="R118" s="25"/>
      <c r="S118" s="24"/>
      <c r="T118" s="24"/>
      <c r="U118" s="24"/>
      <c r="V118" s="25"/>
      <c r="W118" s="26"/>
    </row>
    <row r="119" spans="1:23">
      <c r="A119" s="6">
        <v>46136</v>
      </c>
      <c r="B119" s="7" t="s">
        <v>553</v>
      </c>
      <c r="C119" s="18" t="s">
        <v>591</v>
      </c>
      <c r="D119" s="18" t="s">
        <v>108</v>
      </c>
      <c r="E119" s="18" t="s">
        <v>35</v>
      </c>
      <c r="F119" s="18" t="s">
        <v>115</v>
      </c>
      <c r="G119" s="18"/>
      <c r="H119" s="18" t="s">
        <v>106</v>
      </c>
      <c r="I119" s="14"/>
      <c r="J119" s="18" t="s">
        <v>35</v>
      </c>
      <c r="K119" s="18" t="s">
        <v>106</v>
      </c>
      <c r="L119" s="7">
        <v>735</v>
      </c>
      <c r="M119" s="7">
        <v>57</v>
      </c>
      <c r="N119" s="7">
        <v>16</v>
      </c>
      <c r="O119" s="7">
        <v>5</v>
      </c>
      <c r="P119" s="7">
        <v>0</v>
      </c>
      <c r="Q119" s="69">
        <f t="shared" ref="Q119:R132" si="9">M119/L119</f>
        <v>7.7551020408163265E-2</v>
      </c>
      <c r="R119" s="69">
        <f t="shared" si="9"/>
        <v>0.2807017543859649</v>
      </c>
      <c r="S119" s="7"/>
      <c r="T119" s="7"/>
      <c r="U119" s="7"/>
      <c r="V119" s="7"/>
      <c r="W119" s="7"/>
    </row>
    <row r="120" spans="1:23">
      <c r="A120" s="6">
        <v>46136</v>
      </c>
      <c r="B120" s="7" t="s">
        <v>553</v>
      </c>
      <c r="C120" s="18" t="s">
        <v>592</v>
      </c>
      <c r="D120" s="18" t="s">
        <v>587</v>
      </c>
      <c r="E120" s="18" t="s">
        <v>35</v>
      </c>
      <c r="F120" s="18" t="s">
        <v>588</v>
      </c>
      <c r="G120" s="18"/>
      <c r="H120" s="18" t="s">
        <v>106</v>
      </c>
      <c r="I120" s="14" t="s">
        <v>554</v>
      </c>
      <c r="J120" s="18" t="s">
        <v>35</v>
      </c>
      <c r="K120" s="18" t="s">
        <v>106</v>
      </c>
      <c r="L120" s="7"/>
      <c r="M120" s="7"/>
      <c r="N120" s="7"/>
      <c r="O120" s="7"/>
      <c r="P120" s="7"/>
      <c r="Q120" s="69"/>
      <c r="R120" s="69"/>
      <c r="S120" s="7"/>
      <c r="T120" s="7"/>
      <c r="U120" s="7"/>
      <c r="V120" s="7"/>
      <c r="W120" s="7"/>
    </row>
    <row r="121" spans="1:23">
      <c r="A121" s="6">
        <v>46136</v>
      </c>
      <c r="B121" s="7" t="s">
        <v>553</v>
      </c>
      <c r="C121" s="18"/>
      <c r="D121" s="18" t="s">
        <v>155</v>
      </c>
      <c r="E121" s="18" t="s">
        <v>35</v>
      </c>
      <c r="F121" s="18" t="s">
        <v>156</v>
      </c>
      <c r="G121" s="18"/>
      <c r="H121" s="18" t="s">
        <v>157</v>
      </c>
      <c r="I121" s="30"/>
      <c r="J121" s="18" t="s">
        <v>35</v>
      </c>
      <c r="K121" s="18" t="s">
        <v>157</v>
      </c>
      <c r="L121" s="7">
        <v>323</v>
      </c>
      <c r="M121" s="7">
        <v>54</v>
      </c>
      <c r="N121" s="7">
        <v>15</v>
      </c>
      <c r="O121" s="7">
        <v>3</v>
      </c>
      <c r="P121" s="7">
        <v>0</v>
      </c>
      <c r="Q121" s="69">
        <f t="shared" si="9"/>
        <v>0.16718266253869968</v>
      </c>
      <c r="R121" s="69">
        <f t="shared" si="9"/>
        <v>0.27777777777777779</v>
      </c>
      <c r="S121" s="7"/>
      <c r="T121" s="7"/>
      <c r="U121" s="7"/>
      <c r="V121" s="7"/>
      <c r="W121" s="7"/>
    </row>
    <row r="122" spans="1:23">
      <c r="A122" s="6">
        <v>46136</v>
      </c>
      <c r="B122" s="7" t="s">
        <v>553</v>
      </c>
      <c r="C122" s="18"/>
      <c r="D122" s="18" t="s">
        <v>158</v>
      </c>
      <c r="E122" s="18" t="s">
        <v>35</v>
      </c>
      <c r="F122" s="18" t="s">
        <v>159</v>
      </c>
      <c r="G122" s="18"/>
      <c r="H122" s="18" t="s">
        <v>149</v>
      </c>
      <c r="I122" s="30"/>
      <c r="J122" s="18" t="s">
        <v>35</v>
      </c>
      <c r="K122" s="18" t="s">
        <v>149</v>
      </c>
      <c r="L122" s="7">
        <v>142</v>
      </c>
      <c r="M122" s="7">
        <v>38</v>
      </c>
      <c r="N122" s="7">
        <v>15</v>
      </c>
      <c r="O122" s="7">
        <v>3</v>
      </c>
      <c r="P122" s="7">
        <v>0</v>
      </c>
      <c r="Q122" s="69">
        <f t="shared" si="9"/>
        <v>0.26760563380281688</v>
      </c>
      <c r="R122" s="69">
        <f t="shared" si="9"/>
        <v>0.39473684210526316</v>
      </c>
      <c r="S122" s="7"/>
      <c r="T122" s="7"/>
      <c r="U122" s="7"/>
      <c r="V122" s="7"/>
      <c r="W122" s="7"/>
    </row>
    <row r="123" spans="1:23">
      <c r="A123" s="6">
        <v>46136</v>
      </c>
      <c r="B123" s="7" t="s">
        <v>553</v>
      </c>
      <c r="C123" s="18" t="s">
        <v>591</v>
      </c>
      <c r="D123" s="18" t="s">
        <v>189</v>
      </c>
      <c r="E123" s="18" t="s">
        <v>35</v>
      </c>
      <c r="F123" s="18"/>
      <c r="G123" s="18"/>
      <c r="H123" s="18" t="s">
        <v>186</v>
      </c>
      <c r="I123" s="30"/>
      <c r="J123" s="18" t="s">
        <v>35</v>
      </c>
      <c r="K123" s="18" t="s">
        <v>186</v>
      </c>
      <c r="L123" s="7">
        <v>2183</v>
      </c>
      <c r="M123" s="7">
        <v>9</v>
      </c>
      <c r="N123" s="7">
        <v>1</v>
      </c>
      <c r="O123" s="7">
        <v>1</v>
      </c>
      <c r="P123" s="7">
        <v>0</v>
      </c>
      <c r="Q123" s="69">
        <f t="shared" si="9"/>
        <v>4.1227668346312417E-3</v>
      </c>
      <c r="R123" s="69">
        <f t="shared" si="9"/>
        <v>0.1111111111111111</v>
      </c>
      <c r="S123" s="7"/>
      <c r="T123" s="7"/>
      <c r="U123" s="7"/>
      <c r="V123" s="7"/>
      <c r="W123" s="7"/>
    </row>
    <row r="124" spans="1:23">
      <c r="A124" s="6">
        <v>46136</v>
      </c>
      <c r="B124" s="7" t="s">
        <v>553</v>
      </c>
      <c r="C124" s="18" t="s">
        <v>592</v>
      </c>
      <c r="D124" s="18" t="s">
        <v>587</v>
      </c>
      <c r="E124" s="18" t="s">
        <v>35</v>
      </c>
      <c r="F124" s="18" t="s">
        <v>588</v>
      </c>
      <c r="G124" s="18"/>
      <c r="H124" s="18"/>
      <c r="I124" s="14" t="s">
        <v>554</v>
      </c>
      <c r="J124" s="18"/>
      <c r="K124" s="18"/>
      <c r="L124" s="7"/>
      <c r="M124" s="7"/>
      <c r="N124" s="7"/>
      <c r="O124" s="7"/>
      <c r="P124" s="7"/>
      <c r="Q124" s="69"/>
      <c r="R124" s="69"/>
      <c r="S124" s="7"/>
      <c r="T124" s="7"/>
      <c r="U124" s="7"/>
      <c r="V124" s="7"/>
      <c r="W124" s="7"/>
    </row>
    <row r="125" spans="1:23">
      <c r="A125" s="6">
        <v>46136</v>
      </c>
      <c r="B125" s="7" t="s">
        <v>553</v>
      </c>
      <c r="C125" s="7"/>
      <c r="D125" s="7" t="s">
        <v>667</v>
      </c>
      <c r="E125" s="7" t="s">
        <v>253</v>
      </c>
      <c r="F125" s="7"/>
      <c r="G125" s="7"/>
      <c r="H125" s="7" t="s">
        <v>170</v>
      </c>
      <c r="I125" s="14" t="s">
        <v>67</v>
      </c>
      <c r="J125" s="7" t="s">
        <v>35</v>
      </c>
      <c r="K125" s="7" t="s">
        <v>170</v>
      </c>
      <c r="L125" s="7">
        <v>1499</v>
      </c>
      <c r="M125" s="7">
        <v>1387</v>
      </c>
      <c r="N125" s="7">
        <v>922</v>
      </c>
      <c r="O125" s="7">
        <v>0</v>
      </c>
      <c r="P125" s="7">
        <v>1</v>
      </c>
      <c r="Q125" s="69">
        <f t="shared" si="9"/>
        <v>0.92528352234823219</v>
      </c>
      <c r="R125" s="69">
        <f t="shared" si="9"/>
        <v>0.66474405191059838</v>
      </c>
      <c r="S125" s="7"/>
      <c r="T125" s="7"/>
      <c r="U125" s="7"/>
      <c r="V125" s="7"/>
      <c r="W125" s="7"/>
    </row>
    <row r="126" spans="1:23">
      <c r="A126" s="6">
        <v>46136</v>
      </c>
      <c r="B126" s="7" t="s">
        <v>553</v>
      </c>
      <c r="C126" s="7"/>
      <c r="D126" s="100" t="s">
        <v>668</v>
      </c>
      <c r="E126" s="7" t="s">
        <v>253</v>
      </c>
      <c r="F126" s="7"/>
      <c r="G126" s="7"/>
      <c r="H126" s="7" t="s">
        <v>170</v>
      </c>
      <c r="I126" s="84"/>
      <c r="J126" s="7" t="s">
        <v>35</v>
      </c>
      <c r="K126" s="7" t="s">
        <v>170</v>
      </c>
      <c r="L126" s="7">
        <v>239</v>
      </c>
      <c r="M126" s="7">
        <v>222</v>
      </c>
      <c r="N126" s="7">
        <v>141</v>
      </c>
      <c r="O126" s="7">
        <v>0</v>
      </c>
      <c r="P126" s="7">
        <v>0</v>
      </c>
      <c r="Q126" s="69">
        <f t="shared" si="9"/>
        <v>0.92887029288702927</v>
      </c>
      <c r="R126" s="69">
        <f t="shared" si="9"/>
        <v>0.63513513513513509</v>
      </c>
      <c r="S126" s="7"/>
      <c r="T126" s="7"/>
      <c r="U126" s="7"/>
      <c r="V126" s="7"/>
      <c r="W126" s="7"/>
    </row>
    <row r="127" spans="1:23">
      <c r="A127" s="6">
        <v>46136</v>
      </c>
      <c r="B127" s="7" t="s">
        <v>553</v>
      </c>
      <c r="C127" s="7"/>
      <c r="D127" s="100" t="s">
        <v>668</v>
      </c>
      <c r="E127" s="7" t="s">
        <v>253</v>
      </c>
      <c r="F127" s="7"/>
      <c r="G127" s="7"/>
      <c r="H127" s="7" t="s">
        <v>170</v>
      </c>
      <c r="I127" s="84"/>
      <c r="J127" s="7" t="s">
        <v>35</v>
      </c>
      <c r="K127" s="7" t="s">
        <v>170</v>
      </c>
      <c r="L127" s="7">
        <v>239</v>
      </c>
      <c r="M127" s="7">
        <v>222</v>
      </c>
      <c r="N127" s="7">
        <v>141</v>
      </c>
      <c r="O127" s="7">
        <v>0</v>
      </c>
      <c r="P127" s="7">
        <v>0</v>
      </c>
      <c r="Q127" s="69">
        <f t="shared" si="9"/>
        <v>0.92887029288702927</v>
      </c>
      <c r="R127" s="69">
        <f t="shared" si="9"/>
        <v>0.63513513513513509</v>
      </c>
      <c r="S127" s="7"/>
      <c r="T127" s="7"/>
      <c r="U127" s="7"/>
      <c r="V127" s="7"/>
      <c r="W127" s="7"/>
    </row>
    <row r="128" spans="1:23">
      <c r="A128" s="6">
        <v>46136</v>
      </c>
      <c r="B128" s="7" t="s">
        <v>553</v>
      </c>
      <c r="C128" s="62">
        <v>0.85416666666666663</v>
      </c>
      <c r="D128" s="7" t="s">
        <v>560</v>
      </c>
      <c r="E128" s="7" t="s">
        <v>253</v>
      </c>
      <c r="F128" s="7" t="s">
        <v>161</v>
      </c>
      <c r="G128" s="7"/>
      <c r="H128" s="7" t="s">
        <v>149</v>
      </c>
      <c r="I128" s="47"/>
      <c r="J128" s="7" t="s">
        <v>35</v>
      </c>
      <c r="K128" s="7" t="s">
        <v>149</v>
      </c>
      <c r="L128" s="7">
        <v>246</v>
      </c>
      <c r="M128" s="7">
        <v>74</v>
      </c>
      <c r="N128" s="7">
        <v>15</v>
      </c>
      <c r="O128" s="7">
        <v>1</v>
      </c>
      <c r="P128" s="7">
        <v>0</v>
      </c>
      <c r="Q128" s="69">
        <f t="shared" si="9"/>
        <v>0.30081300813008133</v>
      </c>
      <c r="R128" s="69">
        <f t="shared" si="9"/>
        <v>0.20270270270270271</v>
      </c>
      <c r="S128" s="7"/>
      <c r="T128" s="7"/>
      <c r="U128" s="7"/>
      <c r="V128" s="7"/>
      <c r="W128" s="7"/>
    </row>
    <row r="129" spans="1:23" ht="16.8">
      <c r="A129" s="6">
        <v>46136</v>
      </c>
      <c r="B129" s="7" t="s">
        <v>553</v>
      </c>
      <c r="C129" s="62">
        <v>0.875</v>
      </c>
      <c r="D129" s="7" t="s">
        <v>561</v>
      </c>
      <c r="E129" s="7" t="s">
        <v>253</v>
      </c>
      <c r="F129" s="7" t="s">
        <v>247</v>
      </c>
      <c r="G129" s="7"/>
      <c r="H129" s="52" t="s">
        <v>157</v>
      </c>
      <c r="I129" s="47"/>
      <c r="J129" s="7" t="s">
        <v>35</v>
      </c>
      <c r="K129" s="52" t="s">
        <v>157</v>
      </c>
      <c r="L129" s="7">
        <v>481</v>
      </c>
      <c r="M129" s="7">
        <v>88</v>
      </c>
      <c r="N129" s="7">
        <v>15</v>
      </c>
      <c r="O129" s="7">
        <v>2</v>
      </c>
      <c r="P129" s="7">
        <v>0</v>
      </c>
      <c r="Q129" s="69">
        <f t="shared" si="9"/>
        <v>0.18295218295218296</v>
      </c>
      <c r="R129" s="69">
        <f t="shared" si="9"/>
        <v>0.17045454545454544</v>
      </c>
      <c r="S129" s="7"/>
      <c r="T129" s="7"/>
      <c r="U129" s="7"/>
      <c r="V129" s="7"/>
      <c r="W129" s="7"/>
    </row>
    <row r="130" spans="1:23" ht="16.8">
      <c r="A130" s="6">
        <v>46136</v>
      </c>
      <c r="B130" s="7" t="s">
        <v>553</v>
      </c>
      <c r="C130" s="62">
        <v>0.97916666666666663</v>
      </c>
      <c r="D130" s="7" t="s">
        <v>562</v>
      </c>
      <c r="E130" s="31" t="s">
        <v>253</v>
      </c>
      <c r="F130" s="31" t="s">
        <v>342</v>
      </c>
      <c r="G130" s="7"/>
      <c r="H130" s="52" t="s">
        <v>420</v>
      </c>
      <c r="I130" s="47"/>
      <c r="J130" s="7" t="s">
        <v>35</v>
      </c>
      <c r="K130" s="52" t="s">
        <v>420</v>
      </c>
      <c r="L130" s="7">
        <v>277</v>
      </c>
      <c r="M130" s="7">
        <v>59</v>
      </c>
      <c r="N130" s="7">
        <v>7</v>
      </c>
      <c r="O130" s="7">
        <v>0</v>
      </c>
      <c r="P130" s="7">
        <v>0</v>
      </c>
      <c r="Q130" s="69">
        <f t="shared" si="9"/>
        <v>0.21299638989169675</v>
      </c>
      <c r="R130" s="69">
        <f t="shared" si="9"/>
        <v>0.11864406779661017</v>
      </c>
      <c r="S130" s="7"/>
      <c r="T130" s="7"/>
      <c r="U130" s="7"/>
      <c r="V130" s="7"/>
      <c r="W130" s="7"/>
    </row>
    <row r="131" spans="1:23">
      <c r="A131" s="6">
        <v>46136</v>
      </c>
      <c r="B131" s="7" t="s">
        <v>553</v>
      </c>
      <c r="C131" s="62">
        <v>0.91666666666666663</v>
      </c>
      <c r="D131" s="7" t="s">
        <v>563</v>
      </c>
      <c r="E131" s="7" t="s">
        <v>253</v>
      </c>
      <c r="F131" s="7" t="s">
        <v>161</v>
      </c>
      <c r="G131" s="7"/>
      <c r="H131" s="7" t="s">
        <v>121</v>
      </c>
      <c r="I131" s="47"/>
      <c r="J131" s="7" t="s">
        <v>35</v>
      </c>
      <c r="K131" s="7" t="s">
        <v>121</v>
      </c>
      <c r="L131" s="7">
        <v>273</v>
      </c>
      <c r="M131" s="7">
        <v>21</v>
      </c>
      <c r="N131" s="7">
        <v>13</v>
      </c>
      <c r="O131" s="7">
        <v>0</v>
      </c>
      <c r="P131" s="7">
        <v>0</v>
      </c>
      <c r="Q131" s="69">
        <f t="shared" si="9"/>
        <v>7.6923076923076927E-2</v>
      </c>
      <c r="R131" s="69">
        <f t="shared" si="9"/>
        <v>0.61904761904761907</v>
      </c>
      <c r="S131" s="7"/>
      <c r="T131" s="7"/>
      <c r="U131" s="7"/>
      <c r="V131" s="7"/>
      <c r="W131" s="7"/>
    </row>
    <row r="132" spans="1:23" ht="16.8">
      <c r="A132" s="6">
        <v>46136</v>
      </c>
      <c r="B132" s="7" t="s">
        <v>553</v>
      </c>
      <c r="C132" s="62">
        <v>0.96875</v>
      </c>
      <c r="D132" s="7" t="s">
        <v>564</v>
      </c>
      <c r="E132" s="7" t="s">
        <v>253</v>
      </c>
      <c r="F132" s="7" t="s">
        <v>247</v>
      </c>
      <c r="G132" s="7"/>
      <c r="H132" s="52" t="s">
        <v>210</v>
      </c>
      <c r="I132" s="47"/>
      <c r="J132" s="7" t="s">
        <v>35</v>
      </c>
      <c r="K132" s="52" t="s">
        <v>210</v>
      </c>
      <c r="L132" s="7">
        <v>657</v>
      </c>
      <c r="M132" s="7">
        <v>42</v>
      </c>
      <c r="N132" s="7">
        <v>20</v>
      </c>
      <c r="O132" s="7">
        <v>0</v>
      </c>
      <c r="P132" s="7">
        <v>0</v>
      </c>
      <c r="Q132" s="69">
        <f t="shared" si="9"/>
        <v>6.3926940639269403E-2</v>
      </c>
      <c r="R132" s="69">
        <f t="shared" si="9"/>
        <v>0.47619047619047616</v>
      </c>
      <c r="S132" s="7"/>
      <c r="T132" s="7"/>
      <c r="U132" s="7"/>
      <c r="V132" s="7"/>
      <c r="W132" s="7"/>
    </row>
    <row r="133" spans="1:23" ht="6.6" customHeight="1">
      <c r="A133" s="22"/>
      <c r="B133" s="23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5"/>
      <c r="R133" s="25"/>
      <c r="S133" s="24"/>
      <c r="T133" s="24"/>
      <c r="U133" s="24"/>
      <c r="V133" s="25"/>
      <c r="W133" s="26"/>
    </row>
    <row r="134" spans="1:23">
      <c r="A134" s="6">
        <v>46137</v>
      </c>
      <c r="B134" s="7" t="s">
        <v>577</v>
      </c>
      <c r="C134" s="18" t="s">
        <v>591</v>
      </c>
      <c r="D134" s="18" t="s">
        <v>108</v>
      </c>
      <c r="E134" s="18" t="s">
        <v>35</v>
      </c>
      <c r="F134" s="18" t="s">
        <v>115</v>
      </c>
      <c r="G134" s="18"/>
      <c r="H134" s="18" t="s">
        <v>106</v>
      </c>
      <c r="I134" s="14"/>
      <c r="J134" s="18" t="s">
        <v>35</v>
      </c>
      <c r="K134" s="18" t="s">
        <v>106</v>
      </c>
      <c r="L134" s="7">
        <v>796</v>
      </c>
      <c r="M134" s="7">
        <v>23</v>
      </c>
      <c r="N134" s="7">
        <v>5</v>
      </c>
      <c r="O134" s="7">
        <v>1</v>
      </c>
      <c r="P134" s="7">
        <v>2</v>
      </c>
      <c r="Q134" s="69">
        <f t="shared" ref="Q134:R134" si="10">M134/L134</f>
        <v>2.8894472361809045E-2</v>
      </c>
      <c r="R134" s="69">
        <f t="shared" si="10"/>
        <v>0.21739130434782608</v>
      </c>
      <c r="S134" s="7"/>
      <c r="T134" s="7"/>
      <c r="U134" s="7"/>
      <c r="V134" s="7"/>
      <c r="W134" s="7"/>
    </row>
    <row r="135" spans="1:23">
      <c r="A135" s="6">
        <v>46137</v>
      </c>
      <c r="B135" s="7" t="s">
        <v>577</v>
      </c>
      <c r="C135" s="18" t="s">
        <v>592</v>
      </c>
      <c r="D135" s="18" t="s">
        <v>587</v>
      </c>
      <c r="E135" s="18" t="s">
        <v>35</v>
      </c>
      <c r="F135" s="18" t="s">
        <v>588</v>
      </c>
      <c r="G135" s="18"/>
      <c r="H135" s="18" t="s">
        <v>106</v>
      </c>
      <c r="I135" s="29"/>
      <c r="J135" s="18"/>
      <c r="K135" s="18"/>
      <c r="L135" s="7"/>
      <c r="M135" s="7"/>
      <c r="N135" s="7"/>
      <c r="O135" s="7"/>
      <c r="P135" s="7"/>
      <c r="Q135" s="69"/>
      <c r="R135" s="69"/>
      <c r="S135" s="7"/>
      <c r="T135" s="7"/>
      <c r="U135" s="7"/>
      <c r="V135" s="7"/>
      <c r="W135" s="7"/>
    </row>
    <row r="136" spans="1:23">
      <c r="A136" s="6">
        <v>46137</v>
      </c>
      <c r="B136" s="7" t="s">
        <v>577</v>
      </c>
      <c r="C136" s="18"/>
      <c r="D136" s="18" t="s">
        <v>155</v>
      </c>
      <c r="E136" s="18" t="s">
        <v>35</v>
      </c>
      <c r="F136" s="18" t="s">
        <v>156</v>
      </c>
      <c r="G136" s="18"/>
      <c r="H136" s="18" t="s">
        <v>157</v>
      </c>
      <c r="I136" s="30"/>
      <c r="J136" s="18" t="s">
        <v>35</v>
      </c>
      <c r="K136" s="18" t="s">
        <v>157</v>
      </c>
      <c r="L136" s="7">
        <v>77</v>
      </c>
      <c r="M136" s="7">
        <v>7</v>
      </c>
      <c r="N136" s="7">
        <v>2</v>
      </c>
      <c r="O136" s="7">
        <v>0</v>
      </c>
      <c r="P136" s="7">
        <v>0</v>
      </c>
      <c r="Q136" s="69">
        <f t="shared" ref="Q136:R138" si="11">M136/L136</f>
        <v>9.0909090909090912E-2</v>
      </c>
      <c r="R136" s="69">
        <f t="shared" si="11"/>
        <v>0.2857142857142857</v>
      </c>
      <c r="S136" s="7"/>
      <c r="T136" s="7"/>
      <c r="U136" s="7"/>
      <c r="V136" s="7"/>
      <c r="W136" s="7"/>
    </row>
    <row r="137" spans="1:23">
      <c r="A137" s="6">
        <v>46137</v>
      </c>
      <c r="B137" s="7" t="s">
        <v>577</v>
      </c>
      <c r="C137" s="18"/>
      <c r="D137" s="18" t="s">
        <v>158</v>
      </c>
      <c r="E137" s="18" t="s">
        <v>35</v>
      </c>
      <c r="F137" s="18" t="s">
        <v>159</v>
      </c>
      <c r="G137" s="18"/>
      <c r="H137" s="18" t="s">
        <v>149</v>
      </c>
      <c r="I137" s="30"/>
      <c r="J137" s="18" t="s">
        <v>35</v>
      </c>
      <c r="K137" s="18" t="s">
        <v>149</v>
      </c>
      <c r="L137" s="7">
        <v>56</v>
      </c>
      <c r="M137" s="7">
        <v>4</v>
      </c>
      <c r="N137" s="7">
        <v>1</v>
      </c>
      <c r="O137" s="7">
        <v>0</v>
      </c>
      <c r="P137" s="7">
        <v>0</v>
      </c>
      <c r="Q137" s="69">
        <f t="shared" si="11"/>
        <v>7.1428571428571425E-2</v>
      </c>
      <c r="R137" s="69">
        <f t="shared" si="11"/>
        <v>0.25</v>
      </c>
      <c r="S137" s="7"/>
      <c r="T137" s="7"/>
      <c r="U137" s="7"/>
      <c r="V137" s="7"/>
      <c r="W137" s="7"/>
    </row>
    <row r="138" spans="1:23">
      <c r="A138" s="6">
        <v>46137</v>
      </c>
      <c r="B138" s="7" t="s">
        <v>577</v>
      </c>
      <c r="C138" s="18" t="s">
        <v>591</v>
      </c>
      <c r="D138" s="18" t="s">
        <v>189</v>
      </c>
      <c r="E138" s="18" t="s">
        <v>35</v>
      </c>
      <c r="F138" s="18"/>
      <c r="G138" s="18"/>
      <c r="H138" s="18" t="s">
        <v>186</v>
      </c>
      <c r="I138" s="30"/>
      <c r="J138" s="18" t="s">
        <v>35</v>
      </c>
      <c r="K138" s="18" t="s">
        <v>186</v>
      </c>
      <c r="L138" s="7">
        <v>2223</v>
      </c>
      <c r="M138" s="7">
        <v>27</v>
      </c>
      <c r="N138" s="7">
        <v>4</v>
      </c>
      <c r="O138" s="7">
        <v>2</v>
      </c>
      <c r="P138" s="7">
        <v>4</v>
      </c>
      <c r="Q138" s="69">
        <f t="shared" si="11"/>
        <v>1.2145748987854251E-2</v>
      </c>
      <c r="R138" s="69">
        <f t="shared" si="11"/>
        <v>0.14814814814814814</v>
      </c>
      <c r="S138" s="7"/>
      <c r="T138" s="7"/>
      <c r="U138" s="7"/>
      <c r="V138" s="7"/>
      <c r="W138" s="7"/>
    </row>
    <row r="139" spans="1:23">
      <c r="A139" s="6">
        <v>46137</v>
      </c>
      <c r="B139" s="7" t="s">
        <v>577</v>
      </c>
      <c r="C139" s="18" t="s">
        <v>592</v>
      </c>
      <c r="D139" s="18" t="s">
        <v>587</v>
      </c>
      <c r="E139" s="18" t="s">
        <v>35</v>
      </c>
      <c r="F139" s="18" t="s">
        <v>588</v>
      </c>
      <c r="G139" s="18"/>
      <c r="H139" s="18"/>
      <c r="I139" s="29"/>
      <c r="J139" s="18"/>
      <c r="K139" s="18"/>
      <c r="L139" s="7"/>
      <c r="M139" s="7"/>
      <c r="N139" s="7"/>
      <c r="O139" s="7"/>
      <c r="P139" s="7"/>
      <c r="Q139" s="69"/>
      <c r="R139" s="69"/>
      <c r="S139" s="7"/>
      <c r="T139" s="7"/>
      <c r="U139" s="7"/>
      <c r="V139" s="7"/>
      <c r="W139" s="7"/>
    </row>
    <row r="140" spans="1:23">
      <c r="A140" s="6">
        <v>46137</v>
      </c>
      <c r="B140" s="7" t="s">
        <v>577</v>
      </c>
      <c r="C140" s="7"/>
      <c r="D140" s="7" t="s">
        <v>671</v>
      </c>
      <c r="E140" s="7" t="s">
        <v>253</v>
      </c>
      <c r="F140" s="7"/>
      <c r="G140" s="7"/>
      <c r="H140" s="7" t="s">
        <v>170</v>
      </c>
      <c r="I140" s="14" t="s">
        <v>67</v>
      </c>
      <c r="J140" s="7" t="s">
        <v>35</v>
      </c>
      <c r="K140" s="7" t="s">
        <v>170</v>
      </c>
      <c r="L140" s="7">
        <v>1499</v>
      </c>
      <c r="M140" s="7">
        <v>1399</v>
      </c>
      <c r="N140" s="7">
        <v>920</v>
      </c>
      <c r="O140" s="7">
        <v>0</v>
      </c>
      <c r="P140" s="7">
        <v>1</v>
      </c>
      <c r="Q140" s="69">
        <f t="shared" ref="Q140:R147" si="12">M140/L140</f>
        <v>0.93328885923949301</v>
      </c>
      <c r="R140" s="69">
        <f t="shared" si="12"/>
        <v>0.65761258041458182</v>
      </c>
      <c r="S140" s="7"/>
      <c r="T140" s="7"/>
      <c r="U140" s="7"/>
      <c r="V140" s="7"/>
      <c r="W140" s="7"/>
    </row>
    <row r="141" spans="1:23">
      <c r="A141" s="6">
        <v>46137</v>
      </c>
      <c r="B141" s="7" t="s">
        <v>577</v>
      </c>
      <c r="C141" s="7"/>
      <c r="D141" s="100" t="s">
        <v>672</v>
      </c>
      <c r="E141" s="7" t="s">
        <v>253</v>
      </c>
      <c r="F141" s="7"/>
      <c r="G141" s="7"/>
      <c r="H141" s="7" t="s">
        <v>170</v>
      </c>
      <c r="I141" s="84"/>
      <c r="J141" s="7" t="s">
        <v>35</v>
      </c>
      <c r="K141" s="7" t="s">
        <v>170</v>
      </c>
      <c r="L141" s="7">
        <v>1499</v>
      </c>
      <c r="M141" s="7">
        <v>1399</v>
      </c>
      <c r="N141" s="7">
        <v>683</v>
      </c>
      <c r="O141" s="7">
        <v>0</v>
      </c>
      <c r="P141" s="7">
        <v>1</v>
      </c>
      <c r="Q141" s="69">
        <f t="shared" si="12"/>
        <v>0.93328885923949301</v>
      </c>
      <c r="R141" s="69">
        <f t="shared" si="12"/>
        <v>0.4882058613295211</v>
      </c>
      <c r="S141" s="7"/>
      <c r="T141" s="7"/>
      <c r="U141" s="7"/>
      <c r="V141" s="7"/>
      <c r="W141" s="7"/>
    </row>
    <row r="142" spans="1:23">
      <c r="A142" s="6">
        <v>46137</v>
      </c>
      <c r="B142" s="7" t="s">
        <v>577</v>
      </c>
      <c r="C142" s="7"/>
      <c r="D142" s="100" t="s">
        <v>668</v>
      </c>
      <c r="E142" s="7" t="s">
        <v>253</v>
      </c>
      <c r="F142" s="7"/>
      <c r="G142" s="7"/>
      <c r="H142" s="7" t="s">
        <v>170</v>
      </c>
      <c r="I142" s="84"/>
      <c r="J142" s="7" t="s">
        <v>35</v>
      </c>
      <c r="K142" s="7" t="s">
        <v>170</v>
      </c>
      <c r="L142" s="7">
        <v>358</v>
      </c>
      <c r="M142" s="7">
        <v>331</v>
      </c>
      <c r="N142" s="7">
        <v>228</v>
      </c>
      <c r="O142" s="7">
        <v>0</v>
      </c>
      <c r="P142" s="7">
        <v>1</v>
      </c>
      <c r="Q142" s="69">
        <f t="shared" si="12"/>
        <v>0.92458100558659218</v>
      </c>
      <c r="R142" s="69">
        <f t="shared" si="12"/>
        <v>0.68882175226586106</v>
      </c>
      <c r="S142" s="7"/>
      <c r="T142" s="7"/>
      <c r="U142" s="7"/>
      <c r="V142" s="7"/>
      <c r="W142" s="7"/>
    </row>
    <row r="143" spans="1:23">
      <c r="A143" s="6">
        <v>46137</v>
      </c>
      <c r="B143" s="7" t="s">
        <v>577</v>
      </c>
      <c r="C143" s="62">
        <v>0.85416666666666663</v>
      </c>
      <c r="D143" s="99" t="s">
        <v>609</v>
      </c>
      <c r="E143" s="7" t="s">
        <v>253</v>
      </c>
      <c r="F143" s="77" t="s">
        <v>436</v>
      </c>
      <c r="G143" s="7"/>
      <c r="H143" s="7" t="s">
        <v>149</v>
      </c>
      <c r="I143" s="47"/>
      <c r="J143" s="7" t="s">
        <v>35</v>
      </c>
      <c r="K143" s="7" t="s">
        <v>149</v>
      </c>
      <c r="L143" s="7">
        <v>319</v>
      </c>
      <c r="M143" s="7">
        <v>27</v>
      </c>
      <c r="N143" s="7">
        <v>8</v>
      </c>
      <c r="O143" s="7">
        <v>0</v>
      </c>
      <c r="P143" s="7">
        <v>0</v>
      </c>
      <c r="Q143" s="69">
        <f t="shared" si="12"/>
        <v>8.4639498432601878E-2</v>
      </c>
      <c r="R143" s="69">
        <f t="shared" si="12"/>
        <v>0.29629629629629628</v>
      </c>
      <c r="S143" s="7"/>
      <c r="T143" s="7"/>
      <c r="U143" s="7"/>
      <c r="V143" s="7"/>
      <c r="W143" s="7"/>
    </row>
    <row r="144" spans="1:23" ht="16.8">
      <c r="A144" s="6">
        <v>46137</v>
      </c>
      <c r="B144" s="7" t="s">
        <v>577</v>
      </c>
      <c r="C144" s="62">
        <v>0.875</v>
      </c>
      <c r="D144" s="99" t="s">
        <v>610</v>
      </c>
      <c r="E144" s="7" t="s">
        <v>253</v>
      </c>
      <c r="F144" s="77" t="s">
        <v>438</v>
      </c>
      <c r="G144" s="7"/>
      <c r="H144" s="52" t="s">
        <v>157</v>
      </c>
      <c r="I144" s="47"/>
      <c r="J144" s="7" t="s">
        <v>35</v>
      </c>
      <c r="K144" s="52" t="s">
        <v>157</v>
      </c>
      <c r="L144" s="7">
        <v>613</v>
      </c>
      <c r="M144" s="7">
        <v>57</v>
      </c>
      <c r="N144" s="7">
        <v>12</v>
      </c>
      <c r="O144" s="7">
        <v>1</v>
      </c>
      <c r="P144" s="7">
        <v>0</v>
      </c>
      <c r="Q144" s="69">
        <f t="shared" si="12"/>
        <v>9.2985318107667206E-2</v>
      </c>
      <c r="R144" s="69">
        <f t="shared" si="12"/>
        <v>0.21052631578947367</v>
      </c>
      <c r="S144" s="7"/>
      <c r="T144" s="7"/>
      <c r="U144" s="7"/>
      <c r="V144" s="7"/>
      <c r="W144" s="7"/>
    </row>
    <row r="145" spans="1:23" ht="16.8">
      <c r="A145" s="6">
        <v>46137</v>
      </c>
      <c r="B145" s="7" t="s">
        <v>577</v>
      </c>
      <c r="C145" s="62">
        <v>0.97916666666666663</v>
      </c>
      <c r="D145" s="99" t="s">
        <v>611</v>
      </c>
      <c r="E145" s="7" t="s">
        <v>253</v>
      </c>
      <c r="F145" s="77" t="s">
        <v>440</v>
      </c>
      <c r="G145" s="7"/>
      <c r="H145" s="52" t="s">
        <v>420</v>
      </c>
      <c r="I145" s="47"/>
      <c r="J145" s="7" t="s">
        <v>35</v>
      </c>
      <c r="K145" s="52" t="s">
        <v>420</v>
      </c>
      <c r="L145" s="7">
        <v>321</v>
      </c>
      <c r="M145" s="7">
        <v>39</v>
      </c>
      <c r="N145" s="7">
        <v>9</v>
      </c>
      <c r="O145" s="7">
        <v>0</v>
      </c>
      <c r="P145" s="7">
        <v>0</v>
      </c>
      <c r="Q145" s="69">
        <f t="shared" si="12"/>
        <v>0.12149532710280374</v>
      </c>
      <c r="R145" s="69">
        <f t="shared" si="12"/>
        <v>0.23076923076923078</v>
      </c>
      <c r="S145" s="7"/>
      <c r="T145" s="7"/>
      <c r="U145" s="7"/>
      <c r="V145" s="7"/>
      <c r="W145" s="7"/>
    </row>
    <row r="146" spans="1:23">
      <c r="A146" s="6">
        <v>46137</v>
      </c>
      <c r="B146" s="7" t="s">
        <v>577</v>
      </c>
      <c r="C146" s="62">
        <v>0.91666666666666663</v>
      </c>
      <c r="D146" s="99" t="s">
        <v>612</v>
      </c>
      <c r="E146" s="7" t="s">
        <v>253</v>
      </c>
      <c r="F146" s="77" t="s">
        <v>442</v>
      </c>
      <c r="G146" s="7"/>
      <c r="H146" s="7" t="s">
        <v>121</v>
      </c>
      <c r="I146" s="47"/>
      <c r="J146" s="7" t="s">
        <v>35</v>
      </c>
      <c r="K146" s="7" t="s">
        <v>121</v>
      </c>
      <c r="L146" s="7">
        <v>315</v>
      </c>
      <c r="M146" s="7">
        <v>30</v>
      </c>
      <c r="N146" s="7">
        <v>18</v>
      </c>
      <c r="O146" s="7">
        <v>0</v>
      </c>
      <c r="P146" s="7">
        <v>0</v>
      </c>
      <c r="Q146" s="69">
        <f t="shared" si="12"/>
        <v>9.5238095238095233E-2</v>
      </c>
      <c r="R146" s="69">
        <f t="shared" si="12"/>
        <v>0.6</v>
      </c>
      <c r="S146" s="7"/>
      <c r="T146" s="7"/>
      <c r="U146" s="7"/>
      <c r="V146" s="7"/>
      <c r="W146" s="7"/>
    </row>
    <row r="147" spans="1:23" ht="16.8">
      <c r="A147" s="6">
        <v>46137</v>
      </c>
      <c r="B147" s="7" t="s">
        <v>577</v>
      </c>
      <c r="C147" s="62">
        <v>0.96875</v>
      </c>
      <c r="D147" s="31" t="s">
        <v>613</v>
      </c>
      <c r="E147" s="7" t="s">
        <v>253</v>
      </c>
      <c r="F147" s="7" t="s">
        <v>412</v>
      </c>
      <c r="G147" s="7"/>
      <c r="H147" s="52" t="s">
        <v>210</v>
      </c>
      <c r="I147" s="47"/>
      <c r="J147" s="7" t="s">
        <v>35</v>
      </c>
      <c r="K147" s="52" t="s">
        <v>210</v>
      </c>
      <c r="L147" s="7">
        <v>758</v>
      </c>
      <c r="M147" s="7">
        <v>37</v>
      </c>
      <c r="N147" s="7">
        <v>13</v>
      </c>
      <c r="O147" s="7">
        <v>0</v>
      </c>
      <c r="P147" s="7">
        <v>0</v>
      </c>
      <c r="Q147" s="69">
        <f t="shared" si="12"/>
        <v>4.8812664907651716E-2</v>
      </c>
      <c r="R147" s="69">
        <f t="shared" si="12"/>
        <v>0.35135135135135137</v>
      </c>
      <c r="S147" s="7"/>
      <c r="T147" s="7"/>
      <c r="U147" s="7"/>
      <c r="V147" s="7"/>
      <c r="W147" s="7"/>
    </row>
    <row r="148" spans="1:23" ht="6.6" customHeight="1">
      <c r="A148" s="22"/>
      <c r="B148" s="23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5"/>
      <c r="R148" s="25"/>
      <c r="S148" s="24"/>
      <c r="T148" s="24"/>
      <c r="U148" s="24"/>
      <c r="V148" s="25"/>
      <c r="W148" s="26"/>
    </row>
    <row r="149" spans="1:23">
      <c r="A149" s="6">
        <v>46138</v>
      </c>
      <c r="B149" s="7" t="s">
        <v>578</v>
      </c>
      <c r="C149" s="18" t="s">
        <v>591</v>
      </c>
      <c r="D149" s="18" t="s">
        <v>108</v>
      </c>
      <c r="E149" s="18" t="s">
        <v>35</v>
      </c>
      <c r="F149" s="18" t="s">
        <v>115</v>
      </c>
      <c r="G149" s="18"/>
      <c r="H149" s="18" t="s">
        <v>106</v>
      </c>
      <c r="I149" s="14"/>
      <c r="J149" s="18" t="s">
        <v>35</v>
      </c>
      <c r="K149" s="18" t="s">
        <v>106</v>
      </c>
      <c r="L149" s="7">
        <v>756</v>
      </c>
      <c r="M149" s="7">
        <v>9</v>
      </c>
      <c r="N149" s="7">
        <v>2</v>
      </c>
      <c r="O149" s="7">
        <v>0</v>
      </c>
      <c r="P149" s="7">
        <v>0</v>
      </c>
      <c r="Q149" s="69">
        <f t="shared" ref="Q149:R149" si="13">M149/L149</f>
        <v>1.1904761904761904E-2</v>
      </c>
      <c r="R149" s="69">
        <f t="shared" si="13"/>
        <v>0.22222222222222221</v>
      </c>
      <c r="S149" s="7"/>
      <c r="T149" s="7"/>
      <c r="U149" s="7"/>
      <c r="V149" s="7"/>
      <c r="W149" s="7"/>
    </row>
    <row r="150" spans="1:23">
      <c r="A150" s="6">
        <v>46138</v>
      </c>
      <c r="B150" s="7" t="s">
        <v>578</v>
      </c>
      <c r="C150" s="18" t="s">
        <v>592</v>
      </c>
      <c r="D150" s="18" t="s">
        <v>587</v>
      </c>
      <c r="E150" s="18" t="s">
        <v>35</v>
      </c>
      <c r="F150" s="18" t="s">
        <v>588</v>
      </c>
      <c r="G150" s="18"/>
      <c r="H150" s="18" t="s">
        <v>106</v>
      </c>
      <c r="I150" s="29"/>
      <c r="J150" s="18"/>
      <c r="K150" s="18"/>
      <c r="L150" s="7"/>
      <c r="M150" s="7"/>
      <c r="N150" s="7"/>
      <c r="O150" s="7"/>
      <c r="P150" s="7"/>
      <c r="Q150" s="69"/>
      <c r="R150" s="69"/>
      <c r="S150" s="7"/>
      <c r="T150" s="7"/>
      <c r="U150" s="7"/>
      <c r="V150" s="7"/>
      <c r="W150" s="7"/>
    </row>
    <row r="151" spans="1:23">
      <c r="A151" s="6">
        <v>46138</v>
      </c>
      <c r="B151" s="7" t="s">
        <v>578</v>
      </c>
      <c r="C151" s="18"/>
      <c r="D151" s="18" t="s">
        <v>155</v>
      </c>
      <c r="E151" s="18" t="s">
        <v>35</v>
      </c>
      <c r="F151" s="18" t="s">
        <v>156</v>
      </c>
      <c r="G151" s="18"/>
      <c r="H151" s="18" t="s">
        <v>157</v>
      </c>
      <c r="I151" s="30"/>
      <c r="J151" s="18" t="s">
        <v>35</v>
      </c>
      <c r="K151" s="18" t="s">
        <v>157</v>
      </c>
      <c r="L151" s="7">
        <v>64</v>
      </c>
      <c r="M151" s="7">
        <v>9</v>
      </c>
      <c r="N151" s="7">
        <v>6</v>
      </c>
      <c r="O151" s="7">
        <v>1</v>
      </c>
      <c r="P151" s="7">
        <v>0</v>
      </c>
      <c r="Q151" s="69">
        <f t="shared" ref="Q151:R153" si="14">M151/L151</f>
        <v>0.140625</v>
      </c>
      <c r="R151" s="69">
        <f t="shared" si="14"/>
        <v>0.66666666666666663</v>
      </c>
      <c r="S151" s="7"/>
      <c r="T151" s="7"/>
      <c r="U151" s="7"/>
      <c r="V151" s="7"/>
      <c r="W151" s="7"/>
    </row>
    <row r="152" spans="1:23">
      <c r="A152" s="6">
        <v>46138</v>
      </c>
      <c r="B152" s="7" t="s">
        <v>578</v>
      </c>
      <c r="C152" s="18"/>
      <c r="D152" s="18" t="s">
        <v>158</v>
      </c>
      <c r="E152" s="18" t="s">
        <v>35</v>
      </c>
      <c r="F152" s="18" t="s">
        <v>159</v>
      </c>
      <c r="G152" s="18"/>
      <c r="H152" s="18" t="s">
        <v>149</v>
      </c>
      <c r="I152" s="30"/>
      <c r="J152" s="18" t="s">
        <v>35</v>
      </c>
      <c r="K152" s="18" t="s">
        <v>149</v>
      </c>
      <c r="L152" s="7">
        <v>48</v>
      </c>
      <c r="M152" s="7">
        <v>7</v>
      </c>
      <c r="N152" s="7">
        <v>6</v>
      </c>
      <c r="O152" s="7">
        <v>1</v>
      </c>
      <c r="P152" s="7">
        <v>0</v>
      </c>
      <c r="Q152" s="69">
        <f t="shared" si="14"/>
        <v>0.14583333333333334</v>
      </c>
      <c r="R152" s="69">
        <f t="shared" si="14"/>
        <v>0.8571428571428571</v>
      </c>
      <c r="S152" s="7"/>
      <c r="T152" s="7"/>
      <c r="U152" s="7"/>
      <c r="V152" s="7"/>
      <c r="W152" s="7"/>
    </row>
    <row r="153" spans="1:23">
      <c r="A153" s="6">
        <v>46138</v>
      </c>
      <c r="B153" s="7" t="s">
        <v>578</v>
      </c>
      <c r="C153" s="18" t="s">
        <v>591</v>
      </c>
      <c r="D153" s="18" t="s">
        <v>189</v>
      </c>
      <c r="E153" s="18" t="s">
        <v>35</v>
      </c>
      <c r="F153" s="18"/>
      <c r="G153" s="18"/>
      <c r="H153" s="18" t="s">
        <v>186</v>
      </c>
      <c r="I153" s="30"/>
      <c r="J153" s="18" t="s">
        <v>35</v>
      </c>
      <c r="K153" s="18" t="s">
        <v>186</v>
      </c>
      <c r="L153" s="7">
        <v>1885</v>
      </c>
      <c r="M153" s="7">
        <v>12</v>
      </c>
      <c r="N153" s="7">
        <v>3</v>
      </c>
      <c r="O153" s="7">
        <v>0</v>
      </c>
      <c r="P153" s="7">
        <v>0</v>
      </c>
      <c r="Q153" s="69">
        <f t="shared" si="14"/>
        <v>6.36604774535809E-3</v>
      </c>
      <c r="R153" s="69">
        <f t="shared" si="14"/>
        <v>0.25</v>
      </c>
      <c r="S153" s="7"/>
      <c r="T153" s="7"/>
      <c r="U153" s="7"/>
      <c r="V153" s="7"/>
      <c r="W153" s="7"/>
    </row>
    <row r="154" spans="1:23">
      <c r="A154" s="6">
        <v>46138</v>
      </c>
      <c r="B154" s="7" t="s">
        <v>578</v>
      </c>
      <c r="C154" s="18" t="s">
        <v>592</v>
      </c>
      <c r="D154" s="18" t="s">
        <v>587</v>
      </c>
      <c r="E154" s="18" t="s">
        <v>35</v>
      </c>
      <c r="F154" s="18" t="s">
        <v>588</v>
      </c>
      <c r="G154" s="18"/>
      <c r="H154" s="18"/>
      <c r="I154" s="29"/>
      <c r="J154" s="18"/>
      <c r="K154" s="18"/>
      <c r="L154" s="7"/>
      <c r="M154" s="7"/>
      <c r="N154" s="7"/>
      <c r="O154" s="7"/>
      <c r="P154" s="7"/>
      <c r="Q154" s="69"/>
      <c r="R154" s="69"/>
      <c r="S154" s="7"/>
      <c r="T154" s="7"/>
      <c r="U154" s="7"/>
      <c r="V154" s="7"/>
      <c r="W154" s="7"/>
    </row>
    <row r="155" spans="1:23">
      <c r="A155" s="6">
        <v>46138</v>
      </c>
      <c r="B155" s="7" t="s">
        <v>578</v>
      </c>
      <c r="C155" s="7"/>
      <c r="D155" s="7" t="s">
        <v>675</v>
      </c>
      <c r="E155" s="7" t="s">
        <v>253</v>
      </c>
      <c r="F155" s="7"/>
      <c r="G155" s="7"/>
      <c r="H155" s="7" t="s">
        <v>170</v>
      </c>
      <c r="I155" s="14" t="s">
        <v>67</v>
      </c>
      <c r="J155" s="7" t="s">
        <v>35</v>
      </c>
      <c r="K155" s="7" t="s">
        <v>170</v>
      </c>
      <c r="L155" s="7">
        <v>2999</v>
      </c>
      <c r="M155" s="7">
        <v>2853</v>
      </c>
      <c r="N155" s="7">
        <v>1706</v>
      </c>
      <c r="O155" s="7">
        <v>0</v>
      </c>
      <c r="P155" s="7">
        <v>1</v>
      </c>
      <c r="Q155" s="69">
        <f t="shared" ref="Q155:R162" si="15">M155/L155</f>
        <v>0.95131710570190064</v>
      </c>
      <c r="R155" s="69">
        <f t="shared" si="15"/>
        <v>0.59796705222572732</v>
      </c>
      <c r="S155" s="7"/>
      <c r="T155" s="7"/>
      <c r="U155" s="7"/>
      <c r="V155" s="7"/>
      <c r="W155" s="7"/>
    </row>
    <row r="156" spans="1:23">
      <c r="A156" s="6">
        <v>46138</v>
      </c>
      <c r="B156" s="7" t="s">
        <v>578</v>
      </c>
      <c r="C156" s="7"/>
      <c r="D156" s="100" t="s">
        <v>676</v>
      </c>
      <c r="E156" s="7" t="s">
        <v>253</v>
      </c>
      <c r="F156" s="7"/>
      <c r="G156" s="7"/>
      <c r="H156" s="7" t="s">
        <v>170</v>
      </c>
      <c r="I156" s="84"/>
      <c r="J156" s="7" t="s">
        <v>35</v>
      </c>
      <c r="K156" s="7" t="s">
        <v>170</v>
      </c>
      <c r="L156" s="7">
        <v>2999</v>
      </c>
      <c r="M156" s="7">
        <v>2787</v>
      </c>
      <c r="N156" s="7">
        <v>1259</v>
      </c>
      <c r="O156" s="7">
        <v>0</v>
      </c>
      <c r="P156" s="7">
        <v>1</v>
      </c>
      <c r="Q156" s="69">
        <f t="shared" si="15"/>
        <v>0.92930976992330772</v>
      </c>
      <c r="R156" s="69">
        <f t="shared" si="15"/>
        <v>0.45174022246142803</v>
      </c>
      <c r="S156" s="7"/>
      <c r="T156" s="7"/>
      <c r="U156" s="7"/>
      <c r="V156" s="7"/>
      <c r="W156" s="7"/>
    </row>
    <row r="157" spans="1:23">
      <c r="A157" s="6">
        <v>46138</v>
      </c>
      <c r="B157" s="7" t="s">
        <v>578</v>
      </c>
      <c r="C157" s="7"/>
      <c r="D157" s="100" t="s">
        <v>668</v>
      </c>
      <c r="E157" s="7" t="s">
        <v>253</v>
      </c>
      <c r="F157" s="7"/>
      <c r="G157" s="7"/>
      <c r="H157" s="7" t="s">
        <v>170</v>
      </c>
      <c r="I157" s="84"/>
      <c r="J157" s="7" t="s">
        <v>35</v>
      </c>
      <c r="K157" s="7" t="s">
        <v>170</v>
      </c>
      <c r="L157" s="7">
        <v>361</v>
      </c>
      <c r="M157" s="7">
        <v>337</v>
      </c>
      <c r="N157" s="7">
        <v>210</v>
      </c>
      <c r="O157" s="7">
        <v>0</v>
      </c>
      <c r="P157" s="7">
        <v>0</v>
      </c>
      <c r="Q157" s="69">
        <f t="shared" si="15"/>
        <v>0.93351800554016617</v>
      </c>
      <c r="R157" s="69">
        <f t="shared" si="15"/>
        <v>0.62314540059347179</v>
      </c>
      <c r="S157" s="7"/>
      <c r="T157" s="7"/>
      <c r="U157" s="7"/>
      <c r="V157" s="7"/>
      <c r="W157" s="7"/>
    </row>
    <row r="158" spans="1:23">
      <c r="A158" s="6">
        <v>46138</v>
      </c>
      <c r="B158" s="7" t="s">
        <v>578</v>
      </c>
      <c r="C158" s="62">
        <v>0.85416666666666663</v>
      </c>
      <c r="D158" s="31" t="s">
        <v>624</v>
      </c>
      <c r="E158" s="7" t="s">
        <v>253</v>
      </c>
      <c r="F158" s="7" t="s">
        <v>161</v>
      </c>
      <c r="G158" s="7"/>
      <c r="H158" s="7" t="s">
        <v>149</v>
      </c>
      <c r="I158" s="47"/>
      <c r="J158" s="7" t="s">
        <v>35</v>
      </c>
      <c r="K158" s="7" t="s">
        <v>149</v>
      </c>
      <c r="L158" s="7">
        <v>359</v>
      </c>
      <c r="M158" s="7">
        <v>99</v>
      </c>
      <c r="N158" s="7">
        <v>19</v>
      </c>
      <c r="O158" s="7">
        <v>2</v>
      </c>
      <c r="P158" s="7">
        <v>0</v>
      </c>
      <c r="Q158" s="69">
        <f t="shared" si="15"/>
        <v>0.27576601671309192</v>
      </c>
      <c r="R158" s="69">
        <f t="shared" si="15"/>
        <v>0.19191919191919191</v>
      </c>
      <c r="S158" s="7"/>
      <c r="T158" s="7"/>
      <c r="U158" s="7"/>
      <c r="V158" s="7"/>
      <c r="W158" s="7"/>
    </row>
    <row r="159" spans="1:23" ht="16.8">
      <c r="A159" s="6">
        <v>46138</v>
      </c>
      <c r="B159" s="7" t="s">
        <v>578</v>
      </c>
      <c r="C159" s="62">
        <v>0.875</v>
      </c>
      <c r="D159" s="31" t="s">
        <v>625</v>
      </c>
      <c r="E159" s="7" t="s">
        <v>253</v>
      </c>
      <c r="F159" s="7" t="s">
        <v>247</v>
      </c>
      <c r="G159" s="7"/>
      <c r="H159" s="52" t="s">
        <v>157</v>
      </c>
      <c r="I159" s="47"/>
      <c r="J159" s="7" t="s">
        <v>35</v>
      </c>
      <c r="K159" s="52" t="s">
        <v>157</v>
      </c>
      <c r="L159" s="7">
        <v>673</v>
      </c>
      <c r="M159" s="7">
        <v>98</v>
      </c>
      <c r="N159" s="7">
        <v>19</v>
      </c>
      <c r="O159" s="7">
        <v>1</v>
      </c>
      <c r="P159" s="7">
        <v>0</v>
      </c>
      <c r="Q159" s="69">
        <f t="shared" si="15"/>
        <v>0.14561664190193166</v>
      </c>
      <c r="R159" s="69">
        <f t="shared" si="15"/>
        <v>0.19387755102040816</v>
      </c>
      <c r="S159" s="7"/>
      <c r="T159" s="7"/>
      <c r="U159" s="7"/>
      <c r="V159" s="7"/>
      <c r="W159" s="7"/>
    </row>
    <row r="160" spans="1:23" ht="16.8">
      <c r="A160" s="6">
        <v>46138</v>
      </c>
      <c r="B160" s="7" t="s">
        <v>578</v>
      </c>
      <c r="C160" s="62">
        <v>0.97916666666666663</v>
      </c>
      <c r="D160" s="31" t="s">
        <v>626</v>
      </c>
      <c r="E160" s="31" t="s">
        <v>253</v>
      </c>
      <c r="F160" s="31" t="s">
        <v>342</v>
      </c>
      <c r="G160" s="7"/>
      <c r="H160" s="52" t="s">
        <v>420</v>
      </c>
      <c r="I160" s="47"/>
      <c r="J160" s="7" t="s">
        <v>35</v>
      </c>
      <c r="K160" s="52" t="s">
        <v>420</v>
      </c>
      <c r="L160" s="7">
        <v>354</v>
      </c>
      <c r="M160" s="7">
        <v>45</v>
      </c>
      <c r="N160" s="7">
        <v>4</v>
      </c>
      <c r="O160" s="7">
        <v>0</v>
      </c>
      <c r="P160" s="7">
        <v>0</v>
      </c>
      <c r="Q160" s="69">
        <f t="shared" si="15"/>
        <v>0.1271186440677966</v>
      </c>
      <c r="R160" s="69">
        <f t="shared" si="15"/>
        <v>8.8888888888888892E-2</v>
      </c>
      <c r="S160" s="7"/>
      <c r="T160" s="7"/>
      <c r="U160" s="7"/>
      <c r="V160" s="7"/>
      <c r="W160" s="7"/>
    </row>
    <row r="161" spans="1:23">
      <c r="A161" s="6">
        <v>46138</v>
      </c>
      <c r="B161" s="7" t="s">
        <v>578</v>
      </c>
      <c r="C161" s="62">
        <v>0.91666666666666663</v>
      </c>
      <c r="D161" s="31" t="s">
        <v>627</v>
      </c>
      <c r="E161" s="7" t="s">
        <v>253</v>
      </c>
      <c r="F161" s="7" t="s">
        <v>161</v>
      </c>
      <c r="G161" s="7"/>
      <c r="H161" s="7" t="s">
        <v>121</v>
      </c>
      <c r="I161" s="47"/>
      <c r="J161" s="7" t="s">
        <v>35</v>
      </c>
      <c r="K161" s="7" t="s">
        <v>121</v>
      </c>
      <c r="L161" s="7">
        <v>337</v>
      </c>
      <c r="M161" s="7">
        <v>20</v>
      </c>
      <c r="N161" s="7">
        <v>11</v>
      </c>
      <c r="O161" s="7">
        <v>0</v>
      </c>
      <c r="P161" s="7">
        <v>0</v>
      </c>
      <c r="Q161" s="69">
        <f t="shared" si="15"/>
        <v>5.9347181008902079E-2</v>
      </c>
      <c r="R161" s="69">
        <f t="shared" si="15"/>
        <v>0.55000000000000004</v>
      </c>
      <c r="S161" s="7"/>
      <c r="T161" s="7"/>
      <c r="U161" s="7"/>
      <c r="V161" s="7"/>
      <c r="W161" s="7"/>
    </row>
    <row r="162" spans="1:23" ht="16.8">
      <c r="A162" s="6">
        <v>46138</v>
      </c>
      <c r="B162" s="7" t="s">
        <v>578</v>
      </c>
      <c r="C162" s="62">
        <v>0.96875</v>
      </c>
      <c r="D162" s="31" t="s">
        <v>628</v>
      </c>
      <c r="E162" s="7" t="s">
        <v>253</v>
      </c>
      <c r="F162" s="7" t="s">
        <v>247</v>
      </c>
      <c r="G162" s="7"/>
      <c r="H162" s="52" t="s">
        <v>210</v>
      </c>
      <c r="I162" s="47"/>
      <c r="J162" s="7" t="s">
        <v>35</v>
      </c>
      <c r="K162" s="52" t="s">
        <v>210</v>
      </c>
      <c r="L162" s="7">
        <v>821</v>
      </c>
      <c r="M162" s="7">
        <v>35</v>
      </c>
      <c r="N162" s="7">
        <v>18</v>
      </c>
      <c r="O162" s="7">
        <v>0</v>
      </c>
      <c r="P162" s="7">
        <v>0</v>
      </c>
      <c r="Q162" s="69">
        <f t="shared" si="15"/>
        <v>4.2630937880633372E-2</v>
      </c>
      <c r="R162" s="69">
        <f t="shared" si="15"/>
        <v>0.51428571428571423</v>
      </c>
      <c r="S162" s="7"/>
      <c r="T162" s="7"/>
      <c r="U162" s="7"/>
      <c r="V162" s="7"/>
      <c r="W162" s="7"/>
    </row>
    <row r="163" spans="1:23" ht="6.6" customHeight="1">
      <c r="A163" s="22"/>
      <c r="B163" s="23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5"/>
      <c r="R163" s="25"/>
      <c r="S163" s="24"/>
      <c r="T163" s="24"/>
      <c r="U163" s="24"/>
      <c r="V163" s="25"/>
      <c r="W163" s="26"/>
    </row>
    <row r="164" spans="1:23">
      <c r="A164" s="6">
        <v>46139</v>
      </c>
      <c r="B164" s="7" t="s">
        <v>301</v>
      </c>
      <c r="C164" s="18" t="s">
        <v>591</v>
      </c>
      <c r="D164" s="18" t="s">
        <v>108</v>
      </c>
      <c r="E164" s="18" t="s">
        <v>35</v>
      </c>
      <c r="F164" s="18" t="s">
        <v>115</v>
      </c>
      <c r="G164" s="18"/>
      <c r="H164" s="18" t="s">
        <v>106</v>
      </c>
      <c r="I164" s="14"/>
      <c r="J164" s="18" t="s">
        <v>35</v>
      </c>
      <c r="K164" s="18" t="s">
        <v>106</v>
      </c>
      <c r="L164" s="7">
        <v>777</v>
      </c>
      <c r="M164" s="7">
        <v>14</v>
      </c>
      <c r="N164" s="7">
        <v>1</v>
      </c>
      <c r="O164" s="7">
        <v>4</v>
      </c>
      <c r="P164" s="7">
        <v>0</v>
      </c>
      <c r="Q164" s="69">
        <f t="shared" ref="Q164:R177" si="16">M164/L164</f>
        <v>1.8018018018018018E-2</v>
      </c>
      <c r="R164" s="69">
        <f t="shared" si="16"/>
        <v>7.1428571428571425E-2</v>
      </c>
      <c r="S164" s="7"/>
      <c r="T164" s="7"/>
      <c r="U164" s="7"/>
      <c r="V164" s="7"/>
      <c r="W164" s="7"/>
    </row>
    <row r="165" spans="1:23">
      <c r="A165" s="6">
        <v>46139</v>
      </c>
      <c r="B165" s="7" t="s">
        <v>301</v>
      </c>
      <c r="C165" s="18" t="s">
        <v>592</v>
      </c>
      <c r="D165" s="18" t="s">
        <v>587</v>
      </c>
      <c r="E165" s="18" t="s">
        <v>35</v>
      </c>
      <c r="F165" s="18" t="s">
        <v>588</v>
      </c>
      <c r="G165" s="18"/>
      <c r="H165" s="18" t="s">
        <v>106</v>
      </c>
      <c r="I165" s="29"/>
      <c r="J165" s="18" t="s">
        <v>35</v>
      </c>
      <c r="K165" s="18" t="s">
        <v>106</v>
      </c>
      <c r="L165" s="7"/>
      <c r="M165" s="7"/>
      <c r="N165" s="7"/>
      <c r="O165" s="7"/>
      <c r="P165" s="7"/>
      <c r="Q165" s="69" t="e">
        <f t="shared" si="16"/>
        <v>#DIV/0!</v>
      </c>
      <c r="R165" s="69" t="e">
        <f t="shared" si="16"/>
        <v>#DIV/0!</v>
      </c>
      <c r="S165" s="7"/>
      <c r="T165" s="7"/>
      <c r="U165" s="7"/>
      <c r="V165" s="7"/>
      <c r="W165" s="7"/>
    </row>
    <row r="166" spans="1:23">
      <c r="A166" s="6">
        <v>46139</v>
      </c>
      <c r="B166" s="7" t="s">
        <v>301</v>
      </c>
      <c r="C166" s="18"/>
      <c r="D166" s="18" t="s">
        <v>155</v>
      </c>
      <c r="E166" s="18" t="s">
        <v>35</v>
      </c>
      <c r="F166" s="18" t="s">
        <v>156</v>
      </c>
      <c r="G166" s="18"/>
      <c r="H166" s="18" t="s">
        <v>157</v>
      </c>
      <c r="I166" s="30"/>
      <c r="J166" s="18" t="s">
        <v>35</v>
      </c>
      <c r="K166" s="18" t="s">
        <v>157</v>
      </c>
      <c r="L166" s="7">
        <v>4015</v>
      </c>
      <c r="M166" s="7">
        <v>3921</v>
      </c>
      <c r="N166" s="7">
        <v>2566</v>
      </c>
      <c r="O166" s="7">
        <v>0</v>
      </c>
      <c r="P166" s="7">
        <v>0</v>
      </c>
      <c r="Q166" s="69">
        <f t="shared" si="16"/>
        <v>0.97658779576587795</v>
      </c>
      <c r="R166" s="69">
        <f t="shared" si="16"/>
        <v>0.6544248916092833</v>
      </c>
      <c r="S166" s="7"/>
      <c r="T166" s="7"/>
      <c r="U166" s="7"/>
      <c r="V166" s="7"/>
      <c r="W166" s="7"/>
    </row>
    <row r="167" spans="1:23">
      <c r="A167" s="6">
        <v>46139</v>
      </c>
      <c r="B167" s="7" t="s">
        <v>301</v>
      </c>
      <c r="C167" s="18"/>
      <c r="D167" s="18" t="s">
        <v>158</v>
      </c>
      <c r="E167" s="18" t="s">
        <v>35</v>
      </c>
      <c r="F167" s="18" t="s">
        <v>159</v>
      </c>
      <c r="G167" s="18"/>
      <c r="H167" s="18" t="s">
        <v>149</v>
      </c>
      <c r="I167" s="30"/>
      <c r="J167" s="18" t="s">
        <v>35</v>
      </c>
      <c r="K167" s="18" t="s">
        <v>149</v>
      </c>
      <c r="L167" s="7">
        <v>3992</v>
      </c>
      <c r="M167" s="7">
        <v>3651</v>
      </c>
      <c r="N167" s="7">
        <v>2679</v>
      </c>
      <c r="O167" s="7">
        <v>0</v>
      </c>
      <c r="P167" s="7">
        <v>0</v>
      </c>
      <c r="Q167" s="69">
        <f t="shared" si="16"/>
        <v>0.91457915831663328</v>
      </c>
      <c r="R167" s="69">
        <f t="shared" si="16"/>
        <v>0.73377156943303201</v>
      </c>
      <c r="S167" s="7"/>
      <c r="T167" s="7"/>
      <c r="U167" s="7"/>
      <c r="V167" s="7"/>
      <c r="W167" s="7"/>
    </row>
    <row r="168" spans="1:23">
      <c r="A168" s="6">
        <v>46139</v>
      </c>
      <c r="B168" s="7" t="s">
        <v>301</v>
      </c>
      <c r="C168" s="18" t="s">
        <v>591</v>
      </c>
      <c r="D168" s="18" t="s">
        <v>189</v>
      </c>
      <c r="E168" s="18" t="s">
        <v>35</v>
      </c>
      <c r="F168" s="18"/>
      <c r="G168" s="18"/>
      <c r="H168" s="18" t="s">
        <v>186</v>
      </c>
      <c r="I168" s="30"/>
      <c r="J168" s="18" t="s">
        <v>35</v>
      </c>
      <c r="K168" s="18" t="s">
        <v>186</v>
      </c>
      <c r="L168" s="7">
        <v>1936</v>
      </c>
      <c r="M168" s="7">
        <v>10</v>
      </c>
      <c r="N168" s="7">
        <v>0</v>
      </c>
      <c r="O168" s="7">
        <v>0</v>
      </c>
      <c r="P168" s="7">
        <v>0</v>
      </c>
      <c r="Q168" s="69">
        <f t="shared" si="16"/>
        <v>5.1652892561983473E-3</v>
      </c>
      <c r="R168" s="69">
        <f t="shared" si="16"/>
        <v>0</v>
      </c>
      <c r="S168" s="7"/>
      <c r="T168" s="7"/>
      <c r="U168" s="7"/>
      <c r="V168" s="7"/>
      <c r="W168" s="7"/>
    </row>
    <row r="169" spans="1:23">
      <c r="A169" s="6">
        <v>46139</v>
      </c>
      <c r="B169" s="7" t="s">
        <v>301</v>
      </c>
      <c r="C169" s="18" t="s">
        <v>592</v>
      </c>
      <c r="D169" s="18" t="s">
        <v>587</v>
      </c>
      <c r="E169" s="18" t="s">
        <v>35</v>
      </c>
      <c r="F169" s="18" t="s">
        <v>588</v>
      </c>
      <c r="G169" s="18"/>
      <c r="H169" s="18"/>
      <c r="I169" s="29"/>
      <c r="J169" s="18" t="s">
        <v>35</v>
      </c>
      <c r="K169" s="18" t="s">
        <v>186</v>
      </c>
      <c r="L169" s="7"/>
      <c r="M169" s="7"/>
      <c r="N169" s="7"/>
      <c r="O169" s="7"/>
      <c r="P169" s="7"/>
      <c r="Q169" s="69" t="e">
        <f t="shared" si="16"/>
        <v>#DIV/0!</v>
      </c>
      <c r="R169" s="69" t="e">
        <f t="shared" si="16"/>
        <v>#DIV/0!</v>
      </c>
      <c r="S169" s="7"/>
      <c r="T169" s="7"/>
      <c r="U169" s="7"/>
      <c r="V169" s="7"/>
      <c r="W169" s="7"/>
    </row>
    <row r="170" spans="1:23">
      <c r="A170" s="6">
        <v>46139</v>
      </c>
      <c r="B170" s="7" t="s">
        <v>301</v>
      </c>
      <c r="C170" s="7"/>
      <c r="D170" s="7" t="s">
        <v>697</v>
      </c>
      <c r="E170" s="7" t="s">
        <v>253</v>
      </c>
      <c r="F170" s="7"/>
      <c r="G170" s="7"/>
      <c r="H170" s="7" t="s">
        <v>170</v>
      </c>
      <c r="I170" s="14"/>
      <c r="J170" s="7" t="s">
        <v>35</v>
      </c>
      <c r="K170" s="7" t="s">
        <v>170</v>
      </c>
      <c r="L170" s="7">
        <v>3002</v>
      </c>
      <c r="M170" s="7">
        <v>2850</v>
      </c>
      <c r="N170" s="7">
        <v>1916</v>
      </c>
      <c r="O170" s="7">
        <v>0</v>
      </c>
      <c r="P170" s="7">
        <v>1</v>
      </c>
      <c r="Q170" s="69">
        <f t="shared" si="16"/>
        <v>0.94936708860759489</v>
      </c>
      <c r="R170" s="69">
        <f t="shared" si="16"/>
        <v>0.67228070175438592</v>
      </c>
      <c r="S170" s="7"/>
      <c r="T170" s="7"/>
      <c r="U170" s="7"/>
      <c r="V170" s="7"/>
      <c r="W170" s="7"/>
    </row>
    <row r="171" spans="1:23">
      <c r="A171" s="6">
        <v>46139</v>
      </c>
      <c r="B171" s="7" t="s">
        <v>301</v>
      </c>
      <c r="C171" s="7"/>
      <c r="D171" s="100" t="s">
        <v>698</v>
      </c>
      <c r="E171" s="7" t="s">
        <v>253</v>
      </c>
      <c r="F171" s="7"/>
      <c r="G171" s="7"/>
      <c r="H171" s="7" t="s">
        <v>170</v>
      </c>
      <c r="I171" s="84"/>
      <c r="J171" s="7" t="s">
        <v>35</v>
      </c>
      <c r="K171" s="7" t="s">
        <v>170</v>
      </c>
      <c r="L171" s="7">
        <v>3002</v>
      </c>
      <c r="M171" s="7">
        <v>2858</v>
      </c>
      <c r="N171" s="7">
        <v>1850</v>
      </c>
      <c r="O171" s="7">
        <v>0</v>
      </c>
      <c r="P171" s="7">
        <v>1</v>
      </c>
      <c r="Q171" s="69">
        <f t="shared" si="16"/>
        <v>0.95203197868087941</v>
      </c>
      <c r="R171" s="69">
        <f t="shared" si="16"/>
        <v>0.64730580825752271</v>
      </c>
      <c r="S171" s="7"/>
      <c r="T171" s="7"/>
      <c r="U171" s="7"/>
      <c r="V171" s="7"/>
      <c r="W171" s="7"/>
    </row>
    <row r="172" spans="1:23">
      <c r="A172" s="6">
        <v>46139</v>
      </c>
      <c r="B172" s="7" t="s">
        <v>301</v>
      </c>
      <c r="C172" s="7"/>
      <c r="D172" s="100" t="s">
        <v>668</v>
      </c>
      <c r="E172" s="7" t="s">
        <v>253</v>
      </c>
      <c r="F172" s="7"/>
      <c r="G172" s="7"/>
      <c r="H172" s="7" t="s">
        <v>170</v>
      </c>
      <c r="I172" s="84"/>
      <c r="J172" s="7" t="s">
        <v>35</v>
      </c>
      <c r="K172" s="7" t="s">
        <v>170</v>
      </c>
      <c r="L172" s="7">
        <v>349</v>
      </c>
      <c r="M172" s="7">
        <v>322</v>
      </c>
      <c r="N172" s="7">
        <v>200</v>
      </c>
      <c r="O172" s="7">
        <v>0</v>
      </c>
      <c r="P172" s="7">
        <v>0</v>
      </c>
      <c r="Q172" s="69">
        <f t="shared" si="16"/>
        <v>0.92263610315186251</v>
      </c>
      <c r="R172" s="69">
        <f t="shared" si="16"/>
        <v>0.6211180124223602</v>
      </c>
      <c r="S172" s="7"/>
      <c r="T172" s="7"/>
      <c r="U172" s="7"/>
      <c r="V172" s="7"/>
      <c r="W172" s="7"/>
    </row>
    <row r="173" spans="1:23">
      <c r="A173" s="6">
        <v>46139</v>
      </c>
      <c r="B173" s="7" t="s">
        <v>301</v>
      </c>
      <c r="C173" s="62">
        <v>0.85416666666666663</v>
      </c>
      <c r="D173" s="31" t="s">
        <v>699</v>
      </c>
      <c r="E173" s="7" t="s">
        <v>253</v>
      </c>
      <c r="F173" s="7" t="s">
        <v>700</v>
      </c>
      <c r="G173" s="7"/>
      <c r="H173" s="7" t="s">
        <v>149</v>
      </c>
      <c r="I173" s="14" t="s">
        <v>228</v>
      </c>
      <c r="J173" s="7" t="s">
        <v>35</v>
      </c>
      <c r="K173" s="7" t="s">
        <v>149</v>
      </c>
      <c r="L173" s="7">
        <v>1309</v>
      </c>
      <c r="M173" s="7">
        <v>982</v>
      </c>
      <c r="N173" s="7">
        <v>720</v>
      </c>
      <c r="O173" s="7">
        <v>0</v>
      </c>
      <c r="P173" s="7">
        <v>0</v>
      </c>
      <c r="Q173" s="69">
        <f t="shared" si="16"/>
        <v>0.7501909854851031</v>
      </c>
      <c r="R173" s="69">
        <f t="shared" si="16"/>
        <v>0.73319755600814662</v>
      </c>
      <c r="S173" s="7"/>
      <c r="T173" s="7"/>
      <c r="U173" s="7"/>
      <c r="V173" s="7"/>
      <c r="W173" s="7"/>
    </row>
    <row r="174" spans="1:23" ht="16.8">
      <c r="A174" s="6">
        <v>46139</v>
      </c>
      <c r="B174" s="7" t="s">
        <v>301</v>
      </c>
      <c r="C174" s="62">
        <v>0.875</v>
      </c>
      <c r="D174" s="31" t="s">
        <v>701</v>
      </c>
      <c r="E174" s="7" t="s">
        <v>253</v>
      </c>
      <c r="F174" s="7" t="s">
        <v>702</v>
      </c>
      <c r="G174" s="7"/>
      <c r="H174" s="52" t="s">
        <v>157</v>
      </c>
      <c r="I174" s="14" t="s">
        <v>228</v>
      </c>
      <c r="J174" s="7" t="s">
        <v>35</v>
      </c>
      <c r="K174" s="52" t="s">
        <v>157</v>
      </c>
      <c r="L174" s="7"/>
      <c r="M174" s="7"/>
      <c r="N174" s="7"/>
      <c r="O174" s="7"/>
      <c r="P174" s="7"/>
      <c r="Q174" s="69" t="e">
        <f t="shared" si="16"/>
        <v>#DIV/0!</v>
      </c>
      <c r="R174" s="69" t="e">
        <f t="shared" si="16"/>
        <v>#DIV/0!</v>
      </c>
      <c r="S174" s="7"/>
      <c r="T174" s="7"/>
      <c r="U174" s="7"/>
      <c r="V174" s="7"/>
      <c r="W174" s="7"/>
    </row>
    <row r="175" spans="1:23" ht="16.8">
      <c r="A175" s="6">
        <v>46139</v>
      </c>
      <c r="B175" s="7" t="s">
        <v>301</v>
      </c>
      <c r="C175" s="62">
        <v>0.97916666666666663</v>
      </c>
      <c r="D175" s="31" t="s">
        <v>703</v>
      </c>
      <c r="E175" s="7" t="s">
        <v>253</v>
      </c>
      <c r="F175" s="31" t="s">
        <v>704</v>
      </c>
      <c r="G175" s="7"/>
      <c r="H175" s="52" t="s">
        <v>420</v>
      </c>
      <c r="I175" s="14" t="s">
        <v>228</v>
      </c>
      <c r="J175" s="7" t="s">
        <v>35</v>
      </c>
      <c r="K175" s="52" t="s">
        <v>420</v>
      </c>
      <c r="L175" s="7">
        <v>366</v>
      </c>
      <c r="M175" s="7">
        <v>38</v>
      </c>
      <c r="N175" s="7">
        <v>8</v>
      </c>
      <c r="O175" s="7">
        <v>0</v>
      </c>
      <c r="P175" s="7">
        <v>0</v>
      </c>
      <c r="Q175" s="69">
        <f t="shared" si="16"/>
        <v>0.10382513661202186</v>
      </c>
      <c r="R175" s="69">
        <f t="shared" si="16"/>
        <v>0.21052631578947367</v>
      </c>
      <c r="S175" s="7"/>
      <c r="T175" s="7"/>
      <c r="U175" s="7"/>
      <c r="V175" s="7"/>
      <c r="W175" s="7"/>
    </row>
    <row r="176" spans="1:23">
      <c r="A176" s="6">
        <v>46139</v>
      </c>
      <c r="B176" s="7" t="s">
        <v>301</v>
      </c>
      <c r="C176" s="62">
        <v>0.91666666666666663</v>
      </c>
      <c r="D176" s="31" t="s">
        <v>705</v>
      </c>
      <c r="E176" s="7" t="s">
        <v>253</v>
      </c>
      <c r="F176" s="7" t="s">
        <v>700</v>
      </c>
      <c r="G176" s="7"/>
      <c r="H176" s="7" t="s">
        <v>121</v>
      </c>
      <c r="I176" s="47"/>
      <c r="J176" s="7" t="s">
        <v>35</v>
      </c>
      <c r="K176" s="7" t="s">
        <v>121</v>
      </c>
      <c r="L176" s="7">
        <v>359</v>
      </c>
      <c r="M176" s="7">
        <v>24</v>
      </c>
      <c r="N176" s="7">
        <v>15</v>
      </c>
      <c r="O176" s="7">
        <v>0</v>
      </c>
      <c r="P176" s="7">
        <v>0</v>
      </c>
      <c r="Q176" s="69">
        <f t="shared" si="16"/>
        <v>6.6852367688022288E-2</v>
      </c>
      <c r="R176" s="69">
        <f t="shared" si="16"/>
        <v>0.625</v>
      </c>
      <c r="S176" s="7"/>
      <c r="T176" s="7"/>
      <c r="U176" s="7"/>
      <c r="V176" s="7"/>
      <c r="W176" s="7"/>
    </row>
    <row r="177" spans="1:23" ht="16.8">
      <c r="A177" s="6">
        <v>46139</v>
      </c>
      <c r="B177" s="7" t="s">
        <v>301</v>
      </c>
      <c r="C177" s="62">
        <v>0.96875</v>
      </c>
      <c r="D177" s="31" t="s">
        <v>706</v>
      </c>
      <c r="E177" s="7" t="s">
        <v>253</v>
      </c>
      <c r="F177" s="7" t="s">
        <v>702</v>
      </c>
      <c r="G177" s="7"/>
      <c r="H177" s="52" t="s">
        <v>210</v>
      </c>
      <c r="I177" s="47"/>
      <c r="J177" s="7" t="s">
        <v>35</v>
      </c>
      <c r="K177" s="52" t="s">
        <v>210</v>
      </c>
      <c r="L177" s="7">
        <v>895</v>
      </c>
      <c r="M177" s="7">
        <v>35</v>
      </c>
      <c r="N177" s="7">
        <v>12</v>
      </c>
      <c r="O177" s="7">
        <v>1</v>
      </c>
      <c r="P177" s="7">
        <v>0</v>
      </c>
      <c r="Q177" s="69">
        <f t="shared" si="16"/>
        <v>3.9106145251396648E-2</v>
      </c>
      <c r="R177" s="69">
        <f t="shared" si="16"/>
        <v>0.34285714285714286</v>
      </c>
      <c r="S177" s="7"/>
      <c r="T177" s="7"/>
      <c r="U177" s="7"/>
      <c r="V177" s="7"/>
      <c r="W177" s="7"/>
    </row>
    <row r="178" spans="1:23" ht="6.6" customHeight="1">
      <c r="A178" s="22"/>
      <c r="B178" s="23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5"/>
      <c r="R178" s="25"/>
      <c r="S178" s="24"/>
      <c r="T178" s="24"/>
      <c r="U178" s="24"/>
      <c r="V178" s="25"/>
      <c r="W178" s="26"/>
    </row>
    <row r="179" spans="1:23">
      <c r="A179" s="6">
        <v>46140</v>
      </c>
      <c r="B179" s="7" t="s">
        <v>316</v>
      </c>
      <c r="C179" s="18" t="s">
        <v>591</v>
      </c>
      <c r="D179" s="18" t="s">
        <v>108</v>
      </c>
      <c r="E179" s="18" t="s">
        <v>35</v>
      </c>
      <c r="F179" s="18" t="s">
        <v>115</v>
      </c>
      <c r="G179" s="18"/>
      <c r="H179" s="18" t="s">
        <v>106</v>
      </c>
      <c r="I179" s="14"/>
      <c r="J179" s="18" t="s">
        <v>35</v>
      </c>
      <c r="K179" s="18" t="s">
        <v>106</v>
      </c>
      <c r="L179" s="7">
        <v>711</v>
      </c>
      <c r="M179" s="7">
        <v>8</v>
      </c>
      <c r="N179" s="7">
        <v>3</v>
      </c>
      <c r="O179" s="7">
        <v>0</v>
      </c>
      <c r="P179" s="7">
        <v>0</v>
      </c>
      <c r="Q179" s="69">
        <f t="shared" ref="Q179:R192" si="17">M179/L179</f>
        <v>1.1251758087201125E-2</v>
      </c>
      <c r="R179" s="69">
        <f t="shared" si="17"/>
        <v>0.375</v>
      </c>
      <c r="S179" s="7"/>
      <c r="T179" s="7"/>
      <c r="U179" s="7"/>
      <c r="V179" s="7"/>
      <c r="W179" s="7"/>
    </row>
    <row r="180" spans="1:23">
      <c r="A180" s="6">
        <v>46140</v>
      </c>
      <c r="B180" s="7" t="s">
        <v>316</v>
      </c>
      <c r="C180" s="18" t="s">
        <v>592</v>
      </c>
      <c r="D180" s="18" t="s">
        <v>587</v>
      </c>
      <c r="E180" s="18" t="s">
        <v>35</v>
      </c>
      <c r="F180" s="18" t="s">
        <v>588</v>
      </c>
      <c r="G180" s="18"/>
      <c r="H180" s="18" t="s">
        <v>106</v>
      </c>
      <c r="I180" s="29"/>
      <c r="J180" s="18" t="s">
        <v>35</v>
      </c>
      <c r="K180" s="18" t="s">
        <v>106</v>
      </c>
      <c r="L180" s="7"/>
      <c r="M180" s="7"/>
      <c r="N180" s="7"/>
      <c r="O180" s="7"/>
      <c r="P180" s="7"/>
      <c r="Q180" s="69" t="e">
        <f t="shared" si="17"/>
        <v>#DIV/0!</v>
      </c>
      <c r="R180" s="69" t="e">
        <f t="shared" si="17"/>
        <v>#DIV/0!</v>
      </c>
      <c r="S180" s="7"/>
      <c r="T180" s="7"/>
      <c r="U180" s="7"/>
      <c r="V180" s="7"/>
      <c r="W180" s="7"/>
    </row>
    <row r="181" spans="1:23">
      <c r="A181" s="6">
        <v>46140</v>
      </c>
      <c r="B181" s="7" t="s">
        <v>316</v>
      </c>
      <c r="C181" s="18"/>
      <c r="D181" s="18" t="s">
        <v>155</v>
      </c>
      <c r="E181" s="18" t="s">
        <v>35</v>
      </c>
      <c r="F181" s="18" t="s">
        <v>156</v>
      </c>
      <c r="G181" s="18"/>
      <c r="H181" s="18" t="s">
        <v>157</v>
      </c>
      <c r="I181" s="30"/>
      <c r="J181" s="18" t="s">
        <v>35</v>
      </c>
      <c r="K181" s="18" t="s">
        <v>157</v>
      </c>
      <c r="L181" s="7">
        <v>236</v>
      </c>
      <c r="M181" s="7">
        <v>150</v>
      </c>
      <c r="N181" s="7">
        <v>98</v>
      </c>
      <c r="O181" s="7">
        <v>1</v>
      </c>
      <c r="P181" s="7">
        <v>0</v>
      </c>
      <c r="Q181" s="69">
        <f t="shared" si="17"/>
        <v>0.63559322033898302</v>
      </c>
      <c r="R181" s="69">
        <f t="shared" si="17"/>
        <v>0.65333333333333332</v>
      </c>
      <c r="S181" s="7"/>
      <c r="T181" s="7"/>
      <c r="U181" s="7"/>
      <c r="V181" s="7"/>
      <c r="W181" s="7"/>
    </row>
    <row r="182" spans="1:23">
      <c r="A182" s="6">
        <v>46140</v>
      </c>
      <c r="B182" s="7" t="s">
        <v>316</v>
      </c>
      <c r="C182" s="18"/>
      <c r="D182" s="18" t="s">
        <v>158</v>
      </c>
      <c r="E182" s="18" t="s">
        <v>35</v>
      </c>
      <c r="F182" s="18" t="s">
        <v>159</v>
      </c>
      <c r="G182" s="18"/>
      <c r="H182" s="18" t="s">
        <v>149</v>
      </c>
      <c r="I182" s="30"/>
      <c r="J182" s="18" t="s">
        <v>35</v>
      </c>
      <c r="K182" s="18" t="s">
        <v>149</v>
      </c>
      <c r="L182" s="7">
        <v>214</v>
      </c>
      <c r="M182" s="7">
        <v>139</v>
      </c>
      <c r="N182" s="7">
        <v>102</v>
      </c>
      <c r="O182" s="7">
        <v>0</v>
      </c>
      <c r="P182" s="7">
        <v>0</v>
      </c>
      <c r="Q182" s="69">
        <f t="shared" si="17"/>
        <v>0.64953271028037385</v>
      </c>
      <c r="R182" s="69">
        <f t="shared" si="17"/>
        <v>0.73381294964028776</v>
      </c>
      <c r="S182" s="7"/>
      <c r="T182" s="7"/>
      <c r="U182" s="7"/>
      <c r="V182" s="7"/>
      <c r="W182" s="7"/>
    </row>
    <row r="183" spans="1:23">
      <c r="A183" s="6">
        <v>46140</v>
      </c>
      <c r="B183" s="7" t="s">
        <v>316</v>
      </c>
      <c r="C183" s="18" t="s">
        <v>591</v>
      </c>
      <c r="D183" s="18" t="s">
        <v>189</v>
      </c>
      <c r="E183" s="18" t="s">
        <v>35</v>
      </c>
      <c r="F183" s="18"/>
      <c r="G183" s="18"/>
      <c r="H183" s="18" t="s">
        <v>186</v>
      </c>
      <c r="I183" s="30"/>
      <c r="J183" s="18" t="s">
        <v>35</v>
      </c>
      <c r="K183" s="18" t="s">
        <v>186</v>
      </c>
      <c r="L183" s="7">
        <v>2007</v>
      </c>
      <c r="M183" s="7">
        <v>9</v>
      </c>
      <c r="N183" s="7">
        <v>1</v>
      </c>
      <c r="O183" s="7">
        <v>0</v>
      </c>
      <c r="P183" s="7">
        <v>0</v>
      </c>
      <c r="Q183" s="69">
        <f t="shared" si="17"/>
        <v>4.4843049327354259E-3</v>
      </c>
      <c r="R183" s="69">
        <f t="shared" si="17"/>
        <v>0.1111111111111111</v>
      </c>
      <c r="S183" s="7"/>
      <c r="T183" s="7"/>
      <c r="U183" s="7"/>
      <c r="V183" s="7"/>
      <c r="W183" s="7"/>
    </row>
    <row r="184" spans="1:23">
      <c r="A184" s="6">
        <v>46140</v>
      </c>
      <c r="B184" s="7" t="s">
        <v>316</v>
      </c>
      <c r="C184" s="18" t="s">
        <v>592</v>
      </c>
      <c r="D184" s="18" t="s">
        <v>587</v>
      </c>
      <c r="E184" s="18" t="s">
        <v>35</v>
      </c>
      <c r="F184" s="18" t="s">
        <v>588</v>
      </c>
      <c r="G184" s="18"/>
      <c r="H184" s="18"/>
      <c r="I184" s="29"/>
      <c r="J184" s="18" t="s">
        <v>35</v>
      </c>
      <c r="K184" s="18" t="s">
        <v>186</v>
      </c>
      <c r="L184" s="7"/>
      <c r="M184" s="7"/>
      <c r="N184" s="7"/>
      <c r="O184" s="7"/>
      <c r="P184" s="7"/>
      <c r="Q184" s="69" t="e">
        <f t="shared" si="17"/>
        <v>#DIV/0!</v>
      </c>
      <c r="R184" s="69" t="e">
        <f t="shared" si="17"/>
        <v>#DIV/0!</v>
      </c>
      <c r="S184" s="7"/>
      <c r="T184" s="7"/>
      <c r="U184" s="7"/>
      <c r="V184" s="7"/>
      <c r="W184" s="7"/>
    </row>
    <row r="185" spans="1:23">
      <c r="A185" s="6">
        <v>46140</v>
      </c>
      <c r="B185" s="7" t="s">
        <v>316</v>
      </c>
      <c r="C185" s="7"/>
      <c r="D185" s="7" t="s">
        <v>787</v>
      </c>
      <c r="E185" s="7" t="s">
        <v>253</v>
      </c>
      <c r="F185" s="7"/>
      <c r="G185" s="7"/>
      <c r="H185" s="7" t="s">
        <v>170</v>
      </c>
      <c r="I185" s="14"/>
      <c r="J185" s="7" t="s">
        <v>35</v>
      </c>
      <c r="K185" s="7" t="s">
        <v>170</v>
      </c>
      <c r="L185" s="7">
        <v>3002</v>
      </c>
      <c r="M185" s="7">
        <v>2738</v>
      </c>
      <c r="N185" s="7">
        <v>1745</v>
      </c>
      <c r="O185" s="7">
        <v>0</v>
      </c>
      <c r="P185" s="7">
        <v>1</v>
      </c>
      <c r="Q185" s="69">
        <f t="shared" si="17"/>
        <v>0.91205862758161227</v>
      </c>
      <c r="R185" s="69">
        <f t="shared" si="17"/>
        <v>0.63732651570489407</v>
      </c>
      <c r="S185" s="7"/>
      <c r="T185" s="7"/>
      <c r="U185" s="7"/>
      <c r="V185" s="7"/>
      <c r="W185" s="7"/>
    </row>
    <row r="186" spans="1:23">
      <c r="A186" s="6">
        <v>46140</v>
      </c>
      <c r="B186" s="7" t="s">
        <v>316</v>
      </c>
      <c r="C186" s="7"/>
      <c r="D186" s="100" t="s">
        <v>787</v>
      </c>
      <c r="E186" s="7" t="s">
        <v>253</v>
      </c>
      <c r="F186" s="7"/>
      <c r="G186" s="7"/>
      <c r="H186" s="7" t="s">
        <v>170</v>
      </c>
      <c r="I186" s="84"/>
      <c r="J186" s="7" t="s">
        <v>35</v>
      </c>
      <c r="K186" s="7" t="s">
        <v>170</v>
      </c>
      <c r="L186" s="7">
        <v>3002</v>
      </c>
      <c r="M186" s="7">
        <v>2744</v>
      </c>
      <c r="N186" s="7">
        <v>1629</v>
      </c>
      <c r="O186" s="7">
        <v>0</v>
      </c>
      <c r="P186" s="7">
        <v>1</v>
      </c>
      <c r="Q186" s="69">
        <f t="shared" si="17"/>
        <v>0.91405729513657563</v>
      </c>
      <c r="R186" s="69">
        <f t="shared" si="17"/>
        <v>0.59365889212827994</v>
      </c>
      <c r="S186" s="7"/>
      <c r="T186" s="7"/>
      <c r="U186" s="7"/>
      <c r="V186" s="7"/>
      <c r="W186" s="7"/>
    </row>
    <row r="187" spans="1:23">
      <c r="A187" s="6">
        <v>46140</v>
      </c>
      <c r="B187" s="7" t="s">
        <v>316</v>
      </c>
      <c r="C187" s="7"/>
      <c r="D187" s="100" t="s">
        <v>788</v>
      </c>
      <c r="E187" s="7" t="s">
        <v>253</v>
      </c>
      <c r="F187" s="7"/>
      <c r="G187" s="7"/>
      <c r="H187" s="7" t="s">
        <v>170</v>
      </c>
      <c r="I187" s="84"/>
      <c r="J187" s="7" t="s">
        <v>35</v>
      </c>
      <c r="K187" s="7" t="s">
        <v>170</v>
      </c>
      <c r="L187" s="7">
        <v>192</v>
      </c>
      <c r="M187" s="7">
        <v>180</v>
      </c>
      <c r="N187" s="7">
        <v>110</v>
      </c>
      <c r="O187" s="7">
        <v>0</v>
      </c>
      <c r="P187" s="7">
        <v>0</v>
      </c>
      <c r="Q187" s="69">
        <f t="shared" si="17"/>
        <v>0.9375</v>
      </c>
      <c r="R187" s="69">
        <f t="shared" si="17"/>
        <v>0.61111111111111116</v>
      </c>
      <c r="S187" s="7"/>
      <c r="T187" s="7"/>
      <c r="U187" s="7"/>
      <c r="V187" s="7"/>
      <c r="W187" s="7"/>
    </row>
    <row r="188" spans="1:23">
      <c r="A188" s="6">
        <v>46140</v>
      </c>
      <c r="B188" s="7" t="s">
        <v>316</v>
      </c>
      <c r="C188" s="62">
        <v>0.85416666666666663</v>
      </c>
      <c r="D188" s="7" t="s">
        <v>789</v>
      </c>
      <c r="E188" s="7" t="s">
        <v>253</v>
      </c>
      <c r="F188" s="7" t="s">
        <v>790</v>
      </c>
      <c r="G188" s="7"/>
      <c r="H188" s="7" t="s">
        <v>149</v>
      </c>
      <c r="I188" s="14" t="s">
        <v>779</v>
      </c>
      <c r="J188" s="7" t="s">
        <v>35</v>
      </c>
      <c r="K188" s="7" t="s">
        <v>149</v>
      </c>
      <c r="L188" s="7">
        <v>958</v>
      </c>
      <c r="M188" s="7">
        <v>622</v>
      </c>
      <c r="N188" s="7">
        <v>357</v>
      </c>
      <c r="O188" s="7">
        <v>0</v>
      </c>
      <c r="P188" s="7">
        <v>0</v>
      </c>
      <c r="Q188" s="69">
        <f t="shared" si="17"/>
        <v>0.64926931106471819</v>
      </c>
      <c r="R188" s="69">
        <f t="shared" si="17"/>
        <v>0.57395498392282962</v>
      </c>
      <c r="S188" s="7"/>
      <c r="T188" s="7"/>
      <c r="U188" s="7"/>
      <c r="V188" s="7"/>
      <c r="W188" s="7"/>
    </row>
    <row r="189" spans="1:23" ht="16.8">
      <c r="A189" s="6">
        <v>46140</v>
      </c>
      <c r="B189" s="7" t="s">
        <v>316</v>
      </c>
      <c r="C189" s="62">
        <v>0.875</v>
      </c>
      <c r="D189" s="7" t="s">
        <v>791</v>
      </c>
      <c r="E189" s="7" t="s">
        <v>253</v>
      </c>
      <c r="F189" s="7" t="s">
        <v>792</v>
      </c>
      <c r="G189" s="7"/>
      <c r="H189" s="52" t="s">
        <v>157</v>
      </c>
      <c r="I189" s="14" t="s">
        <v>779</v>
      </c>
      <c r="J189" s="7" t="s">
        <v>35</v>
      </c>
      <c r="K189" s="52" t="s">
        <v>157</v>
      </c>
      <c r="L189" s="7">
        <v>1292</v>
      </c>
      <c r="M189" s="7">
        <v>642</v>
      </c>
      <c r="N189" s="7">
        <v>424</v>
      </c>
      <c r="O189" s="7">
        <v>2</v>
      </c>
      <c r="P189" s="7">
        <v>0</v>
      </c>
      <c r="Q189" s="69">
        <f t="shared" si="17"/>
        <v>0.49690402476780188</v>
      </c>
      <c r="R189" s="69">
        <f t="shared" si="17"/>
        <v>0.66043613707165105</v>
      </c>
      <c r="S189" s="7"/>
      <c r="T189" s="7"/>
      <c r="U189" s="7"/>
      <c r="V189" s="7"/>
      <c r="W189" s="7"/>
    </row>
    <row r="190" spans="1:23" ht="16.8">
      <c r="A190" s="6">
        <v>46140</v>
      </c>
      <c r="B190" s="7" t="s">
        <v>316</v>
      </c>
      <c r="C190" s="62">
        <v>0.97916666666666663</v>
      </c>
      <c r="D190" s="7" t="s">
        <v>793</v>
      </c>
      <c r="E190" s="7" t="s">
        <v>253</v>
      </c>
      <c r="F190" t="s">
        <v>794</v>
      </c>
      <c r="G190" s="7"/>
      <c r="H190" s="52" t="s">
        <v>420</v>
      </c>
      <c r="I190" s="14" t="s">
        <v>785</v>
      </c>
      <c r="J190" s="7" t="s">
        <v>35</v>
      </c>
      <c r="K190" s="52" t="s">
        <v>420</v>
      </c>
      <c r="L190" s="7">
        <v>376</v>
      </c>
      <c r="M190" s="7">
        <v>48</v>
      </c>
      <c r="N190" s="7">
        <v>13</v>
      </c>
      <c r="O190" s="7">
        <v>0</v>
      </c>
      <c r="P190" s="7">
        <v>0</v>
      </c>
      <c r="Q190" s="69">
        <f t="shared" si="17"/>
        <v>0.1276595744680851</v>
      </c>
      <c r="R190" s="69">
        <f t="shared" si="17"/>
        <v>0.27083333333333331</v>
      </c>
      <c r="S190" s="7"/>
      <c r="T190" s="7"/>
      <c r="U190" s="7"/>
      <c r="V190" s="7"/>
      <c r="W190" s="7"/>
    </row>
    <row r="191" spans="1:23">
      <c r="A191" s="6">
        <v>46140</v>
      </c>
      <c r="B191" s="7" t="s">
        <v>316</v>
      </c>
      <c r="C191" s="62">
        <v>0.91666666666666663</v>
      </c>
      <c r="D191" s="7" t="s">
        <v>795</v>
      </c>
      <c r="E191" s="7" t="s">
        <v>253</v>
      </c>
      <c r="F191" s="7" t="s">
        <v>790</v>
      </c>
      <c r="G191" s="7"/>
      <c r="H191" s="7" t="s">
        <v>121</v>
      </c>
      <c r="I191" s="47" t="s">
        <v>785</v>
      </c>
      <c r="J191" s="7" t="s">
        <v>35</v>
      </c>
      <c r="K191" s="7" t="s">
        <v>121</v>
      </c>
      <c r="L191" s="7">
        <v>404</v>
      </c>
      <c r="M191" s="7">
        <v>23</v>
      </c>
      <c r="N191" s="7">
        <v>13</v>
      </c>
      <c r="O191" s="7">
        <v>0</v>
      </c>
      <c r="P191" s="7">
        <v>0</v>
      </c>
      <c r="Q191" s="69">
        <f t="shared" si="17"/>
        <v>5.6930693069306933E-2</v>
      </c>
      <c r="R191" s="69">
        <f t="shared" si="17"/>
        <v>0.56521739130434778</v>
      </c>
      <c r="S191" s="7"/>
      <c r="T191" s="7"/>
      <c r="U191" s="7"/>
      <c r="V191" s="7"/>
      <c r="W191" s="7"/>
    </row>
    <row r="192" spans="1:23" ht="16.8">
      <c r="A192" s="6">
        <v>46140</v>
      </c>
      <c r="B192" s="7" t="s">
        <v>316</v>
      </c>
      <c r="C192" s="62">
        <v>0.96875</v>
      </c>
      <c r="D192" s="7" t="s">
        <v>796</v>
      </c>
      <c r="E192" s="7" t="s">
        <v>253</v>
      </c>
      <c r="F192" s="7" t="s">
        <v>342</v>
      </c>
      <c r="G192" s="7"/>
      <c r="H192" s="52" t="s">
        <v>210</v>
      </c>
      <c r="I192" s="47"/>
      <c r="J192" s="7" t="s">
        <v>35</v>
      </c>
      <c r="K192" s="52" t="s">
        <v>210</v>
      </c>
      <c r="L192" s="7">
        <v>970</v>
      </c>
      <c r="M192" s="7">
        <v>38</v>
      </c>
      <c r="N192" s="7">
        <v>16</v>
      </c>
      <c r="O192" s="7">
        <v>0</v>
      </c>
      <c r="P192" s="7">
        <v>0</v>
      </c>
      <c r="Q192" s="69">
        <f t="shared" si="17"/>
        <v>3.9175257731958762E-2</v>
      </c>
      <c r="R192" s="69">
        <f t="shared" si="17"/>
        <v>0.42105263157894735</v>
      </c>
      <c r="S192" s="7"/>
      <c r="T192" s="7"/>
      <c r="U192" s="7"/>
      <c r="V192" s="7"/>
      <c r="W192" s="7"/>
    </row>
    <row r="193" spans="1:23" ht="6.6" customHeight="1">
      <c r="A193" s="22"/>
      <c r="B193" s="23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5"/>
      <c r="R193" s="25"/>
      <c r="S193" s="24"/>
      <c r="T193" s="24"/>
      <c r="U193" s="24"/>
      <c r="V193" s="25"/>
      <c r="W193" s="26"/>
    </row>
    <row r="194" spans="1:23">
      <c r="A194" s="6">
        <v>46141</v>
      </c>
      <c r="B194" s="7" t="s">
        <v>392</v>
      </c>
      <c r="C194" s="18" t="s">
        <v>591</v>
      </c>
      <c r="D194" s="18" t="s">
        <v>108</v>
      </c>
      <c r="E194" s="18" t="s">
        <v>35</v>
      </c>
      <c r="F194" s="18" t="s">
        <v>115</v>
      </c>
      <c r="G194" s="18"/>
      <c r="H194" s="18" t="s">
        <v>106</v>
      </c>
      <c r="I194" s="14"/>
      <c r="J194" s="18" t="s">
        <v>35</v>
      </c>
      <c r="K194" s="18" t="s">
        <v>106</v>
      </c>
      <c r="L194" s="7">
        <v>697</v>
      </c>
      <c r="M194" s="7">
        <v>22</v>
      </c>
      <c r="N194" s="7">
        <v>2</v>
      </c>
      <c r="O194" s="7">
        <v>4</v>
      </c>
      <c r="P194" s="7">
        <v>0</v>
      </c>
      <c r="Q194" s="69">
        <f t="shared" ref="Q194:R208" si="18">M194/L194</f>
        <v>3.1563845050215207E-2</v>
      </c>
      <c r="R194" s="69">
        <f t="shared" si="18"/>
        <v>9.0909090909090912E-2</v>
      </c>
      <c r="S194" s="7"/>
      <c r="T194" s="7"/>
      <c r="U194" s="7"/>
      <c r="V194" s="7"/>
      <c r="W194" s="7"/>
    </row>
    <row r="195" spans="1:23">
      <c r="A195" s="6">
        <v>46141</v>
      </c>
      <c r="B195" s="7" t="s">
        <v>392</v>
      </c>
      <c r="C195" s="18" t="s">
        <v>592</v>
      </c>
      <c r="D195" s="18" t="s">
        <v>587</v>
      </c>
      <c r="E195" s="18" t="s">
        <v>35</v>
      </c>
      <c r="F195" s="18" t="s">
        <v>588</v>
      </c>
      <c r="G195" s="18"/>
      <c r="H195" s="18" t="s">
        <v>106</v>
      </c>
      <c r="I195" s="29"/>
      <c r="J195" s="18" t="s">
        <v>35</v>
      </c>
      <c r="K195" s="18" t="s">
        <v>106</v>
      </c>
      <c r="L195" s="7"/>
      <c r="M195" s="7"/>
      <c r="N195" s="7"/>
      <c r="O195" s="7"/>
      <c r="P195" s="7"/>
      <c r="Q195" s="69" t="e">
        <f t="shared" si="18"/>
        <v>#DIV/0!</v>
      </c>
      <c r="R195" s="69" t="e">
        <f t="shared" si="18"/>
        <v>#DIV/0!</v>
      </c>
      <c r="S195" s="7"/>
      <c r="T195" s="7"/>
      <c r="U195" s="7"/>
      <c r="V195" s="7"/>
      <c r="W195" s="7"/>
    </row>
    <row r="196" spans="1:23">
      <c r="A196" s="6">
        <v>46141</v>
      </c>
      <c r="B196" s="7" t="s">
        <v>392</v>
      </c>
      <c r="C196" s="18"/>
      <c r="D196" s="18" t="s">
        <v>155</v>
      </c>
      <c r="E196" s="18" t="s">
        <v>35</v>
      </c>
      <c r="F196" s="18" t="s">
        <v>156</v>
      </c>
      <c r="G196" s="18"/>
      <c r="H196" s="18" t="s">
        <v>157</v>
      </c>
      <c r="I196" s="30"/>
      <c r="J196" s="18" t="s">
        <v>35</v>
      </c>
      <c r="K196" s="18" t="s">
        <v>157</v>
      </c>
      <c r="L196" s="7">
        <v>95</v>
      </c>
      <c r="M196" s="7">
        <v>12</v>
      </c>
      <c r="N196" s="7">
        <v>3</v>
      </c>
      <c r="O196" s="7">
        <v>0</v>
      </c>
      <c r="P196" s="7">
        <v>0</v>
      </c>
      <c r="Q196" s="69">
        <f t="shared" si="18"/>
        <v>0.12631578947368421</v>
      </c>
      <c r="R196" s="69">
        <f t="shared" si="18"/>
        <v>0.25</v>
      </c>
      <c r="S196" s="7"/>
      <c r="T196" s="7"/>
      <c r="U196" s="7"/>
      <c r="V196" s="7"/>
      <c r="W196" s="7"/>
    </row>
    <row r="197" spans="1:23">
      <c r="A197" s="6">
        <v>46141</v>
      </c>
      <c r="B197" s="7" t="s">
        <v>392</v>
      </c>
      <c r="C197" s="18"/>
      <c r="D197" s="18" t="s">
        <v>158</v>
      </c>
      <c r="E197" s="18" t="s">
        <v>35</v>
      </c>
      <c r="F197" s="18" t="s">
        <v>159</v>
      </c>
      <c r="G197" s="18"/>
      <c r="H197" s="18" t="s">
        <v>149</v>
      </c>
      <c r="I197" s="30"/>
      <c r="J197" s="18" t="s">
        <v>35</v>
      </c>
      <c r="K197" s="18" t="s">
        <v>149</v>
      </c>
      <c r="L197" s="7">
        <v>71</v>
      </c>
      <c r="M197" s="7">
        <v>10</v>
      </c>
      <c r="N197" s="7">
        <v>4</v>
      </c>
      <c r="O197" s="7">
        <v>0</v>
      </c>
      <c r="P197" s="7">
        <v>0</v>
      </c>
      <c r="Q197" s="69">
        <f t="shared" si="18"/>
        <v>0.14084507042253522</v>
      </c>
      <c r="R197" s="69">
        <f t="shared" si="18"/>
        <v>0.4</v>
      </c>
      <c r="S197" s="7"/>
      <c r="T197" s="7"/>
      <c r="U197" s="7"/>
      <c r="V197" s="7"/>
      <c r="W197" s="7"/>
    </row>
    <row r="198" spans="1:23">
      <c r="A198" s="6">
        <v>46141</v>
      </c>
      <c r="B198" s="7" t="s">
        <v>392</v>
      </c>
      <c r="C198" s="18" t="s">
        <v>591</v>
      </c>
      <c r="D198" s="18" t="s">
        <v>189</v>
      </c>
      <c r="E198" s="18" t="s">
        <v>35</v>
      </c>
      <c r="F198" s="18"/>
      <c r="G198" s="18"/>
      <c r="H198" s="18" t="s">
        <v>186</v>
      </c>
      <c r="I198" s="30"/>
      <c r="J198" s="18" t="s">
        <v>35</v>
      </c>
      <c r="K198" s="18" t="s">
        <v>186</v>
      </c>
      <c r="L198" s="7">
        <v>1834</v>
      </c>
      <c r="M198" s="7">
        <v>7</v>
      </c>
      <c r="N198" s="7">
        <v>0</v>
      </c>
      <c r="O198" s="7">
        <v>0</v>
      </c>
      <c r="P198" s="7">
        <v>2</v>
      </c>
      <c r="Q198" s="69">
        <f t="shared" si="18"/>
        <v>3.8167938931297708E-3</v>
      </c>
      <c r="R198" s="69">
        <f t="shared" si="18"/>
        <v>0</v>
      </c>
      <c r="S198" s="7"/>
      <c r="T198" s="7"/>
      <c r="U198" s="7"/>
      <c r="V198" s="7"/>
      <c r="W198" s="7"/>
    </row>
    <row r="199" spans="1:23">
      <c r="A199" s="6">
        <v>46141</v>
      </c>
      <c r="B199" s="7" t="s">
        <v>392</v>
      </c>
      <c r="C199" s="18" t="s">
        <v>592</v>
      </c>
      <c r="D199" s="18" t="s">
        <v>587</v>
      </c>
      <c r="E199" s="18" t="s">
        <v>35</v>
      </c>
      <c r="F199" s="18" t="s">
        <v>588</v>
      </c>
      <c r="G199" s="18"/>
      <c r="H199" s="18"/>
      <c r="I199" s="29"/>
      <c r="J199" s="18" t="s">
        <v>35</v>
      </c>
      <c r="K199" s="18" t="s">
        <v>186</v>
      </c>
      <c r="L199" s="7"/>
      <c r="M199" s="7"/>
      <c r="N199" s="7"/>
      <c r="O199" s="7"/>
      <c r="P199" s="7"/>
      <c r="Q199" s="69" t="e">
        <f t="shared" si="18"/>
        <v>#DIV/0!</v>
      </c>
      <c r="R199" s="69" t="e">
        <f t="shared" si="18"/>
        <v>#DIV/0!</v>
      </c>
      <c r="S199" s="7"/>
      <c r="T199" s="7"/>
      <c r="U199" s="7"/>
      <c r="V199" s="7"/>
      <c r="W199" s="7"/>
    </row>
    <row r="200" spans="1:23">
      <c r="A200" s="6">
        <v>46141</v>
      </c>
      <c r="B200" s="7" t="s">
        <v>392</v>
      </c>
      <c r="C200" s="7"/>
      <c r="D200" s="7" t="s">
        <v>971</v>
      </c>
      <c r="E200" s="7" t="s">
        <v>253</v>
      </c>
      <c r="F200" s="7"/>
      <c r="G200" s="7"/>
      <c r="H200" s="7" t="s">
        <v>170</v>
      </c>
      <c r="I200" s="14"/>
      <c r="J200" s="7" t="s">
        <v>35</v>
      </c>
      <c r="K200" s="7" t="s">
        <v>170</v>
      </c>
      <c r="L200" s="7">
        <v>1500</v>
      </c>
      <c r="M200" s="7">
        <v>1333</v>
      </c>
      <c r="N200" s="7">
        <v>886</v>
      </c>
      <c r="O200" s="7">
        <v>0</v>
      </c>
      <c r="P200" s="7">
        <v>0</v>
      </c>
      <c r="Q200" s="69">
        <f t="shared" si="18"/>
        <v>0.88866666666666672</v>
      </c>
      <c r="R200" s="69">
        <f t="shared" si="18"/>
        <v>0.66466616654163546</v>
      </c>
      <c r="S200" s="7"/>
      <c r="T200" s="7"/>
      <c r="U200" s="7"/>
      <c r="V200" s="7"/>
      <c r="W200" s="7"/>
    </row>
    <row r="201" spans="1:23">
      <c r="A201" s="6">
        <v>46141</v>
      </c>
      <c r="B201" s="7" t="s">
        <v>392</v>
      </c>
      <c r="C201" s="7"/>
      <c r="D201" s="100" t="s">
        <v>971</v>
      </c>
      <c r="E201" s="7" t="s">
        <v>253</v>
      </c>
      <c r="F201" s="7"/>
      <c r="G201" s="7"/>
      <c r="H201" s="7" t="s">
        <v>170</v>
      </c>
      <c r="I201" s="84"/>
      <c r="J201" s="7" t="s">
        <v>35</v>
      </c>
      <c r="K201" s="7" t="s">
        <v>170</v>
      </c>
      <c r="L201" s="7">
        <v>1500</v>
      </c>
      <c r="M201" s="7">
        <v>1337</v>
      </c>
      <c r="N201" s="7">
        <v>768</v>
      </c>
      <c r="O201" s="7">
        <v>0</v>
      </c>
      <c r="P201" s="7">
        <v>0</v>
      </c>
      <c r="Q201" s="69">
        <f t="shared" si="18"/>
        <v>0.89133333333333331</v>
      </c>
      <c r="R201" s="69">
        <f t="shared" si="18"/>
        <v>0.57442034405385189</v>
      </c>
      <c r="S201" s="7"/>
      <c r="T201" s="7"/>
      <c r="U201" s="7"/>
      <c r="V201" s="7"/>
      <c r="W201" s="7"/>
    </row>
    <row r="202" spans="1:23">
      <c r="A202" s="6">
        <v>46141</v>
      </c>
      <c r="B202" s="7" t="s">
        <v>392</v>
      </c>
      <c r="C202" s="7"/>
      <c r="D202" s="100" t="s">
        <v>972</v>
      </c>
      <c r="E202" s="7" t="s">
        <v>253</v>
      </c>
      <c r="F202" s="7"/>
      <c r="G202" s="7"/>
      <c r="H202" s="7" t="s">
        <v>170</v>
      </c>
      <c r="I202" s="84"/>
      <c r="J202" s="7" t="s">
        <v>35</v>
      </c>
      <c r="K202" s="7" t="s">
        <v>170</v>
      </c>
      <c r="L202" s="7">
        <v>1500</v>
      </c>
      <c r="M202" s="7">
        <v>1344</v>
      </c>
      <c r="N202" s="7">
        <v>844</v>
      </c>
      <c r="O202" s="7">
        <v>0</v>
      </c>
      <c r="P202" s="7">
        <v>0</v>
      </c>
      <c r="Q202" s="69">
        <f t="shared" si="18"/>
        <v>0.89600000000000002</v>
      </c>
      <c r="R202" s="69">
        <f t="shared" si="18"/>
        <v>0.62797619047619047</v>
      </c>
      <c r="S202" s="7"/>
      <c r="T202" s="7"/>
      <c r="U202" s="7"/>
      <c r="V202" s="7"/>
      <c r="W202" s="7"/>
    </row>
    <row r="203" spans="1:23">
      <c r="A203" s="6">
        <v>46141</v>
      </c>
      <c r="B203" s="7" t="s">
        <v>392</v>
      </c>
      <c r="C203" s="62">
        <v>0.85416666666666663</v>
      </c>
      <c r="D203" s="7" t="s">
        <v>973</v>
      </c>
      <c r="E203" s="7" t="s">
        <v>253</v>
      </c>
      <c r="F203" s="7" t="s">
        <v>161</v>
      </c>
      <c r="G203" s="7" t="s">
        <v>85</v>
      </c>
      <c r="H203" s="7" t="s">
        <v>149</v>
      </c>
      <c r="I203" s="14"/>
      <c r="J203" s="7" t="s">
        <v>35</v>
      </c>
      <c r="K203" s="7" t="s">
        <v>149</v>
      </c>
      <c r="L203" s="7">
        <v>449</v>
      </c>
      <c r="M203" s="7">
        <v>83</v>
      </c>
      <c r="N203" s="7">
        <v>12</v>
      </c>
      <c r="O203" s="7">
        <v>4</v>
      </c>
      <c r="P203" s="7">
        <v>0</v>
      </c>
      <c r="Q203" s="69">
        <f t="shared" si="18"/>
        <v>0.18485523385300667</v>
      </c>
      <c r="R203" s="69">
        <f t="shared" si="18"/>
        <v>0.14457831325301204</v>
      </c>
      <c r="S203" s="7"/>
      <c r="T203" s="7"/>
      <c r="U203" s="7"/>
      <c r="V203" s="7"/>
      <c r="W203" s="7"/>
    </row>
    <row r="204" spans="1:23" ht="16.8">
      <c r="A204" s="6">
        <v>46141</v>
      </c>
      <c r="B204" s="7" t="s">
        <v>392</v>
      </c>
      <c r="C204" s="62">
        <v>0.875</v>
      </c>
      <c r="D204" s="7" t="s">
        <v>974</v>
      </c>
      <c r="E204" s="7" t="s">
        <v>253</v>
      </c>
      <c r="F204" s="7" t="s">
        <v>975</v>
      </c>
      <c r="G204" s="7"/>
      <c r="H204" s="52" t="s">
        <v>157</v>
      </c>
      <c r="I204" s="14" t="s">
        <v>976</v>
      </c>
      <c r="J204" s="7" t="s">
        <v>35</v>
      </c>
      <c r="K204" s="52" t="s">
        <v>157</v>
      </c>
      <c r="L204" s="7">
        <v>793</v>
      </c>
      <c r="M204" s="7">
        <v>98</v>
      </c>
      <c r="N204" s="7">
        <v>18</v>
      </c>
      <c r="O204" s="7">
        <v>1</v>
      </c>
      <c r="P204" s="7">
        <v>0</v>
      </c>
      <c r="Q204" s="69">
        <f t="shared" si="18"/>
        <v>0.1235813366960908</v>
      </c>
      <c r="R204" s="69">
        <f t="shared" si="18"/>
        <v>0.18367346938775511</v>
      </c>
      <c r="S204" s="7"/>
      <c r="T204" s="7"/>
      <c r="U204" s="7"/>
      <c r="V204" s="7"/>
      <c r="W204" s="7"/>
    </row>
    <row r="205" spans="1:23" ht="16.8">
      <c r="A205" s="6">
        <v>46141</v>
      </c>
      <c r="B205" s="7" t="s">
        <v>392</v>
      </c>
      <c r="C205" s="62">
        <v>0.97916666666666663</v>
      </c>
      <c r="D205" s="7" t="s">
        <v>977</v>
      </c>
      <c r="E205" s="7" t="s">
        <v>253</v>
      </c>
      <c r="F205" t="s">
        <v>978</v>
      </c>
      <c r="G205" s="7" t="s">
        <v>85</v>
      </c>
      <c r="H205" s="52" t="s">
        <v>420</v>
      </c>
      <c r="I205" s="14" t="s">
        <v>785</v>
      </c>
      <c r="J205" s="7" t="s">
        <v>35</v>
      </c>
      <c r="K205" s="52" t="s">
        <v>420</v>
      </c>
      <c r="L205" s="7">
        <v>386</v>
      </c>
      <c r="M205" s="7">
        <v>48</v>
      </c>
      <c r="N205" s="7">
        <v>7</v>
      </c>
      <c r="O205" s="7">
        <v>2</v>
      </c>
      <c r="P205" s="7">
        <v>0</v>
      </c>
      <c r="Q205" s="69">
        <f t="shared" si="18"/>
        <v>0.12435233160621761</v>
      </c>
      <c r="R205" s="69">
        <f t="shared" si="18"/>
        <v>0.14583333333333334</v>
      </c>
      <c r="S205" s="7"/>
      <c r="T205" s="7"/>
      <c r="U205" s="7"/>
      <c r="V205" s="7"/>
      <c r="W205" s="7"/>
    </row>
    <row r="206" spans="1:23">
      <c r="A206" s="6">
        <v>46141</v>
      </c>
      <c r="B206" s="7" t="s">
        <v>392</v>
      </c>
      <c r="C206" s="62">
        <v>0.91666666666666663</v>
      </c>
      <c r="D206" s="7" t="s">
        <v>979</v>
      </c>
      <c r="E206" s="7" t="s">
        <v>253</v>
      </c>
      <c r="F206" t="s">
        <v>978</v>
      </c>
      <c r="G206" s="7" t="s">
        <v>85</v>
      </c>
      <c r="H206" s="7" t="s">
        <v>121</v>
      </c>
      <c r="I206" s="47" t="s">
        <v>941</v>
      </c>
      <c r="J206" s="7" t="s">
        <v>35</v>
      </c>
      <c r="K206" s="7" t="s">
        <v>121</v>
      </c>
      <c r="L206" s="7">
        <v>414</v>
      </c>
      <c r="M206" s="7">
        <v>18</v>
      </c>
      <c r="N206" s="7">
        <v>10</v>
      </c>
      <c r="O206" s="7">
        <v>0</v>
      </c>
      <c r="P206" s="7">
        <v>0</v>
      </c>
      <c r="Q206" s="69">
        <f t="shared" si="18"/>
        <v>4.3478260869565216E-2</v>
      </c>
      <c r="R206" s="69">
        <f t="shared" si="18"/>
        <v>0.55555555555555558</v>
      </c>
      <c r="S206" s="7"/>
      <c r="T206" s="7"/>
      <c r="U206" s="7"/>
      <c r="V206" s="7"/>
      <c r="W206" s="7"/>
    </row>
    <row r="207" spans="1:23" ht="16.8">
      <c r="A207" s="6">
        <v>46141</v>
      </c>
      <c r="B207" s="7" t="s">
        <v>392</v>
      </c>
      <c r="C207" s="62">
        <v>0.96875</v>
      </c>
      <c r="D207" s="170" t="s">
        <v>980</v>
      </c>
      <c r="E207" s="7" t="s">
        <v>253</v>
      </c>
      <c r="F207" s="7" t="s">
        <v>247</v>
      </c>
      <c r="G207" s="7"/>
      <c r="H207" s="52" t="s">
        <v>210</v>
      </c>
      <c r="I207" s="47" t="s">
        <v>941</v>
      </c>
      <c r="J207" s="7" t="s">
        <v>35</v>
      </c>
      <c r="K207" s="52" t="s">
        <v>210</v>
      </c>
      <c r="L207" s="7">
        <v>1046</v>
      </c>
      <c r="M207" s="7">
        <v>31</v>
      </c>
      <c r="N207" s="7">
        <v>12</v>
      </c>
      <c r="O207" s="7">
        <v>0</v>
      </c>
      <c r="P207" s="7">
        <v>0</v>
      </c>
      <c r="Q207" s="69">
        <f t="shared" si="18"/>
        <v>2.9636711281070746E-2</v>
      </c>
      <c r="R207" s="69">
        <f t="shared" si="18"/>
        <v>0.38709677419354838</v>
      </c>
      <c r="S207" s="7"/>
      <c r="T207" s="7"/>
      <c r="U207" s="7"/>
      <c r="V207" s="7"/>
      <c r="W207" s="7"/>
    </row>
    <row r="208" spans="1:23">
      <c r="A208" s="6">
        <v>46141</v>
      </c>
      <c r="B208" s="7" t="s">
        <v>392</v>
      </c>
      <c r="C208" s="7"/>
      <c r="D208" s="7" t="s">
        <v>981</v>
      </c>
      <c r="E208" s="7" t="s">
        <v>253</v>
      </c>
      <c r="F208" s="7"/>
      <c r="G208" s="7"/>
      <c r="H208" s="171" t="s">
        <v>982</v>
      </c>
      <c r="I208" s="14"/>
      <c r="J208" s="7" t="s">
        <v>35</v>
      </c>
      <c r="K208" s="7" t="s">
        <v>170</v>
      </c>
      <c r="L208" s="7">
        <v>366</v>
      </c>
      <c r="M208" s="7">
        <v>299</v>
      </c>
      <c r="N208" s="7">
        <v>193</v>
      </c>
      <c r="O208" s="7">
        <v>0</v>
      </c>
      <c r="P208" s="7">
        <v>0</v>
      </c>
      <c r="Q208" s="69">
        <f t="shared" si="18"/>
        <v>0.81693989071038253</v>
      </c>
      <c r="R208" s="69">
        <f t="shared" si="18"/>
        <v>0.64548494983277593</v>
      </c>
      <c r="S208" s="7"/>
      <c r="T208" s="7"/>
      <c r="U208" s="7"/>
      <c r="V208" s="7"/>
      <c r="W208" s="7"/>
    </row>
    <row r="209" spans="1:23" ht="6.6" customHeight="1">
      <c r="A209" s="22"/>
      <c r="B209" s="23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5"/>
      <c r="R209" s="25"/>
      <c r="S209" s="24"/>
      <c r="T209" s="24"/>
      <c r="U209" s="24"/>
      <c r="V209" s="25"/>
      <c r="W209" s="26"/>
    </row>
    <row r="210" spans="1:23">
      <c r="A210" s="6">
        <v>46142</v>
      </c>
      <c r="B210" s="7" t="s">
        <v>552</v>
      </c>
      <c r="C210" s="18" t="s">
        <v>591</v>
      </c>
      <c r="D210" s="18" t="s">
        <v>108</v>
      </c>
      <c r="E210" s="18" t="s">
        <v>35</v>
      </c>
      <c r="F210" s="18" t="s">
        <v>115</v>
      </c>
      <c r="G210" s="18"/>
      <c r="H210" s="18" t="s">
        <v>106</v>
      </c>
      <c r="I210" s="14"/>
      <c r="J210" s="18" t="s">
        <v>35</v>
      </c>
      <c r="K210" s="18" t="s">
        <v>106</v>
      </c>
      <c r="L210" s="7">
        <v>957</v>
      </c>
      <c r="M210" s="7">
        <v>20</v>
      </c>
      <c r="N210" s="7">
        <v>4</v>
      </c>
      <c r="O210" s="7">
        <v>0</v>
      </c>
      <c r="P210" s="7">
        <v>2</v>
      </c>
      <c r="Q210" s="69">
        <f t="shared" ref="Q210:R225" si="19">M210/L210</f>
        <v>2.0898641588296761E-2</v>
      </c>
      <c r="R210" s="69">
        <f t="shared" si="19"/>
        <v>0.2</v>
      </c>
      <c r="S210" s="7"/>
      <c r="T210" s="7"/>
      <c r="U210" s="7"/>
      <c r="V210" s="7"/>
      <c r="W210" s="7"/>
    </row>
    <row r="211" spans="1:23">
      <c r="A211" s="6">
        <v>46142</v>
      </c>
      <c r="B211" s="7" t="s">
        <v>552</v>
      </c>
      <c r="C211" s="18" t="s">
        <v>592</v>
      </c>
      <c r="D211" s="18" t="s">
        <v>587</v>
      </c>
      <c r="E211" s="18" t="s">
        <v>35</v>
      </c>
      <c r="F211" s="18" t="s">
        <v>588</v>
      </c>
      <c r="G211" s="18"/>
      <c r="H211" s="18" t="s">
        <v>106</v>
      </c>
      <c r="I211" s="29"/>
      <c r="J211" s="18" t="s">
        <v>35</v>
      </c>
      <c r="K211" s="18" t="s">
        <v>106</v>
      </c>
      <c r="L211" s="7"/>
      <c r="M211" s="7"/>
      <c r="N211" s="7"/>
      <c r="O211" s="7"/>
      <c r="P211" s="7"/>
      <c r="Q211" s="69" t="e">
        <f t="shared" si="19"/>
        <v>#DIV/0!</v>
      </c>
      <c r="R211" s="69" t="e">
        <f t="shared" si="19"/>
        <v>#DIV/0!</v>
      </c>
      <c r="S211" s="7"/>
      <c r="T211" s="7"/>
      <c r="U211" s="7"/>
      <c r="V211" s="7"/>
      <c r="W211" s="7"/>
    </row>
    <row r="212" spans="1:23">
      <c r="A212" s="6">
        <v>46142</v>
      </c>
      <c r="B212" s="7" t="s">
        <v>552</v>
      </c>
      <c r="C212" s="18"/>
      <c r="D212" s="18" t="s">
        <v>155</v>
      </c>
      <c r="E212" s="18" t="s">
        <v>35</v>
      </c>
      <c r="F212" s="18" t="s">
        <v>156</v>
      </c>
      <c r="G212" s="18"/>
      <c r="H212" s="18" t="s">
        <v>157</v>
      </c>
      <c r="I212" s="30"/>
      <c r="J212" s="18" t="s">
        <v>35</v>
      </c>
      <c r="K212" s="18" t="s">
        <v>157</v>
      </c>
      <c r="L212" s="7">
        <v>351</v>
      </c>
      <c r="M212" s="7">
        <v>44</v>
      </c>
      <c r="N212" s="7">
        <v>9</v>
      </c>
      <c r="O212" s="7">
        <v>2</v>
      </c>
      <c r="P212" s="7">
        <v>0</v>
      </c>
      <c r="Q212" s="69">
        <f t="shared" si="19"/>
        <v>0.12535612535612536</v>
      </c>
      <c r="R212" s="69">
        <f t="shared" si="19"/>
        <v>0.20454545454545456</v>
      </c>
      <c r="S212" s="7"/>
      <c r="T212" s="7"/>
      <c r="U212" s="7"/>
      <c r="V212" s="7"/>
      <c r="W212" s="7"/>
    </row>
    <row r="213" spans="1:23">
      <c r="A213" s="6">
        <v>46142</v>
      </c>
      <c r="B213" s="7" t="s">
        <v>552</v>
      </c>
      <c r="C213" s="18"/>
      <c r="D213" s="18" t="s">
        <v>158</v>
      </c>
      <c r="E213" s="18" t="s">
        <v>35</v>
      </c>
      <c r="F213" s="18" t="s">
        <v>159</v>
      </c>
      <c r="G213" s="18"/>
      <c r="H213" s="18" t="s">
        <v>149</v>
      </c>
      <c r="I213" s="30"/>
      <c r="J213" s="18" t="s">
        <v>35</v>
      </c>
      <c r="K213" s="18" t="s">
        <v>149</v>
      </c>
      <c r="L213" s="7">
        <v>184</v>
      </c>
      <c r="M213" s="7">
        <v>24</v>
      </c>
      <c r="N213" s="7">
        <v>5</v>
      </c>
      <c r="O213" s="7">
        <v>2</v>
      </c>
      <c r="P213" s="7">
        <v>0</v>
      </c>
      <c r="Q213" s="69">
        <f t="shared" si="19"/>
        <v>0.13043478260869565</v>
      </c>
      <c r="R213" s="69">
        <f t="shared" si="19"/>
        <v>0.20833333333333334</v>
      </c>
      <c r="S213" s="7"/>
      <c r="T213" s="7"/>
      <c r="U213" s="7"/>
      <c r="V213" s="7"/>
      <c r="W213" s="7"/>
    </row>
    <row r="214" spans="1:23">
      <c r="A214" s="6">
        <v>46142</v>
      </c>
      <c r="B214" s="7" t="s">
        <v>552</v>
      </c>
      <c r="C214" s="18" t="s">
        <v>591</v>
      </c>
      <c r="D214" s="18" t="s">
        <v>189</v>
      </c>
      <c r="E214" s="18" t="s">
        <v>35</v>
      </c>
      <c r="F214" s="18"/>
      <c r="G214" s="18"/>
      <c r="H214" s="18" t="s">
        <v>186</v>
      </c>
      <c r="I214" s="30"/>
      <c r="J214" s="18" t="s">
        <v>35</v>
      </c>
      <c r="K214" s="18" t="s">
        <v>186</v>
      </c>
      <c r="L214" s="7">
        <v>1992</v>
      </c>
      <c r="M214" s="7">
        <v>8</v>
      </c>
      <c r="N214" s="7">
        <v>1</v>
      </c>
      <c r="O214" s="7">
        <v>0</v>
      </c>
      <c r="P214" s="7">
        <v>0</v>
      </c>
      <c r="Q214" s="69">
        <f t="shared" si="19"/>
        <v>4.0160642570281121E-3</v>
      </c>
      <c r="R214" s="69">
        <f t="shared" si="19"/>
        <v>0.125</v>
      </c>
      <c r="S214" s="7"/>
      <c r="T214" s="7"/>
      <c r="U214" s="7"/>
      <c r="V214" s="7"/>
      <c r="W214" s="7"/>
    </row>
    <row r="215" spans="1:23">
      <c r="A215" s="6">
        <v>46142</v>
      </c>
      <c r="B215" s="7" t="s">
        <v>552</v>
      </c>
      <c r="C215" s="18" t="s">
        <v>592</v>
      </c>
      <c r="D215" s="18" t="s">
        <v>587</v>
      </c>
      <c r="E215" s="18" t="s">
        <v>35</v>
      </c>
      <c r="F215" s="18" t="s">
        <v>588</v>
      </c>
      <c r="G215" s="18"/>
      <c r="H215" s="18" t="s">
        <v>186</v>
      </c>
      <c r="I215" s="29"/>
      <c r="J215" s="18" t="s">
        <v>35</v>
      </c>
      <c r="K215" s="18" t="s">
        <v>186</v>
      </c>
      <c r="L215" s="7"/>
      <c r="M215" s="7"/>
      <c r="N215" s="7"/>
      <c r="O215" s="7"/>
      <c r="P215" s="7"/>
      <c r="Q215" s="69" t="e">
        <f t="shared" si="19"/>
        <v>#DIV/0!</v>
      </c>
      <c r="R215" s="69" t="e">
        <f t="shared" si="19"/>
        <v>#DIV/0!</v>
      </c>
      <c r="S215" s="7"/>
      <c r="T215" s="7"/>
      <c r="U215" s="7"/>
      <c r="V215" s="7"/>
      <c r="W215" s="7"/>
    </row>
    <row r="216" spans="1:23">
      <c r="A216" s="6">
        <v>46142</v>
      </c>
      <c r="B216" s="7" t="s">
        <v>552</v>
      </c>
      <c r="C216" s="18" t="s">
        <v>589</v>
      </c>
      <c r="D216" s="18" t="s">
        <v>1069</v>
      </c>
      <c r="E216" s="18" t="s">
        <v>253</v>
      </c>
      <c r="F216" s="21" t="s">
        <v>1070</v>
      </c>
      <c r="G216" s="18"/>
      <c r="H216" s="21" t="s">
        <v>1047</v>
      </c>
      <c r="I216" s="29" t="s">
        <v>997</v>
      </c>
      <c r="J216" s="18" t="s">
        <v>35</v>
      </c>
      <c r="K216" s="18"/>
      <c r="L216" s="7">
        <v>1225</v>
      </c>
      <c r="M216" s="7">
        <v>202</v>
      </c>
      <c r="N216" s="7">
        <v>35</v>
      </c>
      <c r="O216" s="7">
        <v>11</v>
      </c>
      <c r="P216" s="7">
        <v>6</v>
      </c>
      <c r="Q216" s="69">
        <f t="shared" si="19"/>
        <v>0.16489795918367348</v>
      </c>
      <c r="R216" s="69">
        <f t="shared" si="19"/>
        <v>0.17326732673267325</v>
      </c>
      <c r="S216" s="7"/>
      <c r="T216" s="7"/>
      <c r="U216" s="7"/>
      <c r="V216" s="7"/>
      <c r="W216" s="7"/>
    </row>
    <row r="217" spans="1:23">
      <c r="A217" s="6">
        <v>46142</v>
      </c>
      <c r="B217" s="7" t="s">
        <v>552</v>
      </c>
      <c r="C217" s="18" t="s">
        <v>589</v>
      </c>
      <c r="D217" s="18" t="s">
        <v>1071</v>
      </c>
      <c r="E217" s="18" t="s">
        <v>253</v>
      </c>
      <c r="F217" s="21" t="s">
        <v>1070</v>
      </c>
      <c r="G217" s="18"/>
      <c r="H217" t="s">
        <v>1049</v>
      </c>
      <c r="I217" s="29" t="s">
        <v>997</v>
      </c>
      <c r="J217" s="18" t="s">
        <v>35</v>
      </c>
      <c r="K217" s="18"/>
      <c r="L217" s="7">
        <v>277</v>
      </c>
      <c r="M217" s="7">
        <v>0</v>
      </c>
      <c r="N217" s="7">
        <v>0</v>
      </c>
      <c r="O217" s="7">
        <v>1</v>
      </c>
      <c r="P217" s="7">
        <v>0</v>
      </c>
      <c r="Q217" s="69">
        <f t="shared" si="19"/>
        <v>0</v>
      </c>
      <c r="R217" s="69" t="e">
        <f t="shared" si="19"/>
        <v>#DIV/0!</v>
      </c>
      <c r="S217" s="7"/>
      <c r="T217" s="7"/>
      <c r="U217" s="7"/>
      <c r="V217" s="7"/>
      <c r="W217" s="7"/>
    </row>
    <row r="218" spans="1:23">
      <c r="A218" s="6">
        <v>46142</v>
      </c>
      <c r="B218" s="7" t="s">
        <v>552</v>
      </c>
      <c r="C218" s="18" t="s">
        <v>589</v>
      </c>
      <c r="D218" s="18" t="s">
        <v>1072</v>
      </c>
      <c r="E218" s="18" t="s">
        <v>253</v>
      </c>
      <c r="F218" s="21" t="s">
        <v>1073</v>
      </c>
      <c r="G218" s="18"/>
      <c r="H218" s="18" t="s">
        <v>149</v>
      </c>
      <c r="I218" s="29" t="s">
        <v>998</v>
      </c>
      <c r="J218" s="18" t="s">
        <v>35</v>
      </c>
      <c r="K218" s="18" t="s">
        <v>149</v>
      </c>
      <c r="L218" s="7">
        <v>168</v>
      </c>
      <c r="M218" s="7">
        <v>43</v>
      </c>
      <c r="N218" s="7">
        <v>10</v>
      </c>
      <c r="O218" s="7">
        <v>2</v>
      </c>
      <c r="P218" s="7">
        <v>0</v>
      </c>
      <c r="Q218" s="69">
        <f t="shared" si="19"/>
        <v>0.25595238095238093</v>
      </c>
      <c r="R218" s="69">
        <f t="shared" si="19"/>
        <v>0.23255813953488372</v>
      </c>
      <c r="S218" s="7"/>
      <c r="T218" s="7"/>
      <c r="U218" s="7"/>
      <c r="V218" s="7"/>
      <c r="W218" s="7"/>
    </row>
    <row r="219" spans="1:23">
      <c r="A219" s="6">
        <v>46142</v>
      </c>
      <c r="B219" s="7" t="s">
        <v>552</v>
      </c>
      <c r="C219" s="7"/>
      <c r="D219" s="7" t="s">
        <v>1074</v>
      </c>
      <c r="E219" s="7" t="s">
        <v>253</v>
      </c>
      <c r="F219" s="7"/>
      <c r="G219" s="7"/>
      <c r="H219" s="7" t="s">
        <v>170</v>
      </c>
      <c r="I219" s="14"/>
      <c r="J219" s="7" t="s">
        <v>35</v>
      </c>
      <c r="K219" s="7" t="s">
        <v>170</v>
      </c>
      <c r="L219" s="7">
        <v>1500</v>
      </c>
      <c r="M219" s="7">
        <v>1346</v>
      </c>
      <c r="N219" s="7">
        <v>737</v>
      </c>
      <c r="O219" s="7">
        <v>0</v>
      </c>
      <c r="P219" s="7">
        <v>0</v>
      </c>
      <c r="Q219" s="69">
        <f t="shared" si="19"/>
        <v>0.89733333333333332</v>
      </c>
      <c r="R219" s="69">
        <f t="shared" si="19"/>
        <v>0.54754829123328386</v>
      </c>
      <c r="S219" s="7"/>
      <c r="T219" s="7"/>
      <c r="U219" s="7"/>
      <c r="V219" s="7"/>
      <c r="W219" s="7"/>
    </row>
    <row r="220" spans="1:23">
      <c r="A220" s="6">
        <v>46142</v>
      </c>
      <c r="B220" s="7" t="s">
        <v>552</v>
      </c>
      <c r="C220" s="7"/>
      <c r="D220" s="100" t="s">
        <v>1075</v>
      </c>
      <c r="E220" s="7" t="s">
        <v>253</v>
      </c>
      <c r="F220" s="7"/>
      <c r="G220" s="7"/>
      <c r="H220" s="7" t="s">
        <v>170</v>
      </c>
      <c r="I220" s="84"/>
      <c r="J220" s="7" t="s">
        <v>35</v>
      </c>
      <c r="K220" s="7" t="s">
        <v>170</v>
      </c>
      <c r="L220" s="7">
        <v>1500</v>
      </c>
      <c r="M220" s="7">
        <v>1345</v>
      </c>
      <c r="N220" s="7">
        <v>723</v>
      </c>
      <c r="O220" s="7">
        <v>0</v>
      </c>
      <c r="P220" s="7">
        <v>0</v>
      </c>
      <c r="Q220" s="69">
        <f t="shared" si="19"/>
        <v>0.89666666666666661</v>
      </c>
      <c r="R220" s="69">
        <f t="shared" si="19"/>
        <v>0.53754646840148701</v>
      </c>
      <c r="S220" s="7"/>
      <c r="T220" s="7"/>
      <c r="U220" s="7"/>
      <c r="V220" s="7"/>
      <c r="W220" s="7"/>
    </row>
    <row r="221" spans="1:23">
      <c r="A221" s="6">
        <v>46142</v>
      </c>
      <c r="B221" s="7" t="s">
        <v>552</v>
      </c>
      <c r="C221" s="7"/>
      <c r="D221" s="100" t="s">
        <v>1076</v>
      </c>
      <c r="E221" s="7" t="s">
        <v>253</v>
      </c>
      <c r="F221" s="7"/>
      <c r="G221" s="7"/>
      <c r="H221" s="7" t="s">
        <v>170</v>
      </c>
      <c r="I221" s="84"/>
      <c r="J221" s="7" t="s">
        <v>35</v>
      </c>
      <c r="K221" s="7" t="s">
        <v>170</v>
      </c>
      <c r="L221" s="7">
        <v>1500</v>
      </c>
      <c r="M221" s="7">
        <v>1343</v>
      </c>
      <c r="N221" s="7">
        <v>696</v>
      </c>
      <c r="O221" s="7">
        <v>0</v>
      </c>
      <c r="P221" s="7">
        <v>0</v>
      </c>
      <c r="Q221" s="69">
        <f t="shared" si="19"/>
        <v>0.89533333333333331</v>
      </c>
      <c r="R221" s="69">
        <f t="shared" si="19"/>
        <v>0.51824274013402827</v>
      </c>
      <c r="S221" s="7"/>
      <c r="T221" s="7"/>
      <c r="U221" s="7"/>
      <c r="V221" s="7"/>
      <c r="W221" s="7"/>
    </row>
    <row r="222" spans="1:23">
      <c r="A222" s="6">
        <v>46142</v>
      </c>
      <c r="B222" s="7" t="s">
        <v>552</v>
      </c>
      <c r="C222" s="7"/>
      <c r="D222" s="100" t="s">
        <v>1077</v>
      </c>
      <c r="E222" s="7" t="s">
        <v>253</v>
      </c>
      <c r="F222" s="7"/>
      <c r="G222" s="7"/>
      <c r="H222" s="7" t="s">
        <v>170</v>
      </c>
      <c r="I222" s="84"/>
      <c r="J222" s="7" t="s">
        <v>35</v>
      </c>
      <c r="K222" s="7" t="s">
        <v>170</v>
      </c>
      <c r="L222" s="7">
        <v>1500</v>
      </c>
      <c r="M222" s="7">
        <v>1342</v>
      </c>
      <c r="N222" s="7">
        <v>902</v>
      </c>
      <c r="O222" s="7">
        <v>0</v>
      </c>
      <c r="P222" s="7">
        <v>0</v>
      </c>
      <c r="Q222" s="69">
        <f t="shared" si="19"/>
        <v>0.89466666666666672</v>
      </c>
      <c r="R222" s="69">
        <f t="shared" si="19"/>
        <v>0.67213114754098358</v>
      </c>
      <c r="S222" s="7"/>
      <c r="T222" s="7"/>
      <c r="U222" s="7"/>
      <c r="V222" s="7"/>
      <c r="W222" s="7"/>
    </row>
    <row r="223" spans="1:23">
      <c r="A223" s="6">
        <v>46142</v>
      </c>
      <c r="B223" s="7" t="s">
        <v>552</v>
      </c>
      <c r="C223" s="7"/>
      <c r="D223" s="7" t="s">
        <v>1078</v>
      </c>
      <c r="E223" s="7" t="s">
        <v>253</v>
      </c>
      <c r="F223" s="7"/>
      <c r="G223" s="7"/>
      <c r="H223" t="s">
        <v>982</v>
      </c>
      <c r="I223" s="14"/>
      <c r="J223" s="7" t="s">
        <v>35</v>
      </c>
      <c r="K223" s="7" t="s">
        <v>171</v>
      </c>
      <c r="L223" s="7">
        <v>366</v>
      </c>
      <c r="M223" s="7">
        <v>334</v>
      </c>
      <c r="N223" s="7">
        <v>218</v>
      </c>
      <c r="O223" s="7">
        <v>0</v>
      </c>
      <c r="P223" s="7">
        <v>0</v>
      </c>
      <c r="Q223" s="69">
        <f t="shared" si="19"/>
        <v>0.91256830601092898</v>
      </c>
      <c r="R223" s="69">
        <f t="shared" si="19"/>
        <v>0.65269461077844315</v>
      </c>
      <c r="S223" s="7"/>
      <c r="T223" s="7"/>
      <c r="U223" s="7"/>
      <c r="V223" s="7"/>
      <c r="W223" s="7"/>
    </row>
    <row r="224" spans="1:23">
      <c r="A224" s="6">
        <v>46142</v>
      </c>
      <c r="B224" s="7" t="s">
        <v>552</v>
      </c>
      <c r="C224" s="7"/>
      <c r="D224" s="7" t="s">
        <v>1079</v>
      </c>
      <c r="E224" s="7" t="s">
        <v>253</v>
      </c>
      <c r="F224" s="7"/>
      <c r="G224" s="7"/>
      <c r="H224" t="s">
        <v>982</v>
      </c>
      <c r="I224" s="14"/>
      <c r="J224" s="7" t="s">
        <v>35</v>
      </c>
      <c r="K224" s="7" t="s">
        <v>171</v>
      </c>
      <c r="L224" s="7">
        <v>366</v>
      </c>
      <c r="M224" s="7">
        <v>338</v>
      </c>
      <c r="N224" s="7">
        <v>215</v>
      </c>
      <c r="O224" s="7">
        <v>0</v>
      </c>
      <c r="P224" s="7">
        <v>0</v>
      </c>
      <c r="Q224" s="69">
        <f t="shared" si="19"/>
        <v>0.92349726775956287</v>
      </c>
      <c r="R224" s="69">
        <f t="shared" si="19"/>
        <v>0.63609467455621305</v>
      </c>
      <c r="S224" s="7"/>
      <c r="T224" s="7"/>
      <c r="U224" s="7"/>
      <c r="V224" s="7"/>
      <c r="W224" s="7"/>
    </row>
    <row r="225" spans="1:23">
      <c r="A225" s="6">
        <v>46142</v>
      </c>
      <c r="B225" s="7" t="s">
        <v>552</v>
      </c>
      <c r="C225" s="62">
        <v>0.85416666666666663</v>
      </c>
      <c r="D225" s="7" t="s">
        <v>1080</v>
      </c>
      <c r="E225" s="7" t="s">
        <v>253</v>
      </c>
      <c r="F225" s="7" t="s">
        <v>1081</v>
      </c>
      <c r="G225" s="7" t="s">
        <v>85</v>
      </c>
      <c r="H225" s="7" t="s">
        <v>149</v>
      </c>
      <c r="I225" s="14"/>
      <c r="J225" s="7" t="s">
        <v>35</v>
      </c>
      <c r="K225" s="7" t="s">
        <v>149</v>
      </c>
      <c r="L225" s="7">
        <v>564</v>
      </c>
      <c r="M225" s="7">
        <v>182</v>
      </c>
      <c r="N225" s="7">
        <v>13</v>
      </c>
      <c r="O225" s="7">
        <v>1</v>
      </c>
      <c r="P225" s="7">
        <v>0</v>
      </c>
      <c r="Q225" s="69">
        <f t="shared" si="19"/>
        <v>0.32269503546099293</v>
      </c>
      <c r="R225" s="69">
        <f t="shared" si="19"/>
        <v>7.1428571428571425E-2</v>
      </c>
      <c r="S225" s="7"/>
      <c r="T225" s="7"/>
      <c r="U225" s="7"/>
      <c r="V225" s="7"/>
      <c r="W225" s="7"/>
    </row>
    <row r="226" spans="1:23" ht="16.8">
      <c r="A226" s="6">
        <v>46142</v>
      </c>
      <c r="B226" s="7" t="s">
        <v>552</v>
      </c>
      <c r="C226" s="62">
        <v>0.875</v>
      </c>
      <c r="D226" s="77" t="s">
        <v>1082</v>
      </c>
      <c r="E226" s="7" t="s">
        <v>253</v>
      </c>
      <c r="F226" t="s">
        <v>1083</v>
      </c>
      <c r="G226" s="7" t="s">
        <v>85</v>
      </c>
      <c r="H226" s="52" t="s">
        <v>157</v>
      </c>
      <c r="I226" s="14" t="s">
        <v>934</v>
      </c>
      <c r="J226" s="7" t="s">
        <v>35</v>
      </c>
      <c r="K226" s="52" t="s">
        <v>157</v>
      </c>
      <c r="L226" s="7">
        <v>1042</v>
      </c>
      <c r="M226" s="7">
        <v>99</v>
      </c>
      <c r="N226" s="7">
        <v>18</v>
      </c>
      <c r="O226" s="7">
        <v>4</v>
      </c>
      <c r="P226" s="7">
        <v>1</v>
      </c>
      <c r="Q226" s="69">
        <f t="shared" ref="Q226:R231" si="20">M226/L226</f>
        <v>9.5009596928982726E-2</v>
      </c>
      <c r="R226" s="69">
        <f t="shared" si="20"/>
        <v>0.18181818181818182</v>
      </c>
      <c r="S226" s="7"/>
      <c r="T226" s="7"/>
      <c r="U226" s="7"/>
      <c r="V226" s="7"/>
      <c r="W226" s="7"/>
    </row>
    <row r="227" spans="1:23" ht="16.8">
      <c r="A227" s="6">
        <v>46142</v>
      </c>
      <c r="B227" s="7" t="s">
        <v>552</v>
      </c>
      <c r="C227" s="62">
        <v>0.98958333333333337</v>
      </c>
      <c r="D227" s="7" t="s">
        <v>1084</v>
      </c>
      <c r="E227" s="7" t="s">
        <v>253</v>
      </c>
      <c r="F227" t="s">
        <v>1085</v>
      </c>
      <c r="G227" s="7" t="s">
        <v>85</v>
      </c>
      <c r="H227" s="52" t="s">
        <v>157</v>
      </c>
      <c r="I227" s="14"/>
      <c r="J227" s="7" t="s">
        <v>35</v>
      </c>
      <c r="K227" s="52" t="s">
        <v>157</v>
      </c>
      <c r="L227" s="7">
        <v>1053</v>
      </c>
      <c r="M227" s="7">
        <v>243</v>
      </c>
      <c r="N227" s="7">
        <v>18</v>
      </c>
      <c r="O227" s="7">
        <v>5</v>
      </c>
      <c r="P227" s="7">
        <v>0</v>
      </c>
      <c r="Q227" s="69">
        <f t="shared" si="20"/>
        <v>0.23076923076923078</v>
      </c>
      <c r="R227" s="69">
        <f t="shared" si="20"/>
        <v>7.407407407407407E-2</v>
      </c>
      <c r="S227" s="7"/>
      <c r="T227" s="7"/>
      <c r="U227" s="7"/>
      <c r="V227" s="7"/>
      <c r="W227" s="7"/>
    </row>
    <row r="228" spans="1:23" ht="16.8">
      <c r="A228" s="6">
        <v>46142</v>
      </c>
      <c r="B228" s="7" t="s">
        <v>552</v>
      </c>
      <c r="C228" s="62">
        <v>0.97916666666666663</v>
      </c>
      <c r="D228" s="7" t="s">
        <v>1086</v>
      </c>
      <c r="E228" s="7" t="s">
        <v>253</v>
      </c>
      <c r="F228" t="s">
        <v>1087</v>
      </c>
      <c r="G228" s="7" t="s">
        <v>85</v>
      </c>
      <c r="H228" s="52" t="s">
        <v>420</v>
      </c>
      <c r="I228" s="14"/>
      <c r="J228" s="7" t="s">
        <v>35</v>
      </c>
      <c r="K228" s="52" t="s">
        <v>420</v>
      </c>
      <c r="L228" s="7">
        <v>388</v>
      </c>
      <c r="M228" s="7">
        <v>79</v>
      </c>
      <c r="N228" s="7">
        <v>13</v>
      </c>
      <c r="O228" s="7">
        <v>0</v>
      </c>
      <c r="P228" s="7">
        <v>0</v>
      </c>
      <c r="Q228" s="69">
        <f t="shared" si="20"/>
        <v>0.20360824742268041</v>
      </c>
      <c r="R228" s="69">
        <f t="shared" si="20"/>
        <v>0.16455696202531644</v>
      </c>
      <c r="S228" s="7"/>
      <c r="T228" s="7"/>
      <c r="U228" s="7"/>
      <c r="V228" s="7"/>
      <c r="W228" s="7"/>
    </row>
    <row r="229" spans="1:23">
      <c r="A229" s="6">
        <v>46142</v>
      </c>
      <c r="B229" s="7" t="s">
        <v>552</v>
      </c>
      <c r="C229" s="62">
        <v>0.91666666666666663</v>
      </c>
      <c r="D229" s="77" t="s">
        <v>1088</v>
      </c>
      <c r="E229" s="7" t="s">
        <v>253</v>
      </c>
      <c r="F229" s="77" t="s">
        <v>442</v>
      </c>
      <c r="G229" s="7" t="s">
        <v>85</v>
      </c>
      <c r="H229" s="7" t="s">
        <v>121</v>
      </c>
      <c r="I229" s="47"/>
      <c r="J229" s="7" t="s">
        <v>35</v>
      </c>
      <c r="K229" s="7" t="s">
        <v>121</v>
      </c>
      <c r="L229" s="7">
        <v>445</v>
      </c>
      <c r="M229" s="7">
        <v>18</v>
      </c>
      <c r="N229" s="7">
        <v>11</v>
      </c>
      <c r="O229" s="7">
        <v>0</v>
      </c>
      <c r="P229" s="7">
        <v>0</v>
      </c>
      <c r="Q229" s="69">
        <f t="shared" si="20"/>
        <v>4.0449438202247189E-2</v>
      </c>
      <c r="R229" s="69">
        <f t="shared" si="20"/>
        <v>0.61111111111111116</v>
      </c>
      <c r="S229" s="7"/>
      <c r="T229" s="7"/>
      <c r="U229" s="7"/>
      <c r="V229" s="7"/>
      <c r="W229" s="7"/>
    </row>
    <row r="230" spans="1:23" ht="16.8">
      <c r="A230" s="6">
        <v>46142</v>
      </c>
      <c r="B230" s="7" t="s">
        <v>552</v>
      </c>
      <c r="C230" s="62">
        <v>0.96875</v>
      </c>
      <c r="D230" s="7" t="s">
        <v>1089</v>
      </c>
      <c r="E230" s="7" t="s">
        <v>253</v>
      </c>
      <c r="F230" s="7" t="s">
        <v>412</v>
      </c>
      <c r="G230" s="7" t="s">
        <v>85</v>
      </c>
      <c r="H230" s="52" t="s">
        <v>210</v>
      </c>
      <c r="I230" s="47"/>
      <c r="J230" s="7" t="s">
        <v>35</v>
      </c>
      <c r="K230" s="52" t="s">
        <v>210</v>
      </c>
      <c r="L230" s="7">
        <v>1114</v>
      </c>
      <c r="M230" s="7">
        <v>30</v>
      </c>
      <c r="N230" s="7">
        <v>9</v>
      </c>
      <c r="O230" s="7">
        <v>0</v>
      </c>
      <c r="P230" s="7">
        <v>0</v>
      </c>
      <c r="Q230" s="69">
        <f t="shared" si="20"/>
        <v>2.6929982046678635E-2</v>
      </c>
      <c r="R230" s="69">
        <f t="shared" si="20"/>
        <v>0.3</v>
      </c>
      <c r="S230" s="7"/>
      <c r="T230" s="7"/>
      <c r="U230" s="7"/>
      <c r="V230" s="7"/>
      <c r="W230" s="7"/>
    </row>
    <row r="231" spans="1:23" ht="16.8">
      <c r="A231" s="6">
        <v>46142</v>
      </c>
      <c r="B231" s="7" t="s">
        <v>552</v>
      </c>
      <c r="C231" s="91" t="s">
        <v>999</v>
      </c>
      <c r="D231" s="7" t="s">
        <v>1090</v>
      </c>
      <c r="E231" s="7" t="s">
        <v>253</v>
      </c>
      <c r="F231" t="s">
        <v>1085</v>
      </c>
      <c r="G231" s="7" t="s">
        <v>85</v>
      </c>
      <c r="H231" s="52" t="s">
        <v>210</v>
      </c>
      <c r="I231" s="98"/>
      <c r="J231" s="7" t="s">
        <v>35</v>
      </c>
      <c r="K231" s="52" t="s">
        <v>210</v>
      </c>
      <c r="L231" s="86">
        <v>1121</v>
      </c>
      <c r="M231" s="86">
        <v>33</v>
      </c>
      <c r="N231" s="86">
        <v>11</v>
      </c>
      <c r="O231" s="86">
        <v>0</v>
      </c>
      <c r="P231" s="86">
        <v>0</v>
      </c>
      <c r="Q231" s="69">
        <f t="shared" si="20"/>
        <v>2.9438001784121322E-2</v>
      </c>
      <c r="R231" s="69">
        <f t="shared" si="20"/>
        <v>0.33333333333333331</v>
      </c>
      <c r="S231" s="86"/>
      <c r="T231" s="86"/>
      <c r="U231" s="86"/>
      <c r="V231" s="86"/>
      <c r="W231" s="87"/>
    </row>
    <row r="232" spans="1:23" ht="6.6" customHeight="1">
      <c r="A232" s="22"/>
      <c r="B232" s="23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5"/>
      <c r="R232" s="25"/>
      <c r="S232" s="24"/>
      <c r="T232" s="24"/>
      <c r="U232" s="24"/>
      <c r="V232" s="25"/>
      <c r="W232" s="26"/>
    </row>
    <row r="233" spans="1:23">
      <c r="A233" s="6">
        <v>46143</v>
      </c>
      <c r="B233" s="7" t="s">
        <v>553</v>
      </c>
      <c r="C233" s="18" t="s">
        <v>591</v>
      </c>
      <c r="D233" s="18" t="s">
        <v>108</v>
      </c>
      <c r="E233" s="18" t="s">
        <v>35</v>
      </c>
      <c r="F233" s="18" t="s">
        <v>115</v>
      </c>
      <c r="G233" s="18"/>
      <c r="H233" s="18" t="s">
        <v>106</v>
      </c>
      <c r="I233" s="14"/>
      <c r="J233" s="18" t="s">
        <v>35</v>
      </c>
      <c r="K233" s="18" t="s">
        <v>106</v>
      </c>
      <c r="L233" s="7">
        <v>967</v>
      </c>
      <c r="M233" s="7">
        <v>48</v>
      </c>
      <c r="N233" s="7">
        <v>5</v>
      </c>
      <c r="O233" s="7">
        <v>0</v>
      </c>
      <c r="P233" s="7">
        <v>0</v>
      </c>
      <c r="Q233" s="69">
        <f t="shared" ref="Q233:R256" si="21">M233/L233</f>
        <v>4.963805584281282E-2</v>
      </c>
      <c r="R233" s="69">
        <f t="shared" si="21"/>
        <v>0.10416666666666667</v>
      </c>
      <c r="S233" s="7"/>
      <c r="T233" s="7"/>
      <c r="U233" s="7"/>
      <c r="V233" s="7"/>
      <c r="W233" s="7"/>
    </row>
    <row r="234" spans="1:23">
      <c r="A234" s="6">
        <v>46143</v>
      </c>
      <c r="B234" s="7" t="s">
        <v>553</v>
      </c>
      <c r="C234" s="18" t="s">
        <v>592</v>
      </c>
      <c r="D234" s="18" t="s">
        <v>587</v>
      </c>
      <c r="E234" s="18" t="s">
        <v>35</v>
      </c>
      <c r="F234" s="18" t="s">
        <v>588</v>
      </c>
      <c r="G234" s="18"/>
      <c r="H234" s="18" t="s">
        <v>106</v>
      </c>
      <c r="I234" s="29"/>
      <c r="J234" s="18" t="s">
        <v>35</v>
      </c>
      <c r="K234" s="18" t="s">
        <v>106</v>
      </c>
      <c r="L234" s="7"/>
      <c r="M234" s="7"/>
      <c r="N234" s="7"/>
      <c r="O234" s="7"/>
      <c r="P234" s="7"/>
      <c r="Q234" s="69" t="e">
        <f t="shared" si="21"/>
        <v>#DIV/0!</v>
      </c>
      <c r="R234" s="69" t="e">
        <f t="shared" si="21"/>
        <v>#DIV/0!</v>
      </c>
      <c r="S234" s="7"/>
      <c r="T234" s="7"/>
      <c r="U234" s="7"/>
      <c r="V234" s="7"/>
      <c r="W234" s="7"/>
    </row>
    <row r="235" spans="1:23">
      <c r="A235" s="6">
        <v>46143</v>
      </c>
      <c r="B235" s="7" t="s">
        <v>553</v>
      </c>
      <c r="C235" s="18"/>
      <c r="D235" s="18" t="s">
        <v>155</v>
      </c>
      <c r="E235" s="18" t="s">
        <v>35</v>
      </c>
      <c r="F235" s="18" t="s">
        <v>156</v>
      </c>
      <c r="G235" s="18"/>
      <c r="H235" s="18" t="s">
        <v>157</v>
      </c>
      <c r="I235" s="30"/>
      <c r="J235" s="18" t="s">
        <v>35</v>
      </c>
      <c r="K235" s="18" t="s">
        <v>157</v>
      </c>
      <c r="L235" s="7">
        <v>856</v>
      </c>
      <c r="M235" s="7">
        <v>272</v>
      </c>
      <c r="N235" s="7">
        <v>63</v>
      </c>
      <c r="O235" s="7">
        <v>6</v>
      </c>
      <c r="P235" s="7">
        <v>0</v>
      </c>
      <c r="Q235" s="69">
        <f t="shared" si="21"/>
        <v>0.31775700934579437</v>
      </c>
      <c r="R235" s="69">
        <f t="shared" si="21"/>
        <v>0.23161764705882354</v>
      </c>
      <c r="S235" s="7"/>
      <c r="T235" s="7"/>
      <c r="U235" s="7"/>
      <c r="V235" s="7"/>
      <c r="W235" s="7"/>
    </row>
    <row r="236" spans="1:23">
      <c r="A236" s="6">
        <v>46143</v>
      </c>
      <c r="B236" s="7" t="s">
        <v>553</v>
      </c>
      <c r="C236" s="18"/>
      <c r="D236" s="18" t="s">
        <v>158</v>
      </c>
      <c r="E236" s="18" t="s">
        <v>35</v>
      </c>
      <c r="F236" s="18" t="s">
        <v>159</v>
      </c>
      <c r="G236" s="18"/>
      <c r="H236" s="18" t="s">
        <v>149</v>
      </c>
      <c r="I236" s="30"/>
      <c r="J236" s="18" t="s">
        <v>35</v>
      </c>
      <c r="K236" s="18" t="s">
        <v>149</v>
      </c>
      <c r="L236" s="7">
        <v>437</v>
      </c>
      <c r="M236" s="7">
        <v>130</v>
      </c>
      <c r="N236" s="7">
        <v>42</v>
      </c>
      <c r="O236" s="7">
        <v>4</v>
      </c>
      <c r="P236" s="7">
        <v>0</v>
      </c>
      <c r="Q236" s="69">
        <f t="shared" si="21"/>
        <v>0.2974828375286041</v>
      </c>
      <c r="R236" s="69">
        <f t="shared" si="21"/>
        <v>0.32307692307692309</v>
      </c>
      <c r="S236" s="7"/>
      <c r="T236" s="7"/>
      <c r="U236" s="7"/>
      <c r="V236" s="7"/>
      <c r="W236" s="7"/>
    </row>
    <row r="237" spans="1:23">
      <c r="A237" s="6">
        <v>46143</v>
      </c>
      <c r="B237" s="7" t="s">
        <v>553</v>
      </c>
      <c r="C237" s="18" t="s">
        <v>591</v>
      </c>
      <c r="D237" s="18" t="s">
        <v>189</v>
      </c>
      <c r="E237" s="18" t="s">
        <v>35</v>
      </c>
      <c r="F237" s="18"/>
      <c r="G237" s="18"/>
      <c r="H237" s="18" t="s">
        <v>186</v>
      </c>
      <c r="I237" s="30"/>
      <c r="J237" s="18" t="s">
        <v>35</v>
      </c>
      <c r="K237" s="18" t="s">
        <v>186</v>
      </c>
      <c r="L237" s="7">
        <v>1971</v>
      </c>
      <c r="M237" s="7">
        <v>14</v>
      </c>
      <c r="N237" s="7">
        <v>0</v>
      </c>
      <c r="O237" s="7">
        <v>0</v>
      </c>
      <c r="P237" s="7">
        <v>6</v>
      </c>
      <c r="Q237" s="69">
        <f t="shared" si="21"/>
        <v>7.102993404363267E-3</v>
      </c>
      <c r="R237" s="69">
        <f t="shared" si="21"/>
        <v>0</v>
      </c>
      <c r="S237" s="7"/>
      <c r="T237" s="7"/>
      <c r="U237" s="7"/>
      <c r="V237" s="7"/>
      <c r="W237" s="7"/>
    </row>
    <row r="238" spans="1:23">
      <c r="A238" s="6">
        <v>46143</v>
      </c>
      <c r="B238" s="7" t="s">
        <v>553</v>
      </c>
      <c r="C238" s="18" t="s">
        <v>592</v>
      </c>
      <c r="D238" s="18" t="s">
        <v>587</v>
      </c>
      <c r="E238" s="18" t="s">
        <v>35</v>
      </c>
      <c r="F238" s="18" t="s">
        <v>588</v>
      </c>
      <c r="G238" s="18"/>
      <c r="H238" s="18" t="s">
        <v>186</v>
      </c>
      <c r="I238" s="29"/>
      <c r="J238" s="18" t="s">
        <v>35</v>
      </c>
      <c r="K238" s="18" t="s">
        <v>186</v>
      </c>
      <c r="L238" s="7"/>
      <c r="M238" s="7"/>
      <c r="N238" s="7"/>
      <c r="O238" s="7"/>
      <c r="P238" s="7"/>
      <c r="Q238" s="69" t="e">
        <f t="shared" si="21"/>
        <v>#DIV/0!</v>
      </c>
      <c r="R238" s="69" t="e">
        <f t="shared" si="21"/>
        <v>#DIV/0!</v>
      </c>
      <c r="S238" s="7"/>
      <c r="T238" s="7"/>
      <c r="U238" s="7"/>
      <c r="V238" s="7"/>
      <c r="W238" s="7"/>
    </row>
    <row r="239" spans="1:23">
      <c r="A239" s="6">
        <v>46143</v>
      </c>
      <c r="B239" s="7" t="s">
        <v>553</v>
      </c>
      <c r="C239" s="18" t="s">
        <v>589</v>
      </c>
      <c r="D239" s="18" t="s">
        <v>1069</v>
      </c>
      <c r="E239" s="18" t="s">
        <v>253</v>
      </c>
      <c r="F239" s="21" t="s">
        <v>1070</v>
      </c>
      <c r="G239" s="18"/>
      <c r="H239" s="21" t="s">
        <v>1047</v>
      </c>
      <c r="I239" s="29"/>
      <c r="J239" s="18" t="s">
        <v>35</v>
      </c>
      <c r="K239" s="21" t="s">
        <v>1047</v>
      </c>
      <c r="L239" s="7"/>
      <c r="M239" s="7"/>
      <c r="N239" s="7"/>
      <c r="O239" s="7"/>
      <c r="P239" s="7"/>
      <c r="Q239" s="69" t="e">
        <f t="shared" si="21"/>
        <v>#DIV/0!</v>
      </c>
      <c r="R239" s="69" t="e">
        <f t="shared" si="21"/>
        <v>#DIV/0!</v>
      </c>
      <c r="S239" s="7"/>
      <c r="T239" s="7"/>
      <c r="U239" s="7"/>
      <c r="V239" s="7"/>
      <c r="W239" s="7"/>
    </row>
    <row r="240" spans="1:23">
      <c r="A240" s="6">
        <v>46143</v>
      </c>
      <c r="B240" s="7" t="s">
        <v>553</v>
      </c>
      <c r="C240" s="18" t="s">
        <v>589</v>
      </c>
      <c r="D240" s="18" t="s">
        <v>1071</v>
      </c>
      <c r="E240" s="18" t="s">
        <v>253</v>
      </c>
      <c r="F240" s="21" t="s">
        <v>1070</v>
      </c>
      <c r="G240" s="18"/>
      <c r="H240" s="21" t="s">
        <v>1049</v>
      </c>
      <c r="I240" s="29"/>
      <c r="J240" s="18" t="s">
        <v>35</v>
      </c>
      <c r="K240" s="21" t="s">
        <v>1049</v>
      </c>
      <c r="L240" s="7">
        <v>568</v>
      </c>
      <c r="M240" s="7">
        <v>6</v>
      </c>
      <c r="N240" s="7">
        <v>3</v>
      </c>
      <c r="O240" s="7">
        <v>0</v>
      </c>
      <c r="P240" s="7">
        <v>2</v>
      </c>
      <c r="Q240" s="69">
        <f t="shared" si="21"/>
        <v>1.0563380281690141E-2</v>
      </c>
      <c r="R240" s="69">
        <f t="shared" si="21"/>
        <v>0.5</v>
      </c>
      <c r="S240" s="7"/>
      <c r="T240" s="7"/>
      <c r="U240" s="7"/>
      <c r="V240" s="7"/>
      <c r="W240" s="7"/>
    </row>
    <row r="241" spans="1:33">
      <c r="A241" s="6">
        <v>46143</v>
      </c>
      <c r="B241" s="7" t="s">
        <v>553</v>
      </c>
      <c r="C241" s="18" t="s">
        <v>589</v>
      </c>
      <c r="D241" s="18" t="s">
        <v>1072</v>
      </c>
      <c r="E241" s="18" t="s">
        <v>253</v>
      </c>
      <c r="F241" s="21" t="s">
        <v>1073</v>
      </c>
      <c r="G241" s="18"/>
      <c r="H241" s="18" t="s">
        <v>149</v>
      </c>
      <c r="I241" s="29"/>
      <c r="J241" s="18" t="s">
        <v>35</v>
      </c>
      <c r="K241" s="18" t="s">
        <v>149</v>
      </c>
      <c r="L241" s="7">
        <v>437</v>
      </c>
      <c r="M241" s="7">
        <v>158</v>
      </c>
      <c r="N241" s="7">
        <v>66</v>
      </c>
      <c r="O241" s="7">
        <v>2</v>
      </c>
      <c r="P241" s="7">
        <v>0</v>
      </c>
      <c r="Q241" s="69">
        <f t="shared" si="21"/>
        <v>0.36155606407322655</v>
      </c>
      <c r="R241" s="69">
        <f t="shared" si="21"/>
        <v>0.41772151898734178</v>
      </c>
      <c r="S241" s="7"/>
      <c r="T241" s="7"/>
      <c r="U241" s="7"/>
      <c r="V241" s="7"/>
      <c r="W241" s="7"/>
      <c r="AE241" s="7">
        <v>1500</v>
      </c>
      <c r="AF241" s="7">
        <v>1246</v>
      </c>
      <c r="AG241" s="7">
        <v>295</v>
      </c>
    </row>
    <row r="242" spans="1:33">
      <c r="A242" s="6">
        <v>46143</v>
      </c>
      <c r="B242" s="7" t="s">
        <v>553</v>
      </c>
      <c r="C242" s="7"/>
      <c r="D242" s="7" t="s">
        <v>1325</v>
      </c>
      <c r="E242" s="7" t="s">
        <v>253</v>
      </c>
      <c r="F242" s="7"/>
      <c r="G242" s="7"/>
      <c r="H242" s="7" t="s">
        <v>170</v>
      </c>
      <c r="I242" s="14"/>
      <c r="J242" s="7" t="s">
        <v>35</v>
      </c>
      <c r="K242" s="7" t="s">
        <v>170</v>
      </c>
      <c r="L242" s="7">
        <v>1500</v>
      </c>
      <c r="M242" s="7">
        <v>1246</v>
      </c>
      <c r="N242" s="7">
        <v>295</v>
      </c>
      <c r="O242" s="7">
        <v>0</v>
      </c>
      <c r="P242" s="7">
        <v>0</v>
      </c>
      <c r="Q242" s="69">
        <f t="shared" si="21"/>
        <v>0.83066666666666666</v>
      </c>
      <c r="R242" s="69">
        <f t="shared" si="21"/>
        <v>0.23675762439807382</v>
      </c>
      <c r="S242" s="7"/>
      <c r="T242" s="7"/>
      <c r="U242" s="7"/>
      <c r="V242" s="7"/>
      <c r="W242" s="7"/>
      <c r="AE242" s="7">
        <v>1500</v>
      </c>
      <c r="AF242" s="7">
        <v>1247</v>
      </c>
      <c r="AG242" s="7">
        <v>791</v>
      </c>
    </row>
    <row r="243" spans="1:33">
      <c r="A243" s="6">
        <v>46143</v>
      </c>
      <c r="B243" s="7" t="s">
        <v>553</v>
      </c>
      <c r="C243" s="7"/>
      <c r="D243" s="100" t="s">
        <v>1326</v>
      </c>
      <c r="E243" s="7" t="s">
        <v>253</v>
      </c>
      <c r="F243" s="7"/>
      <c r="G243" s="7"/>
      <c r="H243" s="7" t="s">
        <v>170</v>
      </c>
      <c r="I243" s="84"/>
      <c r="J243" s="7" t="s">
        <v>35</v>
      </c>
      <c r="K243" s="7" t="s">
        <v>170</v>
      </c>
      <c r="L243" s="7">
        <v>1500</v>
      </c>
      <c r="M243" s="7">
        <v>1247</v>
      </c>
      <c r="N243" s="7">
        <v>791</v>
      </c>
      <c r="O243" s="7">
        <v>0</v>
      </c>
      <c r="P243" s="7">
        <v>0</v>
      </c>
      <c r="Q243" s="69">
        <f t="shared" si="21"/>
        <v>0.83133333333333337</v>
      </c>
      <c r="R243" s="69">
        <f t="shared" si="21"/>
        <v>0.6343223736968725</v>
      </c>
      <c r="S243" s="7"/>
      <c r="T243" s="7"/>
      <c r="U243" s="7"/>
      <c r="V243" s="7"/>
      <c r="W243" s="7"/>
      <c r="AE243" s="7">
        <v>1500</v>
      </c>
      <c r="AF243" s="7">
        <v>1246</v>
      </c>
      <c r="AG243" s="7">
        <v>359</v>
      </c>
    </row>
    <row r="244" spans="1:33">
      <c r="A244" s="6">
        <v>46143</v>
      </c>
      <c r="B244" s="7" t="s">
        <v>553</v>
      </c>
      <c r="C244" s="7"/>
      <c r="D244" s="100" t="s">
        <v>1327</v>
      </c>
      <c r="E244" s="7" t="s">
        <v>253</v>
      </c>
      <c r="F244" s="7"/>
      <c r="G244" s="7"/>
      <c r="H244" s="7" t="s">
        <v>170</v>
      </c>
      <c r="I244" s="84"/>
      <c r="J244" s="7" t="s">
        <v>35</v>
      </c>
      <c r="K244" s="7" t="s">
        <v>170</v>
      </c>
      <c r="L244" s="7">
        <v>1500</v>
      </c>
      <c r="M244" s="7">
        <v>1246</v>
      </c>
      <c r="N244" s="7">
        <v>359</v>
      </c>
      <c r="O244" s="7">
        <v>0</v>
      </c>
      <c r="P244" s="7">
        <v>0</v>
      </c>
      <c r="Q244" s="69">
        <f t="shared" si="21"/>
        <v>0.83066666666666666</v>
      </c>
      <c r="R244" s="69">
        <f t="shared" si="21"/>
        <v>0.2881219903691814</v>
      </c>
      <c r="S244" s="7"/>
      <c r="T244" s="7"/>
      <c r="U244" s="7"/>
      <c r="V244" s="7"/>
      <c r="W244" s="7"/>
      <c r="AE244" s="7">
        <v>1500</v>
      </c>
      <c r="AF244" s="7">
        <v>1246</v>
      </c>
      <c r="AG244" s="7">
        <v>270</v>
      </c>
    </row>
    <row r="245" spans="1:33">
      <c r="A245" s="6">
        <v>46143</v>
      </c>
      <c r="B245" s="7" t="s">
        <v>553</v>
      </c>
      <c r="C245" s="7"/>
      <c r="D245" s="100" t="s">
        <v>1328</v>
      </c>
      <c r="E245" s="7" t="s">
        <v>253</v>
      </c>
      <c r="F245" s="7"/>
      <c r="G245" s="7"/>
      <c r="H245" s="7" t="s">
        <v>170</v>
      </c>
      <c r="I245" s="84"/>
      <c r="J245" s="7" t="s">
        <v>35</v>
      </c>
      <c r="K245" s="7" t="s">
        <v>170</v>
      </c>
      <c r="L245" s="7">
        <v>1500</v>
      </c>
      <c r="M245" s="7">
        <v>1246</v>
      </c>
      <c r="N245" s="7">
        <v>270</v>
      </c>
      <c r="O245" s="7">
        <v>0</v>
      </c>
      <c r="P245" s="7">
        <v>0</v>
      </c>
      <c r="Q245" s="69">
        <f t="shared" si="21"/>
        <v>0.83066666666666666</v>
      </c>
      <c r="R245" s="69">
        <f t="shared" si="21"/>
        <v>0.21669341894060995</v>
      </c>
      <c r="S245" s="7"/>
      <c r="T245" s="7"/>
      <c r="U245" s="7"/>
      <c r="V245" s="7"/>
      <c r="W245" s="7"/>
      <c r="AE245">
        <f>SUM(AE241:AE244)</f>
        <v>6000</v>
      </c>
      <c r="AF245">
        <f>SUM(AF241:AF244)</f>
        <v>4985</v>
      </c>
      <c r="AG245">
        <f>SUM(AG241:AG244)</f>
        <v>1715</v>
      </c>
    </row>
    <row r="246" spans="1:33">
      <c r="A246" s="6">
        <v>46143</v>
      </c>
      <c r="B246" s="7" t="s">
        <v>553</v>
      </c>
      <c r="C246" s="7"/>
      <c r="D246" s="7" t="s">
        <v>1329</v>
      </c>
      <c r="E246" s="7" t="s">
        <v>253</v>
      </c>
      <c r="F246" s="7"/>
      <c r="G246" s="7"/>
      <c r="H246" t="s">
        <v>982</v>
      </c>
      <c r="I246" s="14"/>
      <c r="J246" s="7" t="s">
        <v>35</v>
      </c>
      <c r="K246" s="7" t="s">
        <v>171</v>
      </c>
      <c r="L246" s="7">
        <v>316</v>
      </c>
      <c r="M246" s="7">
        <v>288</v>
      </c>
      <c r="N246" s="7">
        <v>188</v>
      </c>
      <c r="O246" s="7">
        <v>0</v>
      </c>
      <c r="P246" s="7">
        <v>0</v>
      </c>
      <c r="Q246" s="69">
        <f t="shared" si="21"/>
        <v>0.91139240506329111</v>
      </c>
      <c r="R246" s="69">
        <f t="shared" si="21"/>
        <v>0.65277777777777779</v>
      </c>
      <c r="S246" s="7"/>
      <c r="T246" s="7"/>
      <c r="U246" s="7"/>
      <c r="V246" s="7"/>
      <c r="W246" s="7"/>
    </row>
    <row r="247" spans="1:33">
      <c r="A247" s="6">
        <v>46143</v>
      </c>
      <c r="B247" s="7" t="s">
        <v>553</v>
      </c>
      <c r="C247" s="7"/>
      <c r="D247" s="7" t="s">
        <v>1330</v>
      </c>
      <c r="E247" s="7" t="s">
        <v>253</v>
      </c>
      <c r="F247" s="7"/>
      <c r="G247" s="7"/>
      <c r="H247" t="s">
        <v>982</v>
      </c>
      <c r="I247" s="14"/>
      <c r="J247" s="7" t="s">
        <v>35</v>
      </c>
      <c r="K247" s="7" t="s">
        <v>171</v>
      </c>
      <c r="L247" s="7">
        <v>316</v>
      </c>
      <c r="M247" s="7">
        <v>287</v>
      </c>
      <c r="N247" s="7">
        <v>185</v>
      </c>
      <c r="O247" s="7">
        <v>0</v>
      </c>
      <c r="P247" s="7">
        <v>0</v>
      </c>
      <c r="Q247" s="69">
        <f t="shared" si="21"/>
        <v>0.90822784810126578</v>
      </c>
      <c r="R247" s="69">
        <f t="shared" si="21"/>
        <v>0.64459930313588854</v>
      </c>
      <c r="S247" s="7"/>
      <c r="T247" s="7"/>
      <c r="U247" s="7"/>
      <c r="V247" s="7"/>
      <c r="W247" s="7"/>
      <c r="X247" s="7">
        <v>901</v>
      </c>
      <c r="Y247" s="7">
        <v>211</v>
      </c>
      <c r="Z247" s="7">
        <v>36</v>
      </c>
      <c r="AA247" s="7">
        <v>913</v>
      </c>
      <c r="AB247" s="7">
        <v>307</v>
      </c>
      <c r="AC247" s="7">
        <v>194</v>
      </c>
    </row>
    <row r="248" spans="1:33">
      <c r="A248" s="6">
        <v>46143</v>
      </c>
      <c r="B248" s="7" t="s">
        <v>553</v>
      </c>
      <c r="C248" s="7"/>
      <c r="D248" s="7" t="s">
        <v>1331</v>
      </c>
      <c r="E248" s="7"/>
      <c r="F248" s="7"/>
      <c r="G248" s="7"/>
      <c r="H248" t="s">
        <v>982</v>
      </c>
      <c r="I248" s="14"/>
      <c r="J248" s="7" t="s">
        <v>35</v>
      </c>
      <c r="K248" s="7" t="s">
        <v>171</v>
      </c>
      <c r="L248" s="7">
        <v>316</v>
      </c>
      <c r="M248" s="7">
        <v>286</v>
      </c>
      <c r="N248" s="7">
        <v>191</v>
      </c>
      <c r="O248" s="7">
        <v>0</v>
      </c>
      <c r="P248" s="7">
        <v>0</v>
      </c>
      <c r="Q248" s="69">
        <f t="shared" si="21"/>
        <v>0.90506329113924056</v>
      </c>
      <c r="R248" s="69">
        <f t="shared" si="21"/>
        <v>0.66783216783216781</v>
      </c>
      <c r="S248" s="7"/>
      <c r="T248" s="7"/>
      <c r="U248" s="7"/>
      <c r="V248" s="7"/>
      <c r="W248" s="7"/>
      <c r="X248" s="7">
        <v>904</v>
      </c>
      <c r="Y248" s="7">
        <v>68</v>
      </c>
      <c r="Z248" s="7">
        <v>15</v>
      </c>
      <c r="AA248" s="7">
        <v>1715</v>
      </c>
      <c r="AB248" s="7">
        <v>494</v>
      </c>
      <c r="AC248" s="7">
        <v>395</v>
      </c>
    </row>
    <row r="249" spans="1:33">
      <c r="A249" s="6">
        <v>46143</v>
      </c>
      <c r="B249" s="7" t="s">
        <v>553</v>
      </c>
      <c r="C249" s="62">
        <v>0.85416666666666663</v>
      </c>
      <c r="D249" s="7" t="s">
        <v>1332</v>
      </c>
      <c r="E249" s="7" t="s">
        <v>253</v>
      </c>
      <c r="F249" s="7" t="s">
        <v>161</v>
      </c>
      <c r="G249" s="7" t="s">
        <v>85</v>
      </c>
      <c r="H249" s="7" t="s">
        <v>149</v>
      </c>
      <c r="I249" s="14"/>
      <c r="J249" s="7" t="s">
        <v>35</v>
      </c>
      <c r="K249" s="7" t="s">
        <v>149</v>
      </c>
      <c r="L249" s="7">
        <v>901</v>
      </c>
      <c r="M249" s="7">
        <v>211</v>
      </c>
      <c r="N249" s="7">
        <v>36</v>
      </c>
      <c r="O249" s="7">
        <v>3</v>
      </c>
      <c r="P249" s="7">
        <v>0</v>
      </c>
      <c r="Q249" s="69">
        <f t="shared" si="21"/>
        <v>0.23418423973362931</v>
      </c>
      <c r="R249" s="69">
        <f t="shared" si="21"/>
        <v>0.17061611374407584</v>
      </c>
      <c r="S249" s="7"/>
      <c r="T249" s="7"/>
      <c r="U249" s="7"/>
      <c r="V249" s="7"/>
      <c r="W249" s="7"/>
      <c r="X249" s="7">
        <v>1730</v>
      </c>
      <c r="Y249" s="7">
        <v>294</v>
      </c>
      <c r="Z249" s="7">
        <v>47</v>
      </c>
      <c r="AA249" s="86">
        <v>1721</v>
      </c>
      <c r="AB249" s="86">
        <v>493</v>
      </c>
      <c r="AC249" s="86">
        <v>353</v>
      </c>
    </row>
    <row r="250" spans="1:33">
      <c r="A250" s="6">
        <v>46143</v>
      </c>
      <c r="B250" s="7" t="s">
        <v>553</v>
      </c>
      <c r="C250" s="62" t="s">
        <v>1131</v>
      </c>
      <c r="D250" s="77" t="s">
        <v>1333</v>
      </c>
      <c r="E250" s="7" t="s">
        <v>253</v>
      </c>
      <c r="F250" s="77" t="s">
        <v>436</v>
      </c>
      <c r="G250" s="7" t="s">
        <v>85</v>
      </c>
      <c r="H250" s="7" t="s">
        <v>149</v>
      </c>
      <c r="I250" s="14"/>
      <c r="J250" s="7" t="s">
        <v>35</v>
      </c>
      <c r="K250" s="7" t="s">
        <v>149</v>
      </c>
      <c r="L250" s="7">
        <v>904</v>
      </c>
      <c r="M250" s="7">
        <v>68</v>
      </c>
      <c r="N250" s="7">
        <v>15</v>
      </c>
      <c r="O250" s="7">
        <v>3</v>
      </c>
      <c r="P250" s="7">
        <v>3</v>
      </c>
      <c r="Q250" s="69">
        <f t="shared" si="21"/>
        <v>7.5221238938053103E-2</v>
      </c>
      <c r="R250" s="69">
        <f t="shared" si="21"/>
        <v>0.22058823529411764</v>
      </c>
      <c r="S250" s="7"/>
      <c r="T250" s="7"/>
      <c r="U250" s="7"/>
      <c r="V250" s="7"/>
      <c r="W250" s="7"/>
      <c r="X250" s="7">
        <v>1758</v>
      </c>
      <c r="Y250" s="7">
        <v>225</v>
      </c>
      <c r="Z250" s="7">
        <v>27</v>
      </c>
      <c r="AA250">
        <f>SUM(AA247:AA249)</f>
        <v>4349</v>
      </c>
      <c r="AB250">
        <f>SUM(AB247:AB249)</f>
        <v>1294</v>
      </c>
      <c r="AC250">
        <f>SUM(AC247:AC249)</f>
        <v>942</v>
      </c>
    </row>
    <row r="251" spans="1:33" ht="16.8">
      <c r="A251" s="6">
        <v>46143</v>
      </c>
      <c r="B251" s="7" t="s">
        <v>553</v>
      </c>
      <c r="C251" s="62">
        <v>0.875</v>
      </c>
      <c r="D251" s="7" t="s">
        <v>1334</v>
      </c>
      <c r="E251" s="7" t="s">
        <v>253</v>
      </c>
      <c r="F251" s="7" t="s">
        <v>247</v>
      </c>
      <c r="G251" s="7" t="s">
        <v>85</v>
      </c>
      <c r="H251" s="52" t="s">
        <v>157</v>
      </c>
      <c r="I251" s="14" t="s">
        <v>934</v>
      </c>
      <c r="J251" s="7" t="s">
        <v>35</v>
      </c>
      <c r="K251" s="52" t="s">
        <v>157</v>
      </c>
      <c r="L251" s="7">
        <v>1730</v>
      </c>
      <c r="M251" s="7">
        <v>294</v>
      </c>
      <c r="N251" s="7">
        <v>47</v>
      </c>
      <c r="O251" s="7">
        <v>1</v>
      </c>
      <c r="P251" s="7">
        <v>2</v>
      </c>
      <c r="Q251" s="69">
        <f t="shared" si="21"/>
        <v>0.16994219653179191</v>
      </c>
      <c r="R251" s="69">
        <f t="shared" si="21"/>
        <v>0.1598639455782313</v>
      </c>
      <c r="S251" s="7"/>
      <c r="T251" s="7"/>
      <c r="U251" s="7"/>
      <c r="V251" s="7"/>
      <c r="W251" s="7"/>
      <c r="X251" s="7">
        <v>405</v>
      </c>
      <c r="Y251" s="7">
        <v>45</v>
      </c>
      <c r="Z251" s="7">
        <v>11</v>
      </c>
    </row>
    <row r="252" spans="1:33" ht="16.8">
      <c r="A252" s="6">
        <v>46143</v>
      </c>
      <c r="B252" s="7" t="s">
        <v>553</v>
      </c>
      <c r="C252" s="62">
        <v>0.98958333333333337</v>
      </c>
      <c r="D252" s="99" t="s">
        <v>1335</v>
      </c>
      <c r="E252" s="7" t="s">
        <v>253</v>
      </c>
      <c r="F252" s="77" t="s">
        <v>438</v>
      </c>
      <c r="G252" s="7" t="s">
        <v>85</v>
      </c>
      <c r="H252" s="52" t="s">
        <v>157</v>
      </c>
      <c r="I252" s="14"/>
      <c r="J252" s="7" t="s">
        <v>35</v>
      </c>
      <c r="K252" s="52" t="s">
        <v>157</v>
      </c>
      <c r="L252" s="7">
        <v>1758</v>
      </c>
      <c r="M252" s="7">
        <v>225</v>
      </c>
      <c r="N252" s="7">
        <v>27</v>
      </c>
      <c r="O252" s="7">
        <v>2</v>
      </c>
      <c r="P252" s="7">
        <v>1</v>
      </c>
      <c r="Q252" s="69">
        <f t="shared" si="21"/>
        <v>0.12798634812286688</v>
      </c>
      <c r="R252" s="69">
        <f t="shared" si="21"/>
        <v>0.12</v>
      </c>
      <c r="S252" s="7"/>
      <c r="T252" s="7"/>
      <c r="U252" s="7"/>
      <c r="V252" s="7"/>
      <c r="W252" s="7"/>
      <c r="X252">
        <f>SUM(X247:X251)</f>
        <v>5698</v>
      </c>
      <c r="Y252">
        <f>SUM(Y247:Y251)</f>
        <v>843</v>
      </c>
      <c r="Z252">
        <f>SUM(Z247:Z251)</f>
        <v>136</v>
      </c>
    </row>
    <row r="253" spans="1:33" ht="16.8">
      <c r="A253" s="6">
        <v>46143</v>
      </c>
      <c r="B253" s="7" t="s">
        <v>553</v>
      </c>
      <c r="C253" s="62">
        <v>0.97916666666666663</v>
      </c>
      <c r="D253" s="7" t="s">
        <v>1336</v>
      </c>
      <c r="E253" s="31" t="s">
        <v>253</v>
      </c>
      <c r="F253" s="31" t="s">
        <v>342</v>
      </c>
      <c r="G253" s="7" t="s">
        <v>85</v>
      </c>
      <c r="H253" s="52" t="s">
        <v>420</v>
      </c>
      <c r="I253" s="14"/>
      <c r="J253" s="7" t="s">
        <v>35</v>
      </c>
      <c r="K253" s="52" t="s">
        <v>420</v>
      </c>
      <c r="L253" s="7">
        <v>405</v>
      </c>
      <c r="M253" s="7">
        <v>45</v>
      </c>
      <c r="N253" s="7">
        <v>11</v>
      </c>
      <c r="O253" s="7">
        <v>0</v>
      </c>
      <c r="P253" s="7">
        <v>0</v>
      </c>
      <c r="Q253" s="69">
        <f t="shared" si="21"/>
        <v>0.1111111111111111</v>
      </c>
      <c r="R253" s="69">
        <f t="shared" si="21"/>
        <v>0.24444444444444444</v>
      </c>
      <c r="S253" s="7"/>
      <c r="T253" s="7"/>
      <c r="U253" s="7"/>
      <c r="V253" s="7"/>
      <c r="W253" s="7"/>
    </row>
    <row r="254" spans="1:33">
      <c r="A254" s="6">
        <v>46143</v>
      </c>
      <c r="B254" s="7" t="s">
        <v>553</v>
      </c>
      <c r="C254" s="62">
        <v>0.91666666666666663</v>
      </c>
      <c r="D254" s="7" t="s">
        <v>1337</v>
      </c>
      <c r="E254" s="7" t="s">
        <v>253</v>
      </c>
      <c r="F254" s="7" t="s">
        <v>161</v>
      </c>
      <c r="G254" s="7" t="s">
        <v>85</v>
      </c>
      <c r="H254" s="7" t="s">
        <v>121</v>
      </c>
      <c r="I254" s="47"/>
      <c r="J254" s="7" t="s">
        <v>35</v>
      </c>
      <c r="K254" s="7" t="s">
        <v>121</v>
      </c>
      <c r="L254" s="7">
        <v>913</v>
      </c>
      <c r="M254" s="7">
        <v>307</v>
      </c>
      <c r="N254" s="7">
        <v>194</v>
      </c>
      <c r="O254" s="7">
        <v>0</v>
      </c>
      <c r="P254" s="7">
        <v>0</v>
      </c>
      <c r="Q254" s="69">
        <f t="shared" si="21"/>
        <v>0.33625410733844469</v>
      </c>
      <c r="R254" s="69">
        <f t="shared" si="21"/>
        <v>0.63192182410423448</v>
      </c>
      <c r="S254" s="7"/>
      <c r="T254" s="7"/>
      <c r="U254" s="7"/>
      <c r="V254" s="7"/>
      <c r="W254" s="7"/>
    </row>
    <row r="255" spans="1:33" ht="16.8">
      <c r="A255" s="6">
        <v>46143</v>
      </c>
      <c r="B255" s="7" t="s">
        <v>553</v>
      </c>
      <c r="C255" s="62">
        <v>0.96875</v>
      </c>
      <c r="D255" s="7" t="s">
        <v>1338</v>
      </c>
      <c r="E255" s="7" t="s">
        <v>253</v>
      </c>
      <c r="F255" s="7" t="s">
        <v>247</v>
      </c>
      <c r="G255" s="7" t="s">
        <v>85</v>
      </c>
      <c r="H255" s="52" t="s">
        <v>210</v>
      </c>
      <c r="I255" s="47"/>
      <c r="J255" s="7" t="s">
        <v>35</v>
      </c>
      <c r="K255" s="52" t="s">
        <v>210</v>
      </c>
      <c r="L255" s="7">
        <v>1715</v>
      </c>
      <c r="M255" s="7">
        <v>494</v>
      </c>
      <c r="N255" s="7">
        <v>395</v>
      </c>
      <c r="O255" s="7">
        <v>0</v>
      </c>
      <c r="P255" s="7">
        <v>0</v>
      </c>
      <c r="Q255" s="69">
        <f t="shared" si="21"/>
        <v>0.2880466472303207</v>
      </c>
      <c r="R255" s="69">
        <f t="shared" si="21"/>
        <v>0.79959514170040491</v>
      </c>
      <c r="S255" s="7"/>
      <c r="T255" s="7"/>
      <c r="U255" s="7"/>
      <c r="V255" s="7"/>
      <c r="W255" s="7"/>
    </row>
    <row r="256" spans="1:33" ht="16.8">
      <c r="A256" s="6">
        <v>46143</v>
      </c>
      <c r="B256" s="7" t="s">
        <v>553</v>
      </c>
      <c r="C256" s="91" t="s">
        <v>999</v>
      </c>
      <c r="D256" s="31" t="s">
        <v>1339</v>
      </c>
      <c r="E256" s="7" t="s">
        <v>253</v>
      </c>
      <c r="F256" s="7" t="s">
        <v>702</v>
      </c>
      <c r="G256" s="7" t="s">
        <v>85</v>
      </c>
      <c r="H256" s="52" t="s">
        <v>210</v>
      </c>
      <c r="I256" s="98"/>
      <c r="J256" s="7" t="s">
        <v>35</v>
      </c>
      <c r="K256" s="52" t="s">
        <v>210</v>
      </c>
      <c r="L256" s="86">
        <v>1721</v>
      </c>
      <c r="M256" s="86">
        <v>493</v>
      </c>
      <c r="N256" s="86">
        <v>353</v>
      </c>
      <c r="O256" s="86">
        <v>0</v>
      </c>
      <c r="P256" s="86">
        <v>0</v>
      </c>
      <c r="Q256" s="69">
        <f t="shared" si="21"/>
        <v>0.28646135967460779</v>
      </c>
      <c r="R256" s="69">
        <f t="shared" si="21"/>
        <v>0.71602434077079102</v>
      </c>
      <c r="S256" s="86"/>
      <c r="T256" s="86"/>
      <c r="U256" s="86"/>
      <c r="V256" s="86"/>
      <c r="W256" s="87"/>
    </row>
    <row r="257" spans="1:27" ht="6.6" customHeight="1">
      <c r="A257" s="22"/>
      <c r="B257" s="23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5"/>
      <c r="R257" s="25"/>
      <c r="S257" s="24"/>
      <c r="T257" s="24"/>
      <c r="U257" s="24"/>
      <c r="V257" s="25"/>
      <c r="W257" s="26"/>
    </row>
    <row r="258" spans="1:27">
      <c r="A258" s="6">
        <v>46144</v>
      </c>
      <c r="B258" s="7" t="s">
        <v>577</v>
      </c>
      <c r="C258" s="18" t="s">
        <v>591</v>
      </c>
      <c r="D258" s="18" t="s">
        <v>108</v>
      </c>
      <c r="E258" s="18" t="s">
        <v>35</v>
      </c>
      <c r="F258" s="18" t="s">
        <v>115</v>
      </c>
      <c r="G258" s="18"/>
      <c r="H258" s="18" t="s">
        <v>106</v>
      </c>
      <c r="I258" s="14"/>
      <c r="J258" s="18" t="s">
        <v>35</v>
      </c>
      <c r="K258" s="18" t="s">
        <v>106</v>
      </c>
      <c r="L258" s="7">
        <v>904</v>
      </c>
      <c r="M258" s="7">
        <v>27</v>
      </c>
      <c r="N258" s="7">
        <v>2</v>
      </c>
      <c r="O258" s="7">
        <v>0</v>
      </c>
      <c r="P258" s="7">
        <v>5</v>
      </c>
      <c r="Q258" s="69">
        <f t="shared" ref="Q258:R283" si="22">M258/L258</f>
        <v>2.9867256637168143E-2</v>
      </c>
      <c r="R258" s="69">
        <f t="shared" si="22"/>
        <v>7.407407407407407E-2</v>
      </c>
      <c r="S258" s="7"/>
      <c r="T258" s="7"/>
      <c r="U258" s="7"/>
      <c r="V258" s="7"/>
      <c r="W258" s="7"/>
      <c r="Y258" s="7">
        <v>904</v>
      </c>
      <c r="Z258" s="7">
        <v>27</v>
      </c>
      <c r="AA258" s="7">
        <v>2</v>
      </c>
    </row>
    <row r="259" spans="1:27">
      <c r="A259" s="6">
        <v>46144</v>
      </c>
      <c r="B259" s="7" t="s">
        <v>577</v>
      </c>
      <c r="C259" s="18" t="s">
        <v>592</v>
      </c>
      <c r="D259" s="18" t="s">
        <v>587</v>
      </c>
      <c r="E259" s="18" t="s">
        <v>35</v>
      </c>
      <c r="F259" s="18" t="s">
        <v>588</v>
      </c>
      <c r="G259" s="18"/>
      <c r="H259" s="18" t="s">
        <v>106</v>
      </c>
      <c r="I259" s="29"/>
      <c r="J259" s="18" t="s">
        <v>35</v>
      </c>
      <c r="K259" s="18" t="s">
        <v>106</v>
      </c>
      <c r="L259" s="7"/>
      <c r="M259" s="7"/>
      <c r="N259" s="7"/>
      <c r="O259" s="7"/>
      <c r="P259" s="7"/>
      <c r="Q259" s="69" t="e">
        <f t="shared" si="22"/>
        <v>#DIV/0!</v>
      </c>
      <c r="R259" s="69" t="e">
        <f t="shared" si="22"/>
        <v>#DIV/0!</v>
      </c>
      <c r="S259" s="7"/>
      <c r="T259" s="7"/>
      <c r="U259" s="7"/>
      <c r="V259" s="7"/>
      <c r="W259" s="7"/>
      <c r="Y259" s="7">
        <v>380</v>
      </c>
      <c r="Z259" s="7">
        <v>77</v>
      </c>
      <c r="AA259" s="7">
        <v>20</v>
      </c>
    </row>
    <row r="260" spans="1:27">
      <c r="A260" s="6">
        <v>46144</v>
      </c>
      <c r="B260" s="7" t="s">
        <v>577</v>
      </c>
      <c r="C260" s="18"/>
      <c r="D260" s="18" t="s">
        <v>155</v>
      </c>
      <c r="E260" s="18" t="s">
        <v>35</v>
      </c>
      <c r="F260" s="18" t="s">
        <v>156</v>
      </c>
      <c r="G260" s="18"/>
      <c r="H260" s="18" t="s">
        <v>157</v>
      </c>
      <c r="I260" s="30"/>
      <c r="J260" s="18" t="s">
        <v>35</v>
      </c>
      <c r="K260" s="18" t="s">
        <v>157</v>
      </c>
      <c r="L260" s="7">
        <v>380</v>
      </c>
      <c r="M260" s="7">
        <v>77</v>
      </c>
      <c r="N260" s="7">
        <v>20</v>
      </c>
      <c r="O260" s="7">
        <v>3</v>
      </c>
      <c r="P260" s="7">
        <v>0</v>
      </c>
      <c r="Q260" s="69">
        <f t="shared" si="22"/>
        <v>0.20263157894736841</v>
      </c>
      <c r="R260" s="69">
        <f t="shared" si="22"/>
        <v>0.25974025974025972</v>
      </c>
      <c r="S260" s="7"/>
      <c r="T260" s="7"/>
      <c r="U260" s="7"/>
      <c r="V260" s="7"/>
      <c r="W260" s="7"/>
      <c r="Y260" s="7">
        <v>244</v>
      </c>
      <c r="Z260" s="7">
        <v>51</v>
      </c>
      <c r="AA260" s="7">
        <v>13</v>
      </c>
    </row>
    <row r="261" spans="1:27">
      <c r="A261" s="6">
        <v>46144</v>
      </c>
      <c r="B261" s="7" t="s">
        <v>577</v>
      </c>
      <c r="C261" s="18"/>
      <c r="D261" s="18" t="s">
        <v>158</v>
      </c>
      <c r="E261" s="18" t="s">
        <v>35</v>
      </c>
      <c r="F261" s="18" t="s">
        <v>159</v>
      </c>
      <c r="G261" s="18"/>
      <c r="H261" s="18" t="s">
        <v>149</v>
      </c>
      <c r="I261" s="30"/>
      <c r="J261" s="18" t="s">
        <v>35</v>
      </c>
      <c r="K261" s="18" t="s">
        <v>149</v>
      </c>
      <c r="L261" s="7">
        <v>244</v>
      </c>
      <c r="M261" s="7">
        <v>51</v>
      </c>
      <c r="N261" s="7">
        <v>13</v>
      </c>
      <c r="O261" s="7">
        <v>1</v>
      </c>
      <c r="P261" s="7">
        <v>0</v>
      </c>
      <c r="Q261" s="69">
        <f t="shared" si="22"/>
        <v>0.20901639344262296</v>
      </c>
      <c r="R261" s="69">
        <f t="shared" si="22"/>
        <v>0.25490196078431371</v>
      </c>
      <c r="S261" s="7"/>
      <c r="T261" s="7"/>
      <c r="U261" s="7"/>
      <c r="V261" s="7"/>
      <c r="W261" s="7"/>
      <c r="Y261" s="7">
        <v>3180</v>
      </c>
      <c r="Z261" s="7">
        <v>79</v>
      </c>
      <c r="AA261" s="7">
        <v>5</v>
      </c>
    </row>
    <row r="262" spans="1:27">
      <c r="A262" s="6">
        <v>46144</v>
      </c>
      <c r="B262" s="7" t="s">
        <v>577</v>
      </c>
      <c r="C262" s="18" t="s">
        <v>591</v>
      </c>
      <c r="D262" s="18" t="s">
        <v>189</v>
      </c>
      <c r="E262" s="18" t="s">
        <v>35</v>
      </c>
      <c r="F262" s="18"/>
      <c r="G262" s="18"/>
      <c r="H262" s="18" t="s">
        <v>186</v>
      </c>
      <c r="I262" s="30"/>
      <c r="J262" s="18" t="s">
        <v>35</v>
      </c>
      <c r="K262" s="18" t="s">
        <v>186</v>
      </c>
      <c r="L262" s="7">
        <v>1866</v>
      </c>
      <c r="M262" s="7">
        <v>7</v>
      </c>
      <c r="N262" s="7">
        <v>0</v>
      </c>
      <c r="O262" s="7">
        <v>0</v>
      </c>
      <c r="P262" s="7">
        <v>1</v>
      </c>
      <c r="Q262" s="69">
        <f t="shared" si="22"/>
        <v>3.7513397642015005E-3</v>
      </c>
      <c r="R262" s="69">
        <f t="shared" si="22"/>
        <v>0</v>
      </c>
      <c r="S262" s="7"/>
      <c r="T262" s="7"/>
      <c r="U262" s="7"/>
      <c r="V262" s="7"/>
      <c r="W262" s="7"/>
      <c r="Y262" s="7">
        <v>244</v>
      </c>
      <c r="Z262" s="7">
        <v>56</v>
      </c>
      <c r="AA262" s="7">
        <v>22</v>
      </c>
    </row>
    <row r="263" spans="1:27">
      <c r="A263" s="6">
        <v>46144</v>
      </c>
      <c r="B263" s="7" t="s">
        <v>577</v>
      </c>
      <c r="C263" s="18" t="s">
        <v>592</v>
      </c>
      <c r="D263" s="18" t="s">
        <v>587</v>
      </c>
      <c r="E263" s="18" t="s">
        <v>35</v>
      </c>
      <c r="F263" s="18" t="s">
        <v>588</v>
      </c>
      <c r="G263" s="18"/>
      <c r="H263" s="18" t="s">
        <v>186</v>
      </c>
      <c r="I263" s="29"/>
      <c r="J263" s="18" t="s">
        <v>35</v>
      </c>
      <c r="K263" s="18" t="s">
        <v>186</v>
      </c>
      <c r="L263" s="7"/>
      <c r="M263" s="7"/>
      <c r="N263" s="7"/>
      <c r="O263" s="7"/>
      <c r="P263" s="7"/>
      <c r="Q263" s="69" t="e">
        <f t="shared" si="22"/>
        <v>#DIV/0!</v>
      </c>
      <c r="R263" s="69" t="e">
        <f t="shared" si="22"/>
        <v>#DIV/0!</v>
      </c>
      <c r="S263" s="7"/>
      <c r="T263" s="7"/>
      <c r="U263" s="7"/>
      <c r="V263" s="7"/>
      <c r="W263" s="7"/>
      <c r="Y263" s="7">
        <v>1097</v>
      </c>
      <c r="Z263" s="7">
        <v>205</v>
      </c>
      <c r="AA263" s="7">
        <v>25</v>
      </c>
    </row>
    <row r="264" spans="1:27">
      <c r="A264" s="6">
        <v>46144</v>
      </c>
      <c r="B264" s="7" t="s">
        <v>577</v>
      </c>
      <c r="C264" s="18" t="s">
        <v>589</v>
      </c>
      <c r="D264" s="18" t="s">
        <v>1069</v>
      </c>
      <c r="E264" s="18" t="s">
        <v>253</v>
      </c>
      <c r="F264" s="21" t="s">
        <v>1070</v>
      </c>
      <c r="G264" s="18"/>
      <c r="H264" s="21" t="s">
        <v>1047</v>
      </c>
      <c r="I264" s="29"/>
      <c r="J264" s="18" t="s">
        <v>35</v>
      </c>
      <c r="K264" s="21" t="s">
        <v>1047</v>
      </c>
      <c r="L264" s="7">
        <v>3180</v>
      </c>
      <c r="M264" s="7">
        <v>79</v>
      </c>
      <c r="N264" s="7">
        <v>5</v>
      </c>
      <c r="O264" s="7">
        <v>1</v>
      </c>
      <c r="P264" s="7">
        <v>11</v>
      </c>
      <c r="Q264" s="69">
        <f t="shared" si="22"/>
        <v>2.4842767295597486E-2</v>
      </c>
      <c r="R264" s="69">
        <f t="shared" si="22"/>
        <v>6.3291139240506333E-2</v>
      </c>
      <c r="S264" s="7"/>
      <c r="T264" s="7"/>
      <c r="U264" s="7"/>
      <c r="V264" s="7"/>
      <c r="W264" s="7"/>
      <c r="Y264" s="7">
        <v>1104</v>
      </c>
      <c r="Z264" s="7">
        <v>179</v>
      </c>
      <c r="AA264" s="7">
        <v>25</v>
      </c>
    </row>
    <row r="265" spans="1:27">
      <c r="A265" s="6">
        <v>46144</v>
      </c>
      <c r="B265" s="7" t="s">
        <v>577</v>
      </c>
      <c r="C265" s="18" t="s">
        <v>589</v>
      </c>
      <c r="D265" s="18" t="s">
        <v>1071</v>
      </c>
      <c r="E265" s="18" t="s">
        <v>253</v>
      </c>
      <c r="F265" s="21" t="s">
        <v>1070</v>
      </c>
      <c r="G265" s="18"/>
      <c r="H265" s="21" t="s">
        <v>1049</v>
      </c>
      <c r="I265" s="29"/>
      <c r="J265" s="18" t="s">
        <v>35</v>
      </c>
      <c r="K265" s="21" t="s">
        <v>1049</v>
      </c>
      <c r="L265" s="7">
        <v>575</v>
      </c>
      <c r="M265" s="7">
        <v>6</v>
      </c>
      <c r="N265" s="7">
        <v>2</v>
      </c>
      <c r="O265" s="7">
        <v>1</v>
      </c>
      <c r="P265" s="7">
        <v>2</v>
      </c>
      <c r="Q265" s="69">
        <f t="shared" si="22"/>
        <v>1.0434782608695653E-2</v>
      </c>
      <c r="R265" s="69">
        <f t="shared" si="22"/>
        <v>0.33333333333333331</v>
      </c>
      <c r="S265" s="7"/>
      <c r="T265" s="7"/>
      <c r="U265" s="7"/>
      <c r="V265" s="7"/>
      <c r="W265" s="7"/>
      <c r="Y265" s="7">
        <v>2064</v>
      </c>
      <c r="Z265" s="7">
        <v>347</v>
      </c>
      <c r="AA265" s="7">
        <v>55</v>
      </c>
    </row>
    <row r="266" spans="1:27">
      <c r="A266" s="6">
        <v>46144</v>
      </c>
      <c r="B266" s="7" t="s">
        <v>577</v>
      </c>
      <c r="C266" s="18" t="s">
        <v>589</v>
      </c>
      <c r="D266" s="18" t="s">
        <v>1072</v>
      </c>
      <c r="E266" s="18" t="s">
        <v>253</v>
      </c>
      <c r="F266" s="21" t="s">
        <v>1073</v>
      </c>
      <c r="G266" s="18"/>
      <c r="H266" s="18" t="s">
        <v>149</v>
      </c>
      <c r="I266" s="29"/>
      <c r="J266" s="18" t="s">
        <v>35</v>
      </c>
      <c r="K266" s="18" t="s">
        <v>149</v>
      </c>
      <c r="L266" s="7">
        <v>244</v>
      </c>
      <c r="M266" s="7">
        <v>56</v>
      </c>
      <c r="N266" s="7">
        <v>22</v>
      </c>
      <c r="O266" s="7">
        <v>1</v>
      </c>
      <c r="P266" s="7">
        <v>0</v>
      </c>
      <c r="Q266" s="69">
        <f t="shared" si="22"/>
        <v>0.22950819672131148</v>
      </c>
      <c r="R266" s="69">
        <f t="shared" si="22"/>
        <v>0.39285714285714285</v>
      </c>
      <c r="S266" s="7"/>
      <c r="T266" s="7"/>
      <c r="U266" s="7"/>
      <c r="V266" s="7"/>
      <c r="W266" s="7"/>
      <c r="Y266" s="7">
        <v>1956</v>
      </c>
      <c r="Z266" s="7">
        <v>60</v>
      </c>
      <c r="AA266" s="7">
        <v>9</v>
      </c>
    </row>
    <row r="267" spans="1:27">
      <c r="A267" s="6">
        <v>46144</v>
      </c>
      <c r="B267" s="7" t="s">
        <v>577</v>
      </c>
      <c r="C267" s="7"/>
      <c r="D267" s="7" t="s">
        <v>1340</v>
      </c>
      <c r="E267" s="7" t="s">
        <v>253</v>
      </c>
      <c r="F267" s="7"/>
      <c r="G267" s="7"/>
      <c r="H267" s="7" t="s">
        <v>170</v>
      </c>
      <c r="I267" s="14"/>
      <c r="J267" s="7" t="s">
        <v>35</v>
      </c>
      <c r="K267" s="7" t="s">
        <v>170</v>
      </c>
      <c r="L267" s="7">
        <v>1500</v>
      </c>
      <c r="M267" s="7">
        <v>1257</v>
      </c>
      <c r="N267" s="7">
        <v>833</v>
      </c>
      <c r="O267" s="7">
        <v>0</v>
      </c>
      <c r="P267" s="7">
        <v>0</v>
      </c>
      <c r="Q267" s="69">
        <f t="shared" si="22"/>
        <v>0.83799999999999997</v>
      </c>
      <c r="R267" s="69">
        <f t="shared" si="22"/>
        <v>0.66268894192521877</v>
      </c>
      <c r="S267" s="7"/>
      <c r="T267" s="7"/>
      <c r="U267" s="7"/>
      <c r="V267" s="7"/>
      <c r="W267" s="7"/>
      <c r="Y267" s="7">
        <v>418</v>
      </c>
      <c r="Z267" s="7">
        <v>49</v>
      </c>
      <c r="AA267" s="7">
        <v>8</v>
      </c>
    </row>
    <row r="268" spans="1:27">
      <c r="A268" s="6">
        <v>46144</v>
      </c>
      <c r="B268" s="7" t="s">
        <v>577</v>
      </c>
      <c r="C268" s="7"/>
      <c r="D268" s="100" t="s">
        <v>1341</v>
      </c>
      <c r="E268" s="7" t="s">
        <v>253</v>
      </c>
      <c r="F268" s="7"/>
      <c r="G268" s="7"/>
      <c r="H268" s="7" t="s">
        <v>170</v>
      </c>
      <c r="I268" s="84"/>
      <c r="J268" s="7" t="s">
        <v>35</v>
      </c>
      <c r="K268" s="7" t="s">
        <v>170</v>
      </c>
      <c r="L268" s="7">
        <v>1500</v>
      </c>
      <c r="M268" s="7">
        <v>1258</v>
      </c>
      <c r="N268" s="7">
        <v>824</v>
      </c>
      <c r="O268" s="7">
        <v>0</v>
      </c>
      <c r="P268" s="7">
        <v>0</v>
      </c>
      <c r="Q268" s="69">
        <f t="shared" si="22"/>
        <v>0.83866666666666667</v>
      </c>
      <c r="R268" s="69">
        <f t="shared" si="22"/>
        <v>0.65500794912559623</v>
      </c>
      <c r="S268" s="7"/>
      <c r="T268" s="7"/>
      <c r="U268" s="7"/>
      <c r="V268" s="7"/>
      <c r="W268" s="7"/>
      <c r="Y268" s="7">
        <v>419</v>
      </c>
      <c r="Z268" s="7">
        <v>91</v>
      </c>
      <c r="AA268" s="7">
        <v>20</v>
      </c>
    </row>
    <row r="269" spans="1:27">
      <c r="A269" s="6">
        <v>46144</v>
      </c>
      <c r="B269" s="7" t="s">
        <v>577</v>
      </c>
      <c r="C269" s="7"/>
      <c r="D269" s="100" t="s">
        <v>1342</v>
      </c>
      <c r="E269" s="7" t="s">
        <v>253</v>
      </c>
      <c r="F269" s="7"/>
      <c r="G269" s="7"/>
      <c r="H269" s="7" t="s">
        <v>170</v>
      </c>
      <c r="I269" s="84"/>
      <c r="J269" s="7" t="s">
        <v>35</v>
      </c>
      <c r="K269" s="7" t="s">
        <v>170</v>
      </c>
      <c r="L269" s="7">
        <v>1500</v>
      </c>
      <c r="M269" s="7">
        <v>1259</v>
      </c>
      <c r="N269" s="7">
        <v>841</v>
      </c>
      <c r="O269" s="7">
        <v>0</v>
      </c>
      <c r="P269" s="7">
        <v>0</v>
      </c>
      <c r="Q269" s="69">
        <f t="shared" si="22"/>
        <v>0.83933333333333338</v>
      </c>
      <c r="R269" s="69">
        <f t="shared" si="22"/>
        <v>0.66799046862589362</v>
      </c>
      <c r="S269" s="7"/>
      <c r="T269" s="7"/>
      <c r="U269" s="7"/>
      <c r="V269" s="7"/>
      <c r="W269" s="7"/>
      <c r="Y269">
        <f>SUM(Y258:Y268)</f>
        <v>12010</v>
      </c>
      <c r="Z269">
        <f>SUM(Z258:Z268)</f>
        <v>1221</v>
      </c>
      <c r="AA269">
        <f>SUM(AA258:AA268)</f>
        <v>204</v>
      </c>
    </row>
    <row r="270" spans="1:27">
      <c r="A270" s="6">
        <v>46144</v>
      </c>
      <c r="B270" s="7" t="s">
        <v>577</v>
      </c>
      <c r="C270" s="7"/>
      <c r="D270" s="100" t="s">
        <v>1343</v>
      </c>
      <c r="E270" s="7" t="s">
        <v>253</v>
      </c>
      <c r="F270" s="7"/>
      <c r="G270" s="7"/>
      <c r="H270" s="7" t="s">
        <v>170</v>
      </c>
      <c r="I270" s="84"/>
      <c r="J270" s="7" t="s">
        <v>35</v>
      </c>
      <c r="K270" s="7" t="s">
        <v>170</v>
      </c>
      <c r="L270" s="7">
        <v>1500</v>
      </c>
      <c r="M270" s="7">
        <v>1256</v>
      </c>
      <c r="N270" s="7">
        <v>812</v>
      </c>
      <c r="O270" s="7">
        <v>0</v>
      </c>
      <c r="P270" s="7">
        <v>0</v>
      </c>
      <c r="Q270" s="69">
        <f t="shared" si="22"/>
        <v>0.83733333333333337</v>
      </c>
      <c r="R270" s="69">
        <f t="shared" si="22"/>
        <v>0.64649681528662417</v>
      </c>
      <c r="S270" s="7"/>
      <c r="T270" s="7"/>
      <c r="U270" s="7"/>
      <c r="V270" s="7"/>
      <c r="W270" s="7"/>
    </row>
    <row r="271" spans="1:27">
      <c r="A271" s="6">
        <v>46144</v>
      </c>
      <c r="B271" s="7" t="s">
        <v>577</v>
      </c>
      <c r="C271" s="7"/>
      <c r="D271" s="7" t="s">
        <v>1344</v>
      </c>
      <c r="E271" s="7" t="s">
        <v>253</v>
      </c>
      <c r="F271" s="7"/>
      <c r="G271" s="7"/>
      <c r="H271" t="s">
        <v>982</v>
      </c>
      <c r="I271" s="14"/>
      <c r="J271" s="7" t="s">
        <v>35</v>
      </c>
      <c r="K271" s="7" t="s">
        <v>171</v>
      </c>
      <c r="L271" s="7">
        <v>316</v>
      </c>
      <c r="M271" s="7">
        <v>285</v>
      </c>
      <c r="N271" s="7">
        <v>190</v>
      </c>
      <c r="O271" s="7">
        <v>0</v>
      </c>
      <c r="P271" s="7">
        <v>0</v>
      </c>
      <c r="Q271" s="69">
        <f t="shared" si="22"/>
        <v>0.90189873417721522</v>
      </c>
      <c r="R271" s="69">
        <f t="shared" si="22"/>
        <v>0.66666666666666663</v>
      </c>
      <c r="S271" s="7"/>
      <c r="T271" s="7"/>
      <c r="U271" s="7"/>
      <c r="V271" s="7"/>
      <c r="W271" s="7"/>
    </row>
    <row r="272" spans="1:27">
      <c r="A272" s="6">
        <v>46144</v>
      </c>
      <c r="B272" s="7" t="s">
        <v>577</v>
      </c>
      <c r="C272" s="7"/>
      <c r="D272" s="7" t="s">
        <v>1345</v>
      </c>
      <c r="E272" s="7" t="s">
        <v>253</v>
      </c>
      <c r="F272" s="7"/>
      <c r="G272" s="7"/>
      <c r="H272" t="s">
        <v>982</v>
      </c>
      <c r="I272" s="14"/>
      <c r="J272" s="7" t="s">
        <v>35</v>
      </c>
      <c r="K272" s="7" t="s">
        <v>171</v>
      </c>
      <c r="L272" s="7">
        <v>316</v>
      </c>
      <c r="M272" s="7">
        <v>283</v>
      </c>
      <c r="N272" s="7">
        <v>201</v>
      </c>
      <c r="O272" s="7">
        <v>0</v>
      </c>
      <c r="P272" s="7">
        <v>0</v>
      </c>
      <c r="Q272" s="69">
        <f t="shared" si="22"/>
        <v>0.89556962025316456</v>
      </c>
      <c r="R272" s="69">
        <f t="shared" si="22"/>
        <v>0.71024734982332161</v>
      </c>
      <c r="S272" s="7"/>
      <c r="T272" s="7"/>
      <c r="U272" s="7"/>
      <c r="V272" s="7"/>
      <c r="W272" s="7"/>
      <c r="Y272" s="7">
        <v>1866</v>
      </c>
      <c r="Z272" s="7">
        <v>7</v>
      </c>
      <c r="AA272" s="7">
        <v>0</v>
      </c>
    </row>
    <row r="273" spans="1:28">
      <c r="A273" s="6">
        <v>46144</v>
      </c>
      <c r="B273" s="7" t="s">
        <v>577</v>
      </c>
      <c r="C273" s="7"/>
      <c r="D273" s="7" t="s">
        <v>1346</v>
      </c>
      <c r="E273" s="7"/>
      <c r="F273" s="7"/>
      <c r="G273" s="7"/>
      <c r="H273" t="s">
        <v>982</v>
      </c>
      <c r="I273" s="14"/>
      <c r="J273" s="7" t="s">
        <v>35</v>
      </c>
      <c r="K273" s="7" t="s">
        <v>171</v>
      </c>
      <c r="L273" s="7">
        <v>316</v>
      </c>
      <c r="M273" s="7">
        <v>286</v>
      </c>
      <c r="N273" s="7">
        <v>188</v>
      </c>
      <c r="O273" s="7">
        <v>0</v>
      </c>
      <c r="P273" s="7">
        <v>0</v>
      </c>
      <c r="Q273" s="69">
        <f t="shared" si="22"/>
        <v>0.90506329113924056</v>
      </c>
      <c r="R273" s="69">
        <f t="shared" si="22"/>
        <v>0.65734265734265729</v>
      </c>
      <c r="S273" s="7"/>
      <c r="T273" s="7"/>
      <c r="U273" s="7"/>
      <c r="V273" s="7"/>
      <c r="W273" s="7"/>
      <c r="Y273" s="7">
        <v>575</v>
      </c>
      <c r="Z273" s="7">
        <v>6</v>
      </c>
      <c r="AA273" s="7">
        <v>2</v>
      </c>
    </row>
    <row r="274" spans="1:28">
      <c r="A274" s="6">
        <v>46144</v>
      </c>
      <c r="B274" s="7" t="s">
        <v>577</v>
      </c>
      <c r="C274" s="7"/>
      <c r="D274" s="7" t="s">
        <v>1347</v>
      </c>
      <c r="E274" s="7"/>
      <c r="F274" s="7"/>
      <c r="G274" s="7"/>
      <c r="H274" t="s">
        <v>982</v>
      </c>
      <c r="I274" s="14"/>
      <c r="J274" s="7" t="s">
        <v>35</v>
      </c>
      <c r="K274" s="7" t="s">
        <v>171</v>
      </c>
      <c r="L274" s="7">
        <v>316</v>
      </c>
      <c r="M274" s="7">
        <v>285</v>
      </c>
      <c r="N274" s="7">
        <v>171</v>
      </c>
      <c r="O274" s="7">
        <v>0</v>
      </c>
      <c r="P274" s="7">
        <v>0</v>
      </c>
      <c r="Q274" s="69">
        <f t="shared" si="22"/>
        <v>0.90189873417721522</v>
      </c>
      <c r="R274" s="69">
        <f t="shared" si="22"/>
        <v>0.6</v>
      </c>
      <c r="S274" s="7"/>
      <c r="T274" s="7"/>
      <c r="U274" s="7"/>
      <c r="V274" s="7"/>
      <c r="W274" s="7"/>
      <c r="Y274" s="7">
        <v>1047</v>
      </c>
      <c r="Z274" s="7">
        <v>511</v>
      </c>
      <c r="AA274" s="7">
        <v>338</v>
      </c>
    </row>
    <row r="275" spans="1:28">
      <c r="A275" s="6">
        <v>46144</v>
      </c>
      <c r="B275" s="7" t="s">
        <v>577</v>
      </c>
      <c r="C275" s="62">
        <v>0.85416666666666663</v>
      </c>
      <c r="D275" s="7" t="s">
        <v>1348</v>
      </c>
      <c r="E275" s="7" t="s">
        <v>253</v>
      </c>
      <c r="F275" s="7" t="s">
        <v>161</v>
      </c>
      <c r="G275" s="7" t="s">
        <v>85</v>
      </c>
      <c r="H275" s="7" t="s">
        <v>149</v>
      </c>
      <c r="I275" s="14"/>
      <c r="J275" s="7" t="s">
        <v>35</v>
      </c>
      <c r="K275" s="7" t="s">
        <v>149</v>
      </c>
      <c r="L275" s="7">
        <v>1097</v>
      </c>
      <c r="M275" s="7">
        <v>205</v>
      </c>
      <c r="N275" s="7">
        <v>25</v>
      </c>
      <c r="O275" s="7">
        <v>3</v>
      </c>
      <c r="P275" s="7">
        <v>0</v>
      </c>
      <c r="Q275" s="69">
        <f t="shared" si="22"/>
        <v>0.18687329079307202</v>
      </c>
      <c r="R275" s="69">
        <f t="shared" si="22"/>
        <v>0.12195121951219512</v>
      </c>
      <c r="S275" s="7"/>
      <c r="T275" s="7"/>
      <c r="U275" s="7"/>
      <c r="V275" s="7"/>
      <c r="W275" s="7"/>
      <c r="Y275" s="7">
        <v>1769</v>
      </c>
      <c r="Z275" s="7">
        <v>521</v>
      </c>
      <c r="AA275" s="7">
        <v>431</v>
      </c>
    </row>
    <row r="276" spans="1:28">
      <c r="A276" s="6">
        <v>46144</v>
      </c>
      <c r="B276" s="7" t="s">
        <v>577</v>
      </c>
      <c r="C276" s="62" t="s">
        <v>1131</v>
      </c>
      <c r="D276" s="7" t="s">
        <v>1349</v>
      </c>
      <c r="E276" s="7" t="s">
        <v>253</v>
      </c>
      <c r="F276" s="7" t="s">
        <v>790</v>
      </c>
      <c r="G276" s="7" t="s">
        <v>85</v>
      </c>
      <c r="H276" s="51" t="s">
        <v>149</v>
      </c>
      <c r="I276" s="14"/>
      <c r="J276" s="7" t="s">
        <v>35</v>
      </c>
      <c r="K276" s="7" t="s">
        <v>149</v>
      </c>
      <c r="L276" s="7">
        <v>1104</v>
      </c>
      <c r="M276" s="7">
        <v>179</v>
      </c>
      <c r="N276" s="7">
        <v>25</v>
      </c>
      <c r="O276" s="7">
        <v>5</v>
      </c>
      <c r="P276" s="7">
        <v>0</v>
      </c>
      <c r="Q276" s="69">
        <f t="shared" si="22"/>
        <v>0.16213768115942029</v>
      </c>
      <c r="R276" s="69">
        <f t="shared" si="22"/>
        <v>0.13966480446927373</v>
      </c>
      <c r="S276" s="7"/>
      <c r="T276" s="7"/>
      <c r="U276" s="7"/>
      <c r="V276" s="7"/>
      <c r="W276" s="7"/>
      <c r="Y276" s="86">
        <v>1774</v>
      </c>
      <c r="Z276" s="86">
        <v>520</v>
      </c>
      <c r="AA276" s="86">
        <v>414</v>
      </c>
    </row>
    <row r="277" spans="1:28" ht="16.8">
      <c r="A277" s="6">
        <v>46144</v>
      </c>
      <c r="B277" s="7" t="s">
        <v>577</v>
      </c>
      <c r="C277" s="62">
        <v>0.875</v>
      </c>
      <c r="D277" s="7" t="s">
        <v>1350</v>
      </c>
      <c r="E277" s="7" t="s">
        <v>253</v>
      </c>
      <c r="F277" s="7" t="s">
        <v>247</v>
      </c>
      <c r="G277" s="7" t="s">
        <v>85</v>
      </c>
      <c r="H277" s="52" t="s">
        <v>157</v>
      </c>
      <c r="I277" s="14"/>
      <c r="J277" s="7" t="s">
        <v>35</v>
      </c>
      <c r="K277" s="52" t="s">
        <v>157</v>
      </c>
      <c r="L277" s="7">
        <v>2064</v>
      </c>
      <c r="M277" s="7">
        <v>347</v>
      </c>
      <c r="N277" s="7">
        <v>55</v>
      </c>
      <c r="O277" s="7">
        <v>6</v>
      </c>
      <c r="P277" s="7">
        <v>0</v>
      </c>
      <c r="Q277" s="69">
        <f t="shared" si="22"/>
        <v>0.16812015503875968</v>
      </c>
      <c r="R277" s="69">
        <f t="shared" si="22"/>
        <v>0.15850144092219021</v>
      </c>
      <c r="S277" s="7"/>
      <c r="T277" s="7"/>
      <c r="U277" s="7"/>
      <c r="V277" s="7"/>
      <c r="W277" s="7"/>
      <c r="Y277">
        <f>SUM(Y272:Y276)</f>
        <v>7031</v>
      </c>
      <c r="Z277">
        <f>SUM(Z272:Z276)</f>
        <v>1565</v>
      </c>
      <c r="AA277">
        <f>SUM(AA272:AA276)</f>
        <v>1185</v>
      </c>
    </row>
    <row r="278" spans="1:28" ht="16.8">
      <c r="A278" s="6">
        <v>46144</v>
      </c>
      <c r="B278" s="7" t="s">
        <v>577</v>
      </c>
      <c r="C278" s="62">
        <v>0.98958333333333337</v>
      </c>
      <c r="D278" s="31" t="s">
        <v>1351</v>
      </c>
      <c r="E278" s="7" t="s">
        <v>253</v>
      </c>
      <c r="F278" s="7" t="s">
        <v>702</v>
      </c>
      <c r="G278" s="7" t="s">
        <v>85</v>
      </c>
      <c r="H278" s="52" t="s">
        <v>157</v>
      </c>
      <c r="I278" s="14"/>
      <c r="J278" s="7" t="s">
        <v>35</v>
      </c>
      <c r="K278" s="52" t="s">
        <v>157</v>
      </c>
      <c r="L278" s="7">
        <v>1956</v>
      </c>
      <c r="M278" s="7">
        <v>60</v>
      </c>
      <c r="N278" s="7">
        <v>9</v>
      </c>
      <c r="O278" s="7">
        <v>0</v>
      </c>
      <c r="P278" s="7">
        <v>0</v>
      </c>
      <c r="Q278" s="69">
        <f t="shared" si="22"/>
        <v>3.0674846625766871E-2</v>
      </c>
      <c r="R278" s="69">
        <f t="shared" si="22"/>
        <v>0.15</v>
      </c>
      <c r="S278" s="7"/>
      <c r="T278" s="7"/>
      <c r="U278" s="7"/>
      <c r="V278" s="7"/>
      <c r="W278" s="7"/>
    </row>
    <row r="279" spans="1:28" ht="16.8">
      <c r="A279" s="6">
        <v>46144</v>
      </c>
      <c r="B279" s="7" t="s">
        <v>577</v>
      </c>
      <c r="C279" s="62">
        <v>0.97916666666666663</v>
      </c>
      <c r="D279" s="7" t="s">
        <v>1352</v>
      </c>
      <c r="E279" s="31" t="s">
        <v>253</v>
      </c>
      <c r="F279" s="31" t="s">
        <v>342</v>
      </c>
      <c r="G279" s="7" t="s">
        <v>85</v>
      </c>
      <c r="H279" s="52" t="s">
        <v>420</v>
      </c>
      <c r="I279" s="14"/>
      <c r="J279" s="7" t="s">
        <v>35</v>
      </c>
      <c r="K279" s="52" t="s">
        <v>420</v>
      </c>
      <c r="L279" s="7">
        <v>418</v>
      </c>
      <c r="M279" s="7">
        <v>49</v>
      </c>
      <c r="N279" s="7">
        <v>8</v>
      </c>
      <c r="O279" s="7">
        <v>2</v>
      </c>
      <c r="P279" s="7">
        <v>0</v>
      </c>
      <c r="Q279" s="69">
        <f t="shared" si="22"/>
        <v>0.11722488038277512</v>
      </c>
      <c r="R279" s="69">
        <f t="shared" si="22"/>
        <v>0.16326530612244897</v>
      </c>
      <c r="S279" s="7"/>
      <c r="T279" s="7"/>
      <c r="U279" s="7"/>
      <c r="V279" s="7"/>
      <c r="W279" s="7"/>
    </row>
    <row r="280" spans="1:28" ht="16.8">
      <c r="A280" s="6">
        <v>46144</v>
      </c>
      <c r="B280" s="7" t="s">
        <v>577</v>
      </c>
      <c r="C280" s="62" t="s">
        <v>719</v>
      </c>
      <c r="D280" s="99" t="s">
        <v>1353</v>
      </c>
      <c r="E280" s="7" t="s">
        <v>253</v>
      </c>
      <c r="F280" s="77" t="s">
        <v>440</v>
      </c>
      <c r="G280" s="7" t="s">
        <v>85</v>
      </c>
      <c r="H280" s="180" t="s">
        <v>420</v>
      </c>
      <c r="I280" s="14"/>
      <c r="J280" s="7" t="s">
        <v>35</v>
      </c>
      <c r="K280" s="52" t="s">
        <v>420</v>
      </c>
      <c r="L280" s="7">
        <v>419</v>
      </c>
      <c r="M280" s="7">
        <v>91</v>
      </c>
      <c r="N280" s="7">
        <v>20</v>
      </c>
      <c r="O280" s="7">
        <v>1</v>
      </c>
      <c r="P280" s="7">
        <v>0</v>
      </c>
      <c r="Q280" s="69">
        <f t="shared" si="22"/>
        <v>0.21718377088305491</v>
      </c>
      <c r="R280" s="69">
        <f t="shared" si="22"/>
        <v>0.21978021978021978</v>
      </c>
      <c r="S280" s="7"/>
      <c r="T280" s="7"/>
      <c r="U280" s="7"/>
      <c r="V280" s="7"/>
      <c r="W280" s="7"/>
    </row>
    <row r="281" spans="1:28">
      <c r="A281" s="6">
        <v>46144</v>
      </c>
      <c r="B281" s="7" t="s">
        <v>577</v>
      </c>
      <c r="C281" s="62">
        <v>0.91666666666666663</v>
      </c>
      <c r="D281" s="7" t="s">
        <v>1354</v>
      </c>
      <c r="E281" s="7" t="s">
        <v>253</v>
      </c>
      <c r="F281" s="7" t="s">
        <v>161</v>
      </c>
      <c r="G281" s="7" t="s">
        <v>85</v>
      </c>
      <c r="H281" s="7" t="s">
        <v>121</v>
      </c>
      <c r="I281" s="47"/>
      <c r="J281" s="7" t="s">
        <v>35</v>
      </c>
      <c r="K281" s="7" t="s">
        <v>121</v>
      </c>
      <c r="L281" s="7">
        <v>1047</v>
      </c>
      <c r="M281" s="7">
        <v>511</v>
      </c>
      <c r="N281" s="7">
        <v>338</v>
      </c>
      <c r="O281" s="7">
        <v>0</v>
      </c>
      <c r="P281" s="7">
        <v>0</v>
      </c>
      <c r="Q281" s="69">
        <f t="shared" si="22"/>
        <v>0.48806112702960841</v>
      </c>
      <c r="R281" s="69">
        <f t="shared" si="22"/>
        <v>0.66144814090019566</v>
      </c>
      <c r="S281" s="7"/>
      <c r="T281" s="7"/>
      <c r="U281" s="7"/>
      <c r="V281" s="7"/>
      <c r="W281" s="7"/>
    </row>
    <row r="282" spans="1:28" ht="16.8">
      <c r="A282" s="6">
        <v>46144</v>
      </c>
      <c r="B282" s="7" t="s">
        <v>577</v>
      </c>
      <c r="C282" s="62">
        <v>0.96875</v>
      </c>
      <c r="D282" s="7" t="s">
        <v>1355</v>
      </c>
      <c r="E282" s="7" t="s">
        <v>253</v>
      </c>
      <c r="F282" s="7" t="s">
        <v>247</v>
      </c>
      <c r="G282" s="7" t="s">
        <v>85</v>
      </c>
      <c r="H282" s="52" t="s">
        <v>210</v>
      </c>
      <c r="I282" s="47"/>
      <c r="J282" s="7" t="s">
        <v>35</v>
      </c>
      <c r="K282" s="52" t="s">
        <v>210</v>
      </c>
      <c r="L282" s="7">
        <v>1769</v>
      </c>
      <c r="M282" s="7">
        <v>521</v>
      </c>
      <c r="N282" s="7">
        <v>431</v>
      </c>
      <c r="O282" s="7">
        <v>0</v>
      </c>
      <c r="P282" s="7">
        <v>0</v>
      </c>
      <c r="Q282" s="69">
        <f t="shared" si="22"/>
        <v>0.29451667608818544</v>
      </c>
      <c r="R282" s="69">
        <f t="shared" si="22"/>
        <v>0.82725527831094048</v>
      </c>
      <c r="S282" s="7"/>
      <c r="T282" s="7"/>
      <c r="U282" s="7"/>
      <c r="V282" s="7"/>
      <c r="W282" s="7"/>
    </row>
    <row r="283" spans="1:28" ht="16.8">
      <c r="A283" s="6">
        <v>46144</v>
      </c>
      <c r="B283" s="7" t="s">
        <v>577</v>
      </c>
      <c r="C283" s="91" t="s">
        <v>999</v>
      </c>
      <c r="D283" s="31" t="s">
        <v>1356</v>
      </c>
      <c r="E283" s="7" t="s">
        <v>253</v>
      </c>
      <c r="F283" s="7" t="s">
        <v>247</v>
      </c>
      <c r="G283" s="7" t="s">
        <v>85</v>
      </c>
      <c r="H283" s="52" t="s">
        <v>210</v>
      </c>
      <c r="I283" s="98"/>
      <c r="J283" s="7" t="s">
        <v>35</v>
      </c>
      <c r="K283" s="52" t="s">
        <v>210</v>
      </c>
      <c r="L283" s="86">
        <v>1774</v>
      </c>
      <c r="M283" s="86">
        <v>520</v>
      </c>
      <c r="N283" s="86">
        <v>414</v>
      </c>
      <c r="O283" s="86">
        <v>0</v>
      </c>
      <c r="P283" s="86">
        <v>0</v>
      </c>
      <c r="Q283" s="69">
        <f t="shared" si="22"/>
        <v>0.29312288613303267</v>
      </c>
      <c r="R283" s="69">
        <f t="shared" si="22"/>
        <v>0.7961538461538461</v>
      </c>
      <c r="S283" s="86"/>
      <c r="T283" s="86"/>
      <c r="U283" s="86"/>
      <c r="V283" s="86"/>
      <c r="W283" s="87"/>
    </row>
    <row r="284" spans="1:28" ht="6.6" customHeight="1">
      <c r="A284" s="22"/>
      <c r="B284" s="23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5"/>
      <c r="R284" s="25"/>
      <c r="S284" s="24"/>
      <c r="T284" s="24"/>
      <c r="U284" s="24"/>
      <c r="V284" s="25"/>
      <c r="W284" s="26"/>
    </row>
    <row r="285" spans="1:28">
      <c r="A285" s="6">
        <v>46145</v>
      </c>
      <c r="B285" s="7" t="s">
        <v>578</v>
      </c>
      <c r="C285" s="18" t="s">
        <v>591</v>
      </c>
      <c r="D285" s="18" t="s">
        <v>108</v>
      </c>
      <c r="E285" s="18" t="s">
        <v>35</v>
      </c>
      <c r="F285" s="18" t="s">
        <v>115</v>
      </c>
      <c r="G285" s="18"/>
      <c r="H285" s="18" t="s">
        <v>106</v>
      </c>
      <c r="I285" s="14"/>
      <c r="J285" s="18" t="s">
        <v>35</v>
      </c>
      <c r="K285" s="18" t="s">
        <v>106</v>
      </c>
      <c r="L285" s="7">
        <v>897</v>
      </c>
      <c r="M285" s="7">
        <v>17</v>
      </c>
      <c r="N285" s="7">
        <v>3</v>
      </c>
      <c r="O285" s="7">
        <v>0</v>
      </c>
      <c r="P285" s="7">
        <v>2</v>
      </c>
      <c r="Q285" s="69">
        <f t="shared" ref="Q285:R306" si="23">M285/L285</f>
        <v>1.89520624303233E-2</v>
      </c>
      <c r="R285" s="69">
        <f t="shared" si="23"/>
        <v>0.17647058823529413</v>
      </c>
      <c r="S285" s="7"/>
      <c r="T285" s="7"/>
      <c r="U285" s="7"/>
      <c r="V285" s="7"/>
      <c r="W285" s="7"/>
    </row>
    <row r="286" spans="1:28">
      <c r="A286" s="6">
        <v>46145</v>
      </c>
      <c r="B286" s="7" t="s">
        <v>578</v>
      </c>
      <c r="C286" s="18" t="s">
        <v>592</v>
      </c>
      <c r="D286" s="18" t="s">
        <v>587</v>
      </c>
      <c r="E286" s="18" t="s">
        <v>35</v>
      </c>
      <c r="F286" s="18" t="s">
        <v>588</v>
      </c>
      <c r="G286" s="18"/>
      <c r="H286" s="18" t="s">
        <v>106</v>
      </c>
      <c r="I286" s="29"/>
      <c r="J286" s="18" t="s">
        <v>35</v>
      </c>
      <c r="K286" s="18" t="s">
        <v>106</v>
      </c>
      <c r="L286" s="7"/>
      <c r="M286" s="7"/>
      <c r="N286" s="7"/>
      <c r="O286" s="7"/>
      <c r="P286" s="7"/>
      <c r="Q286" s="69" t="e">
        <f t="shared" si="23"/>
        <v>#DIV/0!</v>
      </c>
      <c r="R286" s="69" t="e">
        <f t="shared" si="23"/>
        <v>#DIV/0!</v>
      </c>
      <c r="S286" s="7"/>
      <c r="T286" s="7"/>
      <c r="U286" s="7"/>
      <c r="V286" s="7"/>
      <c r="W286" s="7"/>
    </row>
    <row r="287" spans="1:28">
      <c r="A287" s="6">
        <v>46145</v>
      </c>
      <c r="B287" s="7" t="s">
        <v>578</v>
      </c>
      <c r="C287" s="18"/>
      <c r="D287" s="18" t="s">
        <v>155</v>
      </c>
      <c r="E287" s="18" t="s">
        <v>35</v>
      </c>
      <c r="F287" s="18" t="s">
        <v>156</v>
      </c>
      <c r="G287" s="18"/>
      <c r="H287" s="18" t="s">
        <v>157</v>
      </c>
      <c r="I287" s="30"/>
      <c r="J287" s="18" t="s">
        <v>35</v>
      </c>
      <c r="K287" s="18" t="s">
        <v>157</v>
      </c>
      <c r="L287" s="7">
        <v>356</v>
      </c>
      <c r="M287" s="7">
        <v>93</v>
      </c>
      <c r="N287" s="7">
        <v>20</v>
      </c>
      <c r="O287" s="7">
        <v>2</v>
      </c>
      <c r="P287" s="7">
        <v>0</v>
      </c>
      <c r="Q287" s="69">
        <f t="shared" si="23"/>
        <v>0.2612359550561798</v>
      </c>
      <c r="R287" s="69">
        <f t="shared" si="23"/>
        <v>0.21505376344086022</v>
      </c>
      <c r="S287" s="7"/>
      <c r="T287" s="7"/>
      <c r="U287" s="7"/>
      <c r="V287" s="7"/>
      <c r="W287" s="7"/>
    </row>
    <row r="288" spans="1:28">
      <c r="A288" s="6">
        <v>46145</v>
      </c>
      <c r="B288" s="7" t="s">
        <v>578</v>
      </c>
      <c r="C288" s="18"/>
      <c r="D288" s="18" t="s">
        <v>158</v>
      </c>
      <c r="E288" s="18" t="s">
        <v>35</v>
      </c>
      <c r="F288" s="18" t="s">
        <v>159</v>
      </c>
      <c r="G288" s="18"/>
      <c r="H288" s="18" t="s">
        <v>149</v>
      </c>
      <c r="I288" s="30"/>
      <c r="J288" s="18" t="s">
        <v>35</v>
      </c>
      <c r="K288" s="18" t="s">
        <v>149</v>
      </c>
      <c r="L288" s="7">
        <v>246</v>
      </c>
      <c r="M288" s="7">
        <v>47</v>
      </c>
      <c r="N288" s="7">
        <v>17</v>
      </c>
      <c r="O288" s="7">
        <v>0</v>
      </c>
      <c r="P288" s="7">
        <v>0</v>
      </c>
      <c r="Q288" s="69">
        <f t="shared" si="23"/>
        <v>0.1910569105691057</v>
      </c>
      <c r="R288" s="69">
        <f t="shared" si="23"/>
        <v>0.36170212765957449</v>
      </c>
      <c r="S288" s="7"/>
      <c r="T288" s="7"/>
      <c r="U288" s="7"/>
      <c r="V288" s="7"/>
      <c r="W288" s="7"/>
      <c r="Z288" s="7">
        <v>897</v>
      </c>
      <c r="AA288" s="7">
        <v>17</v>
      </c>
      <c r="AB288" s="7">
        <v>3</v>
      </c>
    </row>
    <row r="289" spans="1:28">
      <c r="A289" s="6">
        <v>46145</v>
      </c>
      <c r="B289" s="7" t="s">
        <v>578</v>
      </c>
      <c r="C289" s="18" t="s">
        <v>591</v>
      </c>
      <c r="D289" s="18" t="s">
        <v>189</v>
      </c>
      <c r="E289" s="18" t="s">
        <v>35</v>
      </c>
      <c r="F289" s="18"/>
      <c r="G289" s="18"/>
      <c r="H289" s="18" t="s">
        <v>186</v>
      </c>
      <c r="I289" s="30"/>
      <c r="J289" s="18" t="s">
        <v>35</v>
      </c>
      <c r="K289" s="18" t="s">
        <v>186</v>
      </c>
      <c r="L289" s="7">
        <v>1843</v>
      </c>
      <c r="M289" s="7">
        <v>5</v>
      </c>
      <c r="N289" s="7">
        <v>1</v>
      </c>
      <c r="O289" s="7">
        <v>0</v>
      </c>
      <c r="P289" s="7">
        <v>4</v>
      </c>
      <c r="Q289" s="69">
        <f t="shared" si="23"/>
        <v>2.7129679869777536E-3</v>
      </c>
      <c r="R289" s="69">
        <f t="shared" si="23"/>
        <v>0.2</v>
      </c>
      <c r="S289" s="7"/>
      <c r="T289" s="7"/>
      <c r="U289" s="7"/>
      <c r="V289" s="7"/>
      <c r="W289" s="7"/>
      <c r="Z289" s="7">
        <v>356</v>
      </c>
      <c r="AA289" s="7">
        <v>93</v>
      </c>
      <c r="AB289" s="7">
        <v>20</v>
      </c>
    </row>
    <row r="290" spans="1:28">
      <c r="A290" s="6">
        <v>46145</v>
      </c>
      <c r="B290" s="7" t="s">
        <v>578</v>
      </c>
      <c r="C290" s="18" t="s">
        <v>592</v>
      </c>
      <c r="D290" s="18" t="s">
        <v>587</v>
      </c>
      <c r="E290" s="18" t="s">
        <v>35</v>
      </c>
      <c r="F290" s="18" t="s">
        <v>588</v>
      </c>
      <c r="G290" s="18"/>
      <c r="H290" s="18" t="s">
        <v>186</v>
      </c>
      <c r="I290" s="29"/>
      <c r="J290" s="18" t="s">
        <v>35</v>
      </c>
      <c r="K290" s="18" t="s">
        <v>186</v>
      </c>
      <c r="L290" s="7"/>
      <c r="M290" s="7"/>
      <c r="N290" s="7"/>
      <c r="O290" s="7"/>
      <c r="P290" s="7"/>
      <c r="Q290" s="69" t="e">
        <f t="shared" si="23"/>
        <v>#DIV/0!</v>
      </c>
      <c r="R290" s="69" t="e">
        <f t="shared" si="23"/>
        <v>#DIV/0!</v>
      </c>
      <c r="S290" s="7"/>
      <c r="T290" s="7"/>
      <c r="U290" s="7"/>
      <c r="V290" s="7"/>
      <c r="W290" s="7"/>
      <c r="Z290" s="7">
        <v>246</v>
      </c>
      <c r="AA290" s="7">
        <v>47</v>
      </c>
      <c r="AB290" s="7">
        <v>17</v>
      </c>
    </row>
    <row r="291" spans="1:28">
      <c r="A291" s="6">
        <v>46145</v>
      </c>
      <c r="B291" s="7" t="s">
        <v>578</v>
      </c>
      <c r="C291" s="18" t="s">
        <v>589</v>
      </c>
      <c r="D291" s="18" t="s">
        <v>1069</v>
      </c>
      <c r="E291" s="18" t="s">
        <v>253</v>
      </c>
      <c r="F291" s="21" t="s">
        <v>1070</v>
      </c>
      <c r="G291" s="18"/>
      <c r="H291" s="21" t="s">
        <v>1047</v>
      </c>
      <c r="I291" s="29"/>
      <c r="J291" s="18" t="s">
        <v>35</v>
      </c>
      <c r="K291" s="21" t="s">
        <v>1047</v>
      </c>
      <c r="L291" s="7">
        <v>3143</v>
      </c>
      <c r="M291" s="7">
        <v>63</v>
      </c>
      <c r="N291" s="7">
        <v>2</v>
      </c>
      <c r="O291" s="7">
        <v>1</v>
      </c>
      <c r="P291" s="7">
        <v>5</v>
      </c>
      <c r="Q291" s="69">
        <f t="shared" si="23"/>
        <v>2.0044543429844099E-2</v>
      </c>
      <c r="R291" s="69">
        <f t="shared" si="23"/>
        <v>3.1746031746031744E-2</v>
      </c>
      <c r="S291" s="7"/>
      <c r="T291" s="7"/>
      <c r="U291" s="7"/>
      <c r="V291" s="7"/>
      <c r="W291" s="7"/>
      <c r="Z291" s="7">
        <v>3143</v>
      </c>
      <c r="AA291" s="7">
        <v>63</v>
      </c>
      <c r="AB291" s="7">
        <v>2</v>
      </c>
    </row>
    <row r="292" spans="1:28">
      <c r="A292" s="6">
        <v>46145</v>
      </c>
      <c r="B292" s="7" t="s">
        <v>578</v>
      </c>
      <c r="C292" s="18" t="s">
        <v>589</v>
      </c>
      <c r="D292" s="18" t="s">
        <v>1071</v>
      </c>
      <c r="E292" s="18" t="s">
        <v>253</v>
      </c>
      <c r="F292" s="21" t="s">
        <v>1070</v>
      </c>
      <c r="G292" s="18"/>
      <c r="H292" s="21" t="s">
        <v>1049</v>
      </c>
      <c r="I292" s="29"/>
      <c r="J292" s="18" t="s">
        <v>35</v>
      </c>
      <c r="K292" s="21" t="s">
        <v>1049</v>
      </c>
      <c r="L292" s="7">
        <v>512</v>
      </c>
      <c r="M292" s="7">
        <v>2</v>
      </c>
      <c r="N292" s="7">
        <v>0</v>
      </c>
      <c r="O292" s="7">
        <v>0</v>
      </c>
      <c r="P292" s="7">
        <v>0</v>
      </c>
      <c r="Q292" s="69">
        <f t="shared" si="23"/>
        <v>3.90625E-3</v>
      </c>
      <c r="R292" s="69">
        <f t="shared" si="23"/>
        <v>0</v>
      </c>
      <c r="S292" s="7"/>
      <c r="T292" s="7"/>
      <c r="U292" s="7"/>
      <c r="V292" s="7"/>
      <c r="W292" s="7"/>
      <c r="Z292" s="7">
        <v>246</v>
      </c>
      <c r="AA292" s="7">
        <v>62</v>
      </c>
      <c r="AB292" s="7">
        <v>16</v>
      </c>
    </row>
    <row r="293" spans="1:28">
      <c r="A293" s="6">
        <v>46145</v>
      </c>
      <c r="B293" s="7" t="s">
        <v>578</v>
      </c>
      <c r="C293" s="18" t="s">
        <v>589</v>
      </c>
      <c r="D293" s="18" t="s">
        <v>1072</v>
      </c>
      <c r="E293" s="18" t="s">
        <v>253</v>
      </c>
      <c r="F293" s="21" t="s">
        <v>1073</v>
      </c>
      <c r="G293" s="18"/>
      <c r="H293" s="18" t="s">
        <v>149</v>
      </c>
      <c r="I293" s="29"/>
      <c r="J293" s="18" t="s">
        <v>35</v>
      </c>
      <c r="K293" s="18" t="s">
        <v>149</v>
      </c>
      <c r="L293" s="7">
        <v>246</v>
      </c>
      <c r="M293" s="7">
        <v>62</v>
      </c>
      <c r="N293" s="7">
        <v>16</v>
      </c>
      <c r="O293" s="7">
        <v>0</v>
      </c>
      <c r="P293" s="7">
        <v>0</v>
      </c>
      <c r="Q293" s="69">
        <f t="shared" si="23"/>
        <v>0.25203252032520324</v>
      </c>
      <c r="R293" s="69">
        <f t="shared" si="23"/>
        <v>0.25806451612903225</v>
      </c>
      <c r="S293" s="7"/>
      <c r="T293" s="7"/>
      <c r="U293" s="7"/>
      <c r="V293" s="7"/>
      <c r="W293" s="7"/>
      <c r="Z293" s="7">
        <v>1288</v>
      </c>
      <c r="AA293" s="7">
        <v>218</v>
      </c>
      <c r="AB293" s="7">
        <v>27</v>
      </c>
    </row>
    <row r="294" spans="1:28">
      <c r="A294" s="6">
        <v>46145</v>
      </c>
      <c r="B294" s="7" t="s">
        <v>578</v>
      </c>
      <c r="C294" s="7"/>
      <c r="D294" s="7" t="s">
        <v>1357</v>
      </c>
      <c r="E294" s="7" t="s">
        <v>253</v>
      </c>
      <c r="F294" s="7"/>
      <c r="G294" s="7"/>
      <c r="H294" s="7" t="s">
        <v>170</v>
      </c>
      <c r="I294" s="14"/>
      <c r="J294" s="7" t="s">
        <v>35</v>
      </c>
      <c r="K294" s="7" t="s">
        <v>170</v>
      </c>
      <c r="L294" s="7">
        <v>1500</v>
      </c>
      <c r="M294" s="7">
        <v>1248</v>
      </c>
      <c r="N294" s="7">
        <v>813</v>
      </c>
      <c r="O294" s="7">
        <v>0</v>
      </c>
      <c r="P294" s="7">
        <v>0</v>
      </c>
      <c r="Q294" s="69">
        <f t="shared" si="23"/>
        <v>0.83199999999999996</v>
      </c>
      <c r="R294" s="69">
        <f t="shared" si="23"/>
        <v>0.65144230769230771</v>
      </c>
      <c r="S294" s="7"/>
      <c r="T294" s="7"/>
      <c r="U294" s="7"/>
      <c r="V294" s="7"/>
      <c r="W294" s="7"/>
      <c r="Z294" s="7">
        <v>1288</v>
      </c>
      <c r="AA294" s="7">
        <v>69</v>
      </c>
      <c r="AB294" s="7">
        <v>10</v>
      </c>
    </row>
    <row r="295" spans="1:28">
      <c r="A295" s="6">
        <v>46145</v>
      </c>
      <c r="B295" s="7" t="s">
        <v>578</v>
      </c>
      <c r="C295" s="7"/>
      <c r="D295" s="100" t="s">
        <v>1358</v>
      </c>
      <c r="E295" s="7" t="s">
        <v>253</v>
      </c>
      <c r="F295" s="7"/>
      <c r="G295" s="7"/>
      <c r="H295" s="7" t="s">
        <v>170</v>
      </c>
      <c r="I295" s="84"/>
      <c r="J295" s="7" t="s">
        <v>35</v>
      </c>
      <c r="K295" s="7" t="s">
        <v>170</v>
      </c>
      <c r="L295" s="7">
        <v>1500</v>
      </c>
      <c r="M295" s="7">
        <v>1245</v>
      </c>
      <c r="N295" s="7">
        <v>823</v>
      </c>
      <c r="O295" s="7">
        <v>0</v>
      </c>
      <c r="P295" s="7">
        <v>0</v>
      </c>
      <c r="Q295" s="69">
        <f t="shared" si="23"/>
        <v>0.83</v>
      </c>
      <c r="R295" s="69">
        <f t="shared" si="23"/>
        <v>0.66104417670682736</v>
      </c>
      <c r="S295" s="7"/>
      <c r="T295" s="7"/>
      <c r="U295" s="7"/>
      <c r="V295" s="7"/>
      <c r="W295" s="7"/>
      <c r="Z295" s="7">
        <v>2323</v>
      </c>
      <c r="AA295" s="7">
        <v>324</v>
      </c>
      <c r="AB295" s="7">
        <v>35</v>
      </c>
    </row>
    <row r="296" spans="1:28">
      <c r="A296" s="6">
        <v>46145</v>
      </c>
      <c r="B296" s="7" t="s">
        <v>578</v>
      </c>
      <c r="C296" s="7"/>
      <c r="D296" s="100" t="s">
        <v>1359</v>
      </c>
      <c r="E296" s="7" t="s">
        <v>253</v>
      </c>
      <c r="F296" s="7"/>
      <c r="G296" s="7"/>
      <c r="H296" s="7" t="s">
        <v>170</v>
      </c>
      <c r="I296" s="84"/>
      <c r="J296" s="7" t="s">
        <v>35</v>
      </c>
      <c r="K296" s="7" t="s">
        <v>170</v>
      </c>
      <c r="L296" s="7">
        <v>1500</v>
      </c>
      <c r="M296" s="7">
        <v>1244</v>
      </c>
      <c r="N296" s="7">
        <v>819</v>
      </c>
      <c r="O296" s="7">
        <v>0</v>
      </c>
      <c r="P296" s="7">
        <v>0</v>
      </c>
      <c r="Q296" s="69">
        <f t="shared" si="23"/>
        <v>0.82933333333333337</v>
      </c>
      <c r="R296" s="69">
        <f t="shared" si="23"/>
        <v>0.65836012861736337</v>
      </c>
      <c r="S296" s="7"/>
      <c r="T296" s="7"/>
      <c r="U296" s="7"/>
      <c r="V296" s="7"/>
      <c r="W296" s="7"/>
      <c r="Z296" s="7">
        <v>1950</v>
      </c>
      <c r="AA296" s="7">
        <v>181</v>
      </c>
      <c r="AB296" s="7">
        <v>23</v>
      </c>
    </row>
    <row r="297" spans="1:28">
      <c r="A297" s="6">
        <v>46145</v>
      </c>
      <c r="B297" s="7" t="s">
        <v>578</v>
      </c>
      <c r="C297" s="7"/>
      <c r="D297" s="100" t="s">
        <v>1360</v>
      </c>
      <c r="E297" s="7" t="s">
        <v>253</v>
      </c>
      <c r="F297" s="7"/>
      <c r="G297" s="7"/>
      <c r="H297" s="7" t="s">
        <v>170</v>
      </c>
      <c r="I297" s="84"/>
      <c r="J297" s="7" t="s">
        <v>35</v>
      </c>
      <c r="K297" s="7" t="s">
        <v>170</v>
      </c>
      <c r="L297" s="7">
        <v>1500</v>
      </c>
      <c r="M297" s="7">
        <v>1245</v>
      </c>
      <c r="N297" s="7">
        <v>778</v>
      </c>
      <c r="O297" s="7">
        <v>0</v>
      </c>
      <c r="P297" s="7">
        <v>0</v>
      </c>
      <c r="Q297" s="69">
        <f t="shared" si="23"/>
        <v>0.83</v>
      </c>
      <c r="R297" s="69">
        <f t="shared" si="23"/>
        <v>0.62489959839357434</v>
      </c>
      <c r="S297" s="7"/>
      <c r="T297" s="7"/>
      <c r="U297" s="7"/>
      <c r="V297" s="7"/>
      <c r="W297" s="7"/>
      <c r="Z297" s="7">
        <v>444</v>
      </c>
      <c r="AA297" s="7">
        <v>47</v>
      </c>
      <c r="AB297" s="7">
        <v>9</v>
      </c>
    </row>
    <row r="298" spans="1:28">
      <c r="A298" s="6">
        <v>46145</v>
      </c>
      <c r="B298" s="7" t="s">
        <v>578</v>
      </c>
      <c r="C298" s="7"/>
      <c r="D298" s="7" t="s">
        <v>1361</v>
      </c>
      <c r="E298" s="7" t="s">
        <v>253</v>
      </c>
      <c r="F298" s="7"/>
      <c r="G298" s="7"/>
      <c r="H298" t="s">
        <v>982</v>
      </c>
      <c r="I298" s="14"/>
      <c r="J298" s="7" t="s">
        <v>35</v>
      </c>
      <c r="K298" s="7" t="s">
        <v>171</v>
      </c>
      <c r="L298" s="7">
        <v>316</v>
      </c>
      <c r="M298" s="7">
        <v>269</v>
      </c>
      <c r="N298" s="7">
        <v>179</v>
      </c>
      <c r="O298" s="7">
        <v>0</v>
      </c>
      <c r="P298" s="7">
        <v>0</v>
      </c>
      <c r="Q298" s="69">
        <f t="shared" si="23"/>
        <v>0.85126582278481011</v>
      </c>
      <c r="R298" s="69">
        <f t="shared" si="23"/>
        <v>0.66542750929368033</v>
      </c>
      <c r="S298" s="7"/>
      <c r="T298" s="7"/>
      <c r="U298" s="7"/>
      <c r="V298" s="7"/>
      <c r="W298" s="7"/>
      <c r="Z298" s="7">
        <v>446</v>
      </c>
      <c r="AA298" s="7">
        <v>79</v>
      </c>
      <c r="AB298" s="7">
        <v>17</v>
      </c>
    </row>
    <row r="299" spans="1:28">
      <c r="A299" s="6">
        <v>46145</v>
      </c>
      <c r="B299" s="7" t="s">
        <v>578</v>
      </c>
      <c r="C299" s="7"/>
      <c r="D299" s="7" t="s">
        <v>1362</v>
      </c>
      <c r="E299" s="7" t="s">
        <v>253</v>
      </c>
      <c r="F299" s="7"/>
      <c r="G299" s="7"/>
      <c r="H299" t="s">
        <v>982</v>
      </c>
      <c r="I299" s="14"/>
      <c r="J299" s="7" t="s">
        <v>35</v>
      </c>
      <c r="K299" s="7" t="s">
        <v>171</v>
      </c>
      <c r="L299" s="7">
        <v>316</v>
      </c>
      <c r="M299" s="7">
        <v>274</v>
      </c>
      <c r="N299" s="7">
        <v>178</v>
      </c>
      <c r="O299" s="7">
        <v>0</v>
      </c>
      <c r="P299" s="7">
        <v>0</v>
      </c>
      <c r="Q299" s="69">
        <f t="shared" si="23"/>
        <v>0.86708860759493667</v>
      </c>
      <c r="R299" s="69">
        <f t="shared" si="23"/>
        <v>0.64963503649635035</v>
      </c>
      <c r="S299" s="7"/>
      <c r="T299" s="7"/>
      <c r="U299" s="7"/>
      <c r="V299" s="7"/>
      <c r="W299" s="7"/>
      <c r="Z299">
        <f>SUM(Z288:Z298)</f>
        <v>12627</v>
      </c>
      <c r="AA299">
        <f>SUM(AA288:AA298)</f>
        <v>1200</v>
      </c>
      <c r="AB299">
        <f>SUM(AB288:AB298)</f>
        <v>179</v>
      </c>
    </row>
    <row r="300" spans="1:28">
      <c r="A300" s="6">
        <v>46145</v>
      </c>
      <c r="B300" s="7" t="s">
        <v>578</v>
      </c>
      <c r="C300" s="7"/>
      <c r="D300" s="7" t="s">
        <v>1363</v>
      </c>
      <c r="E300" s="7"/>
      <c r="F300" s="7"/>
      <c r="G300" s="7"/>
      <c r="H300" s="119" t="s">
        <v>982</v>
      </c>
      <c r="I300" s="14"/>
      <c r="J300" s="7" t="s">
        <v>35</v>
      </c>
      <c r="K300" s="7" t="s">
        <v>171</v>
      </c>
      <c r="L300" s="7">
        <v>316</v>
      </c>
      <c r="M300" s="7">
        <v>275</v>
      </c>
      <c r="N300" s="7">
        <v>184</v>
      </c>
      <c r="O300" s="7">
        <v>0</v>
      </c>
      <c r="P300" s="7">
        <v>0</v>
      </c>
      <c r="Q300" s="69">
        <f t="shared" si="23"/>
        <v>0.870253164556962</v>
      </c>
      <c r="R300" s="69">
        <f t="shared" si="23"/>
        <v>0.66909090909090907</v>
      </c>
      <c r="S300" s="7"/>
      <c r="T300" s="7"/>
      <c r="U300" s="7"/>
      <c r="V300" s="7"/>
      <c r="W300" s="7"/>
    </row>
    <row r="301" spans="1:28">
      <c r="A301" s="6">
        <v>46145</v>
      </c>
      <c r="B301" s="7" t="s">
        <v>578</v>
      </c>
      <c r="C301" s="7"/>
      <c r="D301" s="7" t="s">
        <v>1364</v>
      </c>
      <c r="E301" s="7"/>
      <c r="F301" s="7"/>
      <c r="G301" s="7"/>
      <c r="H301" s="119" t="s">
        <v>982</v>
      </c>
      <c r="I301" s="14"/>
      <c r="J301" s="7" t="s">
        <v>35</v>
      </c>
      <c r="K301" s="7" t="s">
        <v>171</v>
      </c>
      <c r="L301" s="7">
        <v>316</v>
      </c>
      <c r="M301" s="7">
        <v>274</v>
      </c>
      <c r="N301" s="7">
        <v>175</v>
      </c>
      <c r="O301" s="7">
        <v>0</v>
      </c>
      <c r="P301" s="7">
        <v>0</v>
      </c>
      <c r="Q301" s="69">
        <f t="shared" si="23"/>
        <v>0.86708860759493667</v>
      </c>
      <c r="R301" s="69">
        <f t="shared" si="23"/>
        <v>0.63868613138686137</v>
      </c>
      <c r="S301" s="7"/>
      <c r="T301" s="7"/>
      <c r="U301" s="7"/>
      <c r="V301" s="7"/>
      <c r="W301" s="7"/>
      <c r="Z301" s="7">
        <v>1843</v>
      </c>
      <c r="AA301" s="7">
        <v>5</v>
      </c>
      <c r="AB301" s="7">
        <v>1</v>
      </c>
    </row>
    <row r="302" spans="1:28">
      <c r="A302" s="6">
        <v>46145</v>
      </c>
      <c r="B302" s="7" t="s">
        <v>578</v>
      </c>
      <c r="C302" s="62">
        <v>0.85416666666666663</v>
      </c>
      <c r="D302" s="7" t="s">
        <v>1365</v>
      </c>
      <c r="E302" s="7" t="s">
        <v>253</v>
      </c>
      <c r="F302" s="7" t="s">
        <v>161</v>
      </c>
      <c r="G302" s="7" t="s">
        <v>85</v>
      </c>
      <c r="H302" s="7" t="s">
        <v>149</v>
      </c>
      <c r="I302" s="14"/>
      <c r="J302" s="7" t="s">
        <v>35</v>
      </c>
      <c r="K302" s="7" t="s">
        <v>149</v>
      </c>
      <c r="L302" s="7">
        <v>1288</v>
      </c>
      <c r="M302" s="7">
        <v>218</v>
      </c>
      <c r="N302" s="7">
        <v>27</v>
      </c>
      <c r="O302" s="7">
        <v>2</v>
      </c>
      <c r="P302" s="7">
        <v>1</v>
      </c>
      <c r="Q302" s="69">
        <f t="shared" si="23"/>
        <v>0.16925465838509315</v>
      </c>
      <c r="R302" s="69">
        <f t="shared" si="23"/>
        <v>0.12385321100917432</v>
      </c>
      <c r="S302" s="7"/>
      <c r="T302" s="7"/>
      <c r="U302" s="7"/>
      <c r="V302" s="7"/>
      <c r="W302" s="7"/>
      <c r="Z302" s="7">
        <v>512</v>
      </c>
      <c r="AA302" s="7">
        <v>2</v>
      </c>
      <c r="AB302" s="7">
        <v>0</v>
      </c>
    </row>
    <row r="303" spans="1:28">
      <c r="A303" s="6">
        <v>46145</v>
      </c>
      <c r="B303" s="7" t="s">
        <v>578</v>
      </c>
      <c r="C303" s="62" t="s">
        <v>1131</v>
      </c>
      <c r="D303" s="77" t="s">
        <v>1366</v>
      </c>
      <c r="E303" s="7" t="s">
        <v>253</v>
      </c>
      <c r="F303" s="77" t="s">
        <v>436</v>
      </c>
      <c r="G303" s="7" t="s">
        <v>85</v>
      </c>
      <c r="H303" s="51" t="s">
        <v>149</v>
      </c>
      <c r="I303" s="14"/>
      <c r="J303" s="7" t="s">
        <v>35</v>
      </c>
      <c r="K303" s="7" t="s">
        <v>149</v>
      </c>
      <c r="L303" s="7">
        <v>1288</v>
      </c>
      <c r="M303" s="7">
        <v>69</v>
      </c>
      <c r="N303" s="7">
        <v>10</v>
      </c>
      <c r="O303" s="7">
        <v>0</v>
      </c>
      <c r="P303" s="7">
        <v>0</v>
      </c>
      <c r="Q303" s="69">
        <f t="shared" si="23"/>
        <v>5.3571428571428568E-2</v>
      </c>
      <c r="R303" s="69">
        <f t="shared" si="23"/>
        <v>0.14492753623188406</v>
      </c>
      <c r="S303" s="7"/>
      <c r="T303" s="7"/>
      <c r="U303" s="7"/>
      <c r="V303" s="7"/>
      <c r="W303" s="7"/>
      <c r="Z303" s="7">
        <v>1075</v>
      </c>
      <c r="AA303" s="7">
        <v>507</v>
      </c>
      <c r="AB303" s="7">
        <v>327</v>
      </c>
    </row>
    <row r="304" spans="1:28" ht="16.8">
      <c r="A304" s="6">
        <v>46145</v>
      </c>
      <c r="B304" s="7" t="s">
        <v>578</v>
      </c>
      <c r="C304" s="62">
        <v>0.875</v>
      </c>
      <c r="D304" s="7" t="s">
        <v>1367</v>
      </c>
      <c r="E304" s="7" t="s">
        <v>253</v>
      </c>
      <c r="F304" s="7" t="s">
        <v>247</v>
      </c>
      <c r="G304" s="7" t="s">
        <v>85</v>
      </c>
      <c r="H304" s="52" t="s">
        <v>157</v>
      </c>
      <c r="I304" s="14"/>
      <c r="J304" s="7" t="s">
        <v>35</v>
      </c>
      <c r="K304" s="52" t="s">
        <v>157</v>
      </c>
      <c r="L304" s="7">
        <v>2323</v>
      </c>
      <c r="M304" s="7">
        <v>324</v>
      </c>
      <c r="N304" s="7">
        <v>35</v>
      </c>
      <c r="O304" s="7">
        <v>1</v>
      </c>
      <c r="P304" s="7">
        <v>1</v>
      </c>
      <c r="Q304" s="69">
        <f t="shared" si="23"/>
        <v>0.13947481704692208</v>
      </c>
      <c r="R304" s="69">
        <f t="shared" si="23"/>
        <v>0.10802469135802469</v>
      </c>
      <c r="S304" s="7"/>
      <c r="T304" s="7"/>
      <c r="U304" s="7"/>
      <c r="V304" s="7"/>
      <c r="W304" s="7"/>
      <c r="Z304" s="7">
        <v>1805</v>
      </c>
      <c r="AA304" s="7">
        <v>502</v>
      </c>
      <c r="AB304" s="7">
        <v>402</v>
      </c>
    </row>
    <row r="305" spans="1:28" ht="16.8">
      <c r="A305" s="6">
        <v>46145</v>
      </c>
      <c r="B305" s="7" t="s">
        <v>578</v>
      </c>
      <c r="C305" s="62">
        <v>0.98958333333333337</v>
      </c>
      <c r="D305" s="77" t="s">
        <v>1368</v>
      </c>
      <c r="E305" s="7" t="s">
        <v>253</v>
      </c>
      <c r="F305" s="77" t="s">
        <v>438</v>
      </c>
      <c r="G305" s="7" t="s">
        <v>85</v>
      </c>
      <c r="H305" s="52" t="s">
        <v>157</v>
      </c>
      <c r="I305" s="14"/>
      <c r="J305" s="7" t="s">
        <v>35</v>
      </c>
      <c r="K305" s="52" t="s">
        <v>157</v>
      </c>
      <c r="L305" s="7">
        <v>1950</v>
      </c>
      <c r="M305" s="7">
        <v>181</v>
      </c>
      <c r="N305" s="7">
        <v>23</v>
      </c>
      <c r="O305" s="7">
        <v>1</v>
      </c>
      <c r="P305" s="7">
        <v>0</v>
      </c>
      <c r="Q305" s="69">
        <f t="shared" si="23"/>
        <v>9.2820512820512818E-2</v>
      </c>
      <c r="R305" s="69">
        <f t="shared" si="23"/>
        <v>0.1270718232044199</v>
      </c>
      <c r="S305" s="7"/>
      <c r="T305" s="7"/>
      <c r="U305" s="7"/>
      <c r="V305" s="7"/>
      <c r="W305" s="7"/>
      <c r="Z305" s="86">
        <v>1808</v>
      </c>
      <c r="AA305" s="86">
        <v>502</v>
      </c>
      <c r="AB305" s="86">
        <v>367</v>
      </c>
    </row>
    <row r="306" spans="1:28" ht="16.8">
      <c r="A306" s="6">
        <v>46145</v>
      </c>
      <c r="B306" s="7" t="s">
        <v>578</v>
      </c>
      <c r="C306" s="62">
        <v>0.97916666666666663</v>
      </c>
      <c r="D306" s="7" t="s">
        <v>1369</v>
      </c>
      <c r="E306" s="31" t="s">
        <v>253</v>
      </c>
      <c r="F306" s="31" t="s">
        <v>342</v>
      </c>
      <c r="G306" s="7" t="s">
        <v>85</v>
      </c>
      <c r="H306" s="52" t="s">
        <v>420</v>
      </c>
      <c r="I306" s="14"/>
      <c r="J306" s="7" t="s">
        <v>35</v>
      </c>
      <c r="K306" s="52" t="s">
        <v>420</v>
      </c>
      <c r="L306" s="7">
        <v>444</v>
      </c>
      <c r="M306" s="7">
        <v>47</v>
      </c>
      <c r="N306" s="7">
        <v>9</v>
      </c>
      <c r="O306" s="7">
        <v>0</v>
      </c>
      <c r="P306" s="7">
        <v>0</v>
      </c>
      <c r="Q306" s="69">
        <f t="shared" si="23"/>
        <v>0.10585585585585586</v>
      </c>
      <c r="R306" s="69">
        <f t="shared" si="23"/>
        <v>0.19148936170212766</v>
      </c>
      <c r="S306" s="7"/>
      <c r="T306" s="7"/>
      <c r="U306" s="7"/>
      <c r="V306" s="7"/>
      <c r="W306" s="7"/>
      <c r="Z306">
        <f>SUM(Z301:Z305)</f>
        <v>7043</v>
      </c>
      <c r="AA306">
        <f>SUM(AA301:AA305)</f>
        <v>1518</v>
      </c>
      <c r="AB306">
        <f>SUM(AB301:AB305)</f>
        <v>1097</v>
      </c>
    </row>
    <row r="307" spans="1:28" ht="16.8">
      <c r="A307" s="6">
        <v>46145</v>
      </c>
      <c r="B307" s="7" t="s">
        <v>578</v>
      </c>
      <c r="C307" s="62" t="s">
        <v>719</v>
      </c>
      <c r="D307" s="77" t="s">
        <v>1370</v>
      </c>
      <c r="E307" s="7" t="s">
        <v>253</v>
      </c>
      <c r="F307" s="77" t="s">
        <v>440</v>
      </c>
      <c r="G307" s="7" t="s">
        <v>85</v>
      </c>
      <c r="H307" s="180" t="s">
        <v>420</v>
      </c>
      <c r="I307" s="14"/>
      <c r="J307" s="7" t="s">
        <v>35</v>
      </c>
      <c r="K307" s="52" t="s">
        <v>420</v>
      </c>
      <c r="L307" s="7">
        <v>446</v>
      </c>
      <c r="M307" s="7">
        <v>79</v>
      </c>
      <c r="N307" s="7">
        <v>17</v>
      </c>
      <c r="O307" s="7">
        <v>1</v>
      </c>
      <c r="P307" s="7">
        <v>0</v>
      </c>
      <c r="Q307" s="69">
        <f t="shared" ref="Q307:R310" si="24">M307/L307</f>
        <v>0.17713004484304934</v>
      </c>
      <c r="R307" s="69">
        <f t="shared" si="24"/>
        <v>0.21518987341772153</v>
      </c>
      <c r="S307" s="7"/>
      <c r="T307" s="7"/>
      <c r="U307" s="7"/>
      <c r="V307" s="7"/>
      <c r="W307" s="7"/>
    </row>
    <row r="308" spans="1:28">
      <c r="A308" s="6">
        <v>46145</v>
      </c>
      <c r="B308" s="7" t="s">
        <v>578</v>
      </c>
      <c r="C308" s="62">
        <v>0.91666666666666663</v>
      </c>
      <c r="D308" s="7" t="s">
        <v>1371</v>
      </c>
      <c r="E308" s="7" t="s">
        <v>253</v>
      </c>
      <c r="F308" s="7" t="s">
        <v>161</v>
      </c>
      <c r="G308" s="7" t="s">
        <v>85</v>
      </c>
      <c r="H308" s="7" t="s">
        <v>121</v>
      </c>
      <c r="I308" s="47"/>
      <c r="J308" s="7" t="s">
        <v>35</v>
      </c>
      <c r="K308" s="7" t="s">
        <v>121</v>
      </c>
      <c r="L308" s="7">
        <v>1075</v>
      </c>
      <c r="M308" s="7">
        <v>507</v>
      </c>
      <c r="N308" s="7">
        <v>327</v>
      </c>
      <c r="O308" s="7">
        <v>0</v>
      </c>
      <c r="P308" s="7">
        <v>0</v>
      </c>
      <c r="Q308" s="69">
        <f t="shared" si="24"/>
        <v>0.47162790697674417</v>
      </c>
      <c r="R308" s="69">
        <f t="shared" si="24"/>
        <v>0.6449704142011834</v>
      </c>
      <c r="S308" s="7"/>
      <c r="T308" s="7"/>
      <c r="U308" s="7"/>
      <c r="V308" s="7"/>
      <c r="W308" s="7"/>
    </row>
    <row r="309" spans="1:28" ht="16.8">
      <c r="A309" s="6">
        <v>46145</v>
      </c>
      <c r="B309" s="7" t="s">
        <v>578</v>
      </c>
      <c r="C309" s="62">
        <v>0.96875</v>
      </c>
      <c r="D309" s="7" t="s">
        <v>1372</v>
      </c>
      <c r="E309" s="7" t="s">
        <v>253</v>
      </c>
      <c r="F309" s="7" t="s">
        <v>247</v>
      </c>
      <c r="G309" s="7" t="s">
        <v>85</v>
      </c>
      <c r="H309" s="52" t="s">
        <v>210</v>
      </c>
      <c r="I309" s="47"/>
      <c r="J309" s="7" t="s">
        <v>35</v>
      </c>
      <c r="K309" s="52" t="s">
        <v>210</v>
      </c>
      <c r="L309" s="7">
        <v>1805</v>
      </c>
      <c r="M309" s="7">
        <v>502</v>
      </c>
      <c r="N309" s="7">
        <v>402</v>
      </c>
      <c r="O309" s="7">
        <v>0</v>
      </c>
      <c r="P309" s="7">
        <v>0</v>
      </c>
      <c r="Q309" s="69">
        <f t="shared" si="24"/>
        <v>0.27811634349030473</v>
      </c>
      <c r="R309" s="69">
        <f t="shared" si="24"/>
        <v>0.80079681274900394</v>
      </c>
      <c r="S309" s="7"/>
      <c r="T309" s="7"/>
      <c r="U309" s="7"/>
      <c r="V309" s="7"/>
      <c r="W309" s="7"/>
    </row>
    <row r="310" spans="1:28" ht="16.8">
      <c r="A310" s="6">
        <v>46145</v>
      </c>
      <c r="B310" s="7" t="s">
        <v>578</v>
      </c>
      <c r="C310" s="91" t="s">
        <v>999</v>
      </c>
      <c r="D310" s="7" t="s">
        <v>1373</v>
      </c>
      <c r="E310" s="7" t="s">
        <v>253</v>
      </c>
      <c r="F310" s="7" t="s">
        <v>702</v>
      </c>
      <c r="G310" s="7" t="s">
        <v>85</v>
      </c>
      <c r="H310" s="52" t="s">
        <v>210</v>
      </c>
      <c r="I310" s="98"/>
      <c r="J310" s="7" t="s">
        <v>35</v>
      </c>
      <c r="K310" s="52" t="s">
        <v>210</v>
      </c>
      <c r="L310" s="86">
        <v>1808</v>
      </c>
      <c r="M310" s="86">
        <v>502</v>
      </c>
      <c r="N310" s="86">
        <v>367</v>
      </c>
      <c r="O310" s="86">
        <v>1</v>
      </c>
      <c r="P310" s="86">
        <v>0</v>
      </c>
      <c r="Q310" s="69">
        <f t="shared" si="24"/>
        <v>0.27765486725663718</v>
      </c>
      <c r="R310" s="69">
        <f t="shared" si="24"/>
        <v>0.7310756972111554</v>
      </c>
      <c r="S310" s="86"/>
      <c r="T310" s="86"/>
      <c r="U310" s="86"/>
      <c r="V310" s="86"/>
      <c r="W310" s="87"/>
    </row>
    <row r="311" spans="1:28" ht="6.6" customHeight="1">
      <c r="A311" s="22"/>
      <c r="B311" s="23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5"/>
      <c r="R311" s="25"/>
      <c r="S311" s="24"/>
      <c r="T311" s="24"/>
      <c r="U311" s="24"/>
      <c r="V311" s="25"/>
      <c r="W311" s="26"/>
    </row>
    <row r="312" spans="1:28">
      <c r="A312" s="6">
        <v>46146</v>
      </c>
      <c r="B312" s="7" t="s">
        <v>301</v>
      </c>
      <c r="C312" s="18" t="s">
        <v>591</v>
      </c>
      <c r="D312" s="18" t="s">
        <v>108</v>
      </c>
      <c r="E312" s="18" t="s">
        <v>35</v>
      </c>
      <c r="F312" s="18" t="s">
        <v>115</v>
      </c>
      <c r="G312" s="18"/>
      <c r="H312" s="18" t="s">
        <v>106</v>
      </c>
      <c r="I312" s="14"/>
      <c r="J312" s="18" t="s">
        <v>35</v>
      </c>
      <c r="K312" s="18" t="s">
        <v>106</v>
      </c>
      <c r="L312" s="7"/>
      <c r="M312" s="7"/>
      <c r="N312" s="7"/>
      <c r="O312" s="7"/>
      <c r="P312" s="7"/>
      <c r="Q312" s="69" t="e">
        <f t="shared" ref="Q312:Q337" si="25">M312/L312</f>
        <v>#DIV/0!</v>
      </c>
      <c r="R312" s="69" t="e">
        <f t="shared" ref="R312:R337" si="26">N312/M312</f>
        <v>#DIV/0!</v>
      </c>
      <c r="S312" s="7"/>
      <c r="T312" s="7"/>
      <c r="U312" s="7"/>
      <c r="V312" s="7"/>
      <c r="W312" s="7"/>
    </row>
    <row r="313" spans="1:28">
      <c r="A313" s="6">
        <v>46146</v>
      </c>
      <c r="B313" s="7" t="s">
        <v>301</v>
      </c>
      <c r="C313" s="18" t="s">
        <v>592</v>
      </c>
      <c r="D313" s="18" t="s">
        <v>587</v>
      </c>
      <c r="E313" s="18" t="s">
        <v>35</v>
      </c>
      <c r="F313" s="18" t="s">
        <v>588</v>
      </c>
      <c r="G313" s="18"/>
      <c r="H313" s="18" t="s">
        <v>106</v>
      </c>
      <c r="I313" s="29"/>
      <c r="J313" s="18" t="s">
        <v>35</v>
      </c>
      <c r="K313" s="18" t="s">
        <v>106</v>
      </c>
      <c r="L313" s="7"/>
      <c r="M313" s="7"/>
      <c r="N313" s="7"/>
      <c r="O313" s="7"/>
      <c r="P313" s="7"/>
      <c r="Q313" s="69" t="e">
        <f t="shared" si="25"/>
        <v>#DIV/0!</v>
      </c>
      <c r="R313" s="69" t="e">
        <f t="shared" si="26"/>
        <v>#DIV/0!</v>
      </c>
      <c r="S313" s="7"/>
      <c r="T313" s="7"/>
      <c r="U313" s="7"/>
      <c r="V313" s="7"/>
      <c r="W313" s="7"/>
    </row>
    <row r="314" spans="1:28">
      <c r="A314" s="6">
        <v>46146</v>
      </c>
      <c r="B314" s="7" t="s">
        <v>301</v>
      </c>
      <c r="C314" s="18"/>
      <c r="D314" s="18" t="s">
        <v>155</v>
      </c>
      <c r="E314" s="18" t="s">
        <v>35</v>
      </c>
      <c r="F314" s="18" t="s">
        <v>156</v>
      </c>
      <c r="G314" s="18"/>
      <c r="H314" s="18" t="s">
        <v>157</v>
      </c>
      <c r="I314" s="30"/>
      <c r="J314" s="18" t="s">
        <v>35</v>
      </c>
      <c r="K314" s="18" t="s">
        <v>157</v>
      </c>
      <c r="L314" s="7"/>
      <c r="M314" s="7"/>
      <c r="N314" s="7"/>
      <c r="O314" s="7"/>
      <c r="P314" s="7"/>
      <c r="Q314" s="69" t="e">
        <f t="shared" si="25"/>
        <v>#DIV/0!</v>
      </c>
      <c r="R314" s="69" t="e">
        <f t="shared" si="26"/>
        <v>#DIV/0!</v>
      </c>
      <c r="S314" s="7"/>
      <c r="T314" s="7"/>
      <c r="U314" s="7"/>
      <c r="V314" s="7"/>
      <c r="W314" s="7"/>
    </row>
    <row r="315" spans="1:28">
      <c r="A315" s="6">
        <v>46146</v>
      </c>
      <c r="B315" s="7" t="s">
        <v>301</v>
      </c>
      <c r="C315" s="18"/>
      <c r="D315" s="18" t="s">
        <v>158</v>
      </c>
      <c r="E315" s="18" t="s">
        <v>35</v>
      </c>
      <c r="F315" s="18" t="s">
        <v>159</v>
      </c>
      <c r="G315" s="18"/>
      <c r="H315" s="18" t="s">
        <v>149</v>
      </c>
      <c r="I315" s="30"/>
      <c r="J315" s="18" t="s">
        <v>35</v>
      </c>
      <c r="K315" s="18" t="s">
        <v>149</v>
      </c>
      <c r="L315" s="7"/>
      <c r="M315" s="7"/>
      <c r="N315" s="7"/>
      <c r="O315" s="7"/>
      <c r="P315" s="7"/>
      <c r="Q315" s="69" t="e">
        <f t="shared" si="25"/>
        <v>#DIV/0!</v>
      </c>
      <c r="R315" s="69" t="e">
        <f t="shared" si="26"/>
        <v>#DIV/0!</v>
      </c>
      <c r="S315" s="7"/>
      <c r="T315" s="7"/>
      <c r="U315" s="7"/>
      <c r="V315" s="7"/>
      <c r="W315" s="7"/>
      <c r="Z315" s="7">
        <v>897</v>
      </c>
      <c r="AA315" s="7">
        <v>17</v>
      </c>
      <c r="AB315" s="7">
        <v>3</v>
      </c>
    </row>
    <row r="316" spans="1:28">
      <c r="A316" s="6">
        <v>46146</v>
      </c>
      <c r="B316" s="7" t="s">
        <v>301</v>
      </c>
      <c r="C316" s="18" t="s">
        <v>591</v>
      </c>
      <c r="D316" s="18" t="s">
        <v>189</v>
      </c>
      <c r="E316" s="18" t="s">
        <v>35</v>
      </c>
      <c r="F316" s="18"/>
      <c r="G316" s="18"/>
      <c r="H316" s="18" t="s">
        <v>186</v>
      </c>
      <c r="I316" s="30"/>
      <c r="J316" s="18" t="s">
        <v>35</v>
      </c>
      <c r="K316" s="18" t="s">
        <v>186</v>
      </c>
      <c r="L316" s="7"/>
      <c r="M316" s="7"/>
      <c r="N316" s="7"/>
      <c r="O316" s="7"/>
      <c r="P316" s="7"/>
      <c r="Q316" s="69" t="e">
        <f t="shared" si="25"/>
        <v>#DIV/0!</v>
      </c>
      <c r="R316" s="69" t="e">
        <f t="shared" si="26"/>
        <v>#DIV/0!</v>
      </c>
      <c r="S316" s="7"/>
      <c r="T316" s="7"/>
      <c r="U316" s="7"/>
      <c r="V316" s="7"/>
      <c r="W316" s="7"/>
      <c r="Z316" s="7">
        <v>356</v>
      </c>
      <c r="AA316" s="7">
        <v>93</v>
      </c>
      <c r="AB316" s="7">
        <v>20</v>
      </c>
    </row>
    <row r="317" spans="1:28">
      <c r="A317" s="6">
        <v>46146</v>
      </c>
      <c r="B317" s="7" t="s">
        <v>301</v>
      </c>
      <c r="C317" s="18" t="s">
        <v>592</v>
      </c>
      <c r="D317" s="18" t="s">
        <v>587</v>
      </c>
      <c r="E317" s="18" t="s">
        <v>35</v>
      </c>
      <c r="F317" s="18" t="s">
        <v>588</v>
      </c>
      <c r="G317" s="18"/>
      <c r="H317" s="18" t="s">
        <v>186</v>
      </c>
      <c r="I317" s="29"/>
      <c r="J317" s="18" t="s">
        <v>35</v>
      </c>
      <c r="K317" s="18" t="s">
        <v>186</v>
      </c>
      <c r="L317" s="7"/>
      <c r="M317" s="7"/>
      <c r="N317" s="7"/>
      <c r="O317" s="7"/>
      <c r="P317" s="7"/>
      <c r="Q317" s="69" t="e">
        <f t="shared" si="25"/>
        <v>#DIV/0!</v>
      </c>
      <c r="R317" s="69" t="e">
        <f t="shared" si="26"/>
        <v>#DIV/0!</v>
      </c>
      <c r="S317" s="7"/>
      <c r="T317" s="7"/>
      <c r="U317" s="7"/>
      <c r="V317" s="7"/>
      <c r="W317" s="7"/>
      <c r="Z317" s="7">
        <v>246</v>
      </c>
      <c r="AA317" s="7">
        <v>47</v>
      </c>
      <c r="AB317" s="7">
        <v>17</v>
      </c>
    </row>
    <row r="318" spans="1:28">
      <c r="A318" s="6">
        <v>46146</v>
      </c>
      <c r="B318" s="7" t="s">
        <v>301</v>
      </c>
      <c r="C318" s="18" t="s">
        <v>589</v>
      </c>
      <c r="D318" s="18" t="s">
        <v>1069</v>
      </c>
      <c r="E318" s="18" t="s">
        <v>253</v>
      </c>
      <c r="F318" s="21" t="s">
        <v>1070</v>
      </c>
      <c r="G318" s="18"/>
      <c r="H318" s="21" t="s">
        <v>1047</v>
      </c>
      <c r="I318" s="29"/>
      <c r="J318" s="18" t="s">
        <v>35</v>
      </c>
      <c r="K318" s="21" t="s">
        <v>1047</v>
      </c>
      <c r="L318" s="7"/>
      <c r="M318" s="7"/>
      <c r="N318" s="7"/>
      <c r="O318" s="7"/>
      <c r="P318" s="7"/>
      <c r="Q318" s="69" t="e">
        <f t="shared" si="25"/>
        <v>#DIV/0!</v>
      </c>
      <c r="R318" s="69" t="e">
        <f t="shared" si="26"/>
        <v>#DIV/0!</v>
      </c>
      <c r="S318" s="7"/>
      <c r="T318" s="7"/>
      <c r="U318" s="7"/>
      <c r="V318" s="7"/>
      <c r="W318" s="7"/>
      <c r="Z318" s="7">
        <v>3143</v>
      </c>
      <c r="AA318" s="7">
        <v>63</v>
      </c>
      <c r="AB318" s="7">
        <v>2</v>
      </c>
    </row>
    <row r="319" spans="1:28">
      <c r="A319" s="6">
        <v>46146</v>
      </c>
      <c r="B319" s="7" t="s">
        <v>301</v>
      </c>
      <c r="C319" s="18" t="s">
        <v>589</v>
      </c>
      <c r="D319" s="18" t="s">
        <v>1071</v>
      </c>
      <c r="E319" s="18" t="s">
        <v>253</v>
      </c>
      <c r="F319" s="21" t="s">
        <v>1070</v>
      </c>
      <c r="G319" s="18"/>
      <c r="H319" s="21" t="s">
        <v>1049</v>
      </c>
      <c r="I319" s="29"/>
      <c r="J319" s="18" t="s">
        <v>35</v>
      </c>
      <c r="K319" s="21" t="s">
        <v>1049</v>
      </c>
      <c r="L319" s="7"/>
      <c r="M319" s="7"/>
      <c r="N319" s="7"/>
      <c r="O319" s="7"/>
      <c r="P319" s="7"/>
      <c r="Q319" s="69" t="e">
        <f t="shared" si="25"/>
        <v>#DIV/0!</v>
      </c>
      <c r="R319" s="69" t="e">
        <f t="shared" si="26"/>
        <v>#DIV/0!</v>
      </c>
      <c r="S319" s="7"/>
      <c r="T319" s="7"/>
      <c r="U319" s="7"/>
      <c r="V319" s="7"/>
      <c r="W319" s="7"/>
      <c r="Z319" s="7">
        <v>246</v>
      </c>
      <c r="AA319" s="7">
        <v>62</v>
      </c>
      <c r="AB319" s="7">
        <v>16</v>
      </c>
    </row>
    <row r="320" spans="1:28">
      <c r="A320" s="6">
        <v>46146</v>
      </c>
      <c r="B320" s="7" t="s">
        <v>301</v>
      </c>
      <c r="C320" s="18" t="s">
        <v>589</v>
      </c>
      <c r="D320" s="18" t="s">
        <v>1072</v>
      </c>
      <c r="E320" s="18" t="s">
        <v>253</v>
      </c>
      <c r="F320" s="21" t="s">
        <v>1073</v>
      </c>
      <c r="G320" s="18"/>
      <c r="H320" s="18" t="s">
        <v>149</v>
      </c>
      <c r="I320" s="29"/>
      <c r="J320" s="18" t="s">
        <v>35</v>
      </c>
      <c r="K320" s="18" t="s">
        <v>149</v>
      </c>
      <c r="L320" s="7"/>
      <c r="M320" s="7"/>
      <c r="N320" s="7"/>
      <c r="O320" s="7"/>
      <c r="P320" s="7"/>
      <c r="Q320" s="69" t="e">
        <f t="shared" si="25"/>
        <v>#DIV/0!</v>
      </c>
      <c r="R320" s="69" t="e">
        <f t="shared" si="26"/>
        <v>#DIV/0!</v>
      </c>
      <c r="S320" s="7"/>
      <c r="T320" s="7"/>
      <c r="U320" s="7"/>
      <c r="V320" s="7"/>
      <c r="W320" s="7"/>
      <c r="Z320" s="7">
        <v>1288</v>
      </c>
      <c r="AA320" s="7">
        <v>218</v>
      </c>
      <c r="AB320" s="7">
        <v>27</v>
      </c>
    </row>
    <row r="321" spans="1:28">
      <c r="A321" s="6">
        <v>46146</v>
      </c>
      <c r="B321" s="7" t="s">
        <v>301</v>
      </c>
      <c r="C321" s="7"/>
      <c r="D321" s="7" t="s">
        <v>1515</v>
      </c>
      <c r="E321" s="7" t="s">
        <v>253</v>
      </c>
      <c r="F321" s="7"/>
      <c r="G321" s="7"/>
      <c r="H321" s="7" t="s">
        <v>170</v>
      </c>
      <c r="I321" s="14"/>
      <c r="J321" s="7" t="s">
        <v>35</v>
      </c>
      <c r="K321" s="7" t="s">
        <v>170</v>
      </c>
      <c r="L321" s="7"/>
      <c r="M321" s="7"/>
      <c r="N321" s="7"/>
      <c r="O321" s="7"/>
      <c r="P321" s="7"/>
      <c r="Q321" s="69" t="e">
        <f t="shared" si="25"/>
        <v>#DIV/0!</v>
      </c>
      <c r="R321" s="69" t="e">
        <f t="shared" si="26"/>
        <v>#DIV/0!</v>
      </c>
      <c r="S321" s="7"/>
      <c r="T321" s="7"/>
      <c r="U321" s="7"/>
      <c r="V321" s="7"/>
      <c r="W321" s="7"/>
      <c r="Z321" s="7">
        <v>1288</v>
      </c>
      <c r="AA321" s="7">
        <v>69</v>
      </c>
      <c r="AB321" s="7">
        <v>10</v>
      </c>
    </row>
    <row r="322" spans="1:28">
      <c r="A322" s="6">
        <v>46146</v>
      </c>
      <c r="B322" s="7" t="s">
        <v>301</v>
      </c>
      <c r="C322" s="7"/>
      <c r="D322" s="100" t="s">
        <v>1516</v>
      </c>
      <c r="E322" s="7" t="s">
        <v>253</v>
      </c>
      <c r="F322" s="7"/>
      <c r="G322" s="7"/>
      <c r="H322" s="7" t="s">
        <v>170</v>
      </c>
      <c r="I322" s="84"/>
      <c r="J322" s="7" t="s">
        <v>35</v>
      </c>
      <c r="K322" s="7" t="s">
        <v>170</v>
      </c>
      <c r="L322" s="7"/>
      <c r="M322" s="7"/>
      <c r="N322" s="7"/>
      <c r="O322" s="7"/>
      <c r="P322" s="7"/>
      <c r="Q322" s="69" t="e">
        <f t="shared" si="25"/>
        <v>#DIV/0!</v>
      </c>
      <c r="R322" s="69" t="e">
        <f t="shared" si="26"/>
        <v>#DIV/0!</v>
      </c>
      <c r="S322" s="7"/>
      <c r="T322" s="7"/>
      <c r="U322" s="7"/>
      <c r="V322" s="7"/>
      <c r="W322" s="7"/>
      <c r="Z322" s="7">
        <v>2323</v>
      </c>
      <c r="AA322" s="7">
        <v>324</v>
      </c>
      <c r="AB322" s="7">
        <v>35</v>
      </c>
    </row>
    <row r="323" spans="1:28">
      <c r="A323" s="6">
        <v>46146</v>
      </c>
      <c r="B323" s="7" t="s">
        <v>301</v>
      </c>
      <c r="C323" s="7"/>
      <c r="D323" s="100" t="s">
        <v>1517</v>
      </c>
      <c r="E323" s="7" t="s">
        <v>253</v>
      </c>
      <c r="F323" s="7"/>
      <c r="G323" s="7"/>
      <c r="H323" s="7" t="s">
        <v>170</v>
      </c>
      <c r="I323" s="84"/>
      <c r="J323" s="7" t="s">
        <v>35</v>
      </c>
      <c r="K323" s="7" t="s">
        <v>170</v>
      </c>
      <c r="L323" s="7"/>
      <c r="M323" s="7"/>
      <c r="N323" s="7"/>
      <c r="O323" s="7"/>
      <c r="P323" s="7"/>
      <c r="Q323" s="69" t="e">
        <f t="shared" si="25"/>
        <v>#DIV/0!</v>
      </c>
      <c r="R323" s="69" t="e">
        <f t="shared" si="26"/>
        <v>#DIV/0!</v>
      </c>
      <c r="S323" s="7"/>
      <c r="T323" s="7"/>
      <c r="U323" s="7"/>
      <c r="V323" s="7"/>
      <c r="W323" s="7"/>
      <c r="Z323" s="7">
        <v>1950</v>
      </c>
      <c r="AA323" s="7">
        <v>181</v>
      </c>
      <c r="AB323" s="7">
        <v>23</v>
      </c>
    </row>
    <row r="324" spans="1:28">
      <c r="A324" s="6">
        <v>46146</v>
      </c>
      <c r="B324" s="7" t="s">
        <v>301</v>
      </c>
      <c r="C324" s="7"/>
      <c r="D324" s="100" t="s">
        <v>1518</v>
      </c>
      <c r="E324" s="7" t="s">
        <v>253</v>
      </c>
      <c r="F324" s="7"/>
      <c r="G324" s="7"/>
      <c r="H324" s="7" t="s">
        <v>170</v>
      </c>
      <c r="I324" s="84"/>
      <c r="J324" s="7" t="s">
        <v>35</v>
      </c>
      <c r="K324" s="7" t="s">
        <v>170</v>
      </c>
      <c r="L324" s="7"/>
      <c r="M324" s="7"/>
      <c r="N324" s="7"/>
      <c r="O324" s="7"/>
      <c r="P324" s="7"/>
      <c r="Q324" s="69" t="e">
        <f t="shared" si="25"/>
        <v>#DIV/0!</v>
      </c>
      <c r="R324" s="69" t="e">
        <f t="shared" si="26"/>
        <v>#DIV/0!</v>
      </c>
      <c r="S324" s="7"/>
      <c r="T324" s="7"/>
      <c r="U324" s="7"/>
      <c r="V324" s="7"/>
      <c r="W324" s="7"/>
      <c r="Z324" s="7">
        <v>444</v>
      </c>
      <c r="AA324" s="7">
        <v>47</v>
      </c>
      <c r="AB324" s="7">
        <v>9</v>
      </c>
    </row>
    <row r="325" spans="1:28">
      <c r="A325" s="6">
        <v>46146</v>
      </c>
      <c r="B325" s="7" t="s">
        <v>301</v>
      </c>
      <c r="C325" s="7"/>
      <c r="D325" s="7" t="s">
        <v>1519</v>
      </c>
      <c r="E325" s="7" t="s">
        <v>253</v>
      </c>
      <c r="F325" s="7"/>
      <c r="G325" s="7"/>
      <c r="H325" t="s">
        <v>982</v>
      </c>
      <c r="I325" s="14"/>
      <c r="J325" s="7" t="s">
        <v>35</v>
      </c>
      <c r="K325" s="7" t="s">
        <v>171</v>
      </c>
      <c r="L325" s="7"/>
      <c r="M325" s="7"/>
      <c r="N325" s="7"/>
      <c r="O325" s="7"/>
      <c r="P325" s="7"/>
      <c r="Q325" s="69" t="e">
        <f t="shared" si="25"/>
        <v>#DIV/0!</v>
      </c>
      <c r="R325" s="69" t="e">
        <f t="shared" si="26"/>
        <v>#DIV/0!</v>
      </c>
      <c r="S325" s="7"/>
      <c r="T325" s="7"/>
      <c r="U325" s="7"/>
      <c r="V325" s="7"/>
      <c r="W325" s="7"/>
      <c r="Z325" s="7">
        <v>446</v>
      </c>
      <c r="AA325" s="7">
        <v>79</v>
      </c>
      <c r="AB325" s="7">
        <v>17</v>
      </c>
    </row>
    <row r="326" spans="1:28">
      <c r="A326" s="6">
        <v>46146</v>
      </c>
      <c r="B326" s="7" t="s">
        <v>301</v>
      </c>
      <c r="C326" s="7"/>
      <c r="D326" s="7" t="s">
        <v>1520</v>
      </c>
      <c r="E326" s="7" t="s">
        <v>253</v>
      </c>
      <c r="F326" s="7"/>
      <c r="G326" s="7"/>
      <c r="H326" t="s">
        <v>982</v>
      </c>
      <c r="I326" s="14"/>
      <c r="J326" s="7" t="s">
        <v>35</v>
      </c>
      <c r="K326" s="7" t="s">
        <v>171</v>
      </c>
      <c r="L326" s="7"/>
      <c r="M326" s="7"/>
      <c r="N326" s="7"/>
      <c r="O326" s="7"/>
      <c r="P326" s="7"/>
      <c r="Q326" s="69" t="e">
        <f t="shared" si="25"/>
        <v>#DIV/0!</v>
      </c>
      <c r="R326" s="69" t="e">
        <f t="shared" si="26"/>
        <v>#DIV/0!</v>
      </c>
      <c r="S326" s="7"/>
      <c r="T326" s="7"/>
      <c r="U326" s="7"/>
      <c r="V326" s="7"/>
      <c r="W326" s="7"/>
      <c r="Z326">
        <f>SUM(Z315:Z325)</f>
        <v>12627</v>
      </c>
      <c r="AA326">
        <f>SUM(AA315:AA325)</f>
        <v>1200</v>
      </c>
      <c r="AB326">
        <f>SUM(AB315:AB325)</f>
        <v>179</v>
      </c>
    </row>
    <row r="327" spans="1:28">
      <c r="A327" s="6">
        <v>46146</v>
      </c>
      <c r="B327" s="7" t="s">
        <v>301</v>
      </c>
      <c r="C327" s="7"/>
      <c r="D327" s="7" t="s">
        <v>1521</v>
      </c>
      <c r="E327" s="7"/>
      <c r="F327" s="7"/>
      <c r="G327" s="7"/>
      <c r="H327" s="119" t="s">
        <v>982</v>
      </c>
      <c r="I327" s="14"/>
      <c r="J327" s="7" t="s">
        <v>35</v>
      </c>
      <c r="K327" s="7" t="s">
        <v>171</v>
      </c>
      <c r="L327" s="7"/>
      <c r="M327" s="7"/>
      <c r="N327" s="7"/>
      <c r="O327" s="7"/>
      <c r="P327" s="7"/>
      <c r="Q327" s="69" t="e">
        <f t="shared" si="25"/>
        <v>#DIV/0!</v>
      </c>
      <c r="R327" s="69" t="e">
        <f t="shared" si="26"/>
        <v>#DIV/0!</v>
      </c>
      <c r="S327" s="7"/>
      <c r="T327" s="7"/>
      <c r="U327" s="7"/>
      <c r="V327" s="7"/>
      <c r="W327" s="7"/>
    </row>
    <row r="328" spans="1:28">
      <c r="A328" s="6">
        <v>46146</v>
      </c>
      <c r="B328" s="7" t="s">
        <v>301</v>
      </c>
      <c r="C328" s="7"/>
      <c r="D328" s="7" t="s">
        <v>1522</v>
      </c>
      <c r="E328" s="7"/>
      <c r="F328" s="7"/>
      <c r="G328" s="7"/>
      <c r="H328" s="119" t="s">
        <v>982</v>
      </c>
      <c r="I328" s="14"/>
      <c r="J328" s="7" t="s">
        <v>35</v>
      </c>
      <c r="K328" s="7" t="s">
        <v>171</v>
      </c>
      <c r="L328" s="7"/>
      <c r="M328" s="7"/>
      <c r="N328" s="7"/>
      <c r="O328" s="7"/>
      <c r="P328" s="7"/>
      <c r="Q328" s="69" t="e">
        <f t="shared" si="25"/>
        <v>#DIV/0!</v>
      </c>
      <c r="R328" s="69" t="e">
        <f t="shared" si="26"/>
        <v>#DIV/0!</v>
      </c>
      <c r="S328" s="7"/>
      <c r="T328" s="7"/>
      <c r="U328" s="7"/>
      <c r="V328" s="7"/>
      <c r="W328" s="7"/>
      <c r="Z328" s="7">
        <v>1843</v>
      </c>
      <c r="AA328" s="7">
        <v>5</v>
      </c>
      <c r="AB328" s="7">
        <v>1</v>
      </c>
    </row>
    <row r="329" spans="1:28">
      <c r="A329" s="6">
        <v>46146</v>
      </c>
      <c r="B329" s="7" t="s">
        <v>301</v>
      </c>
      <c r="C329" s="62">
        <v>0.85416666666666663</v>
      </c>
      <c r="D329" s="7" t="s">
        <v>1585</v>
      </c>
      <c r="E329" s="7" t="s">
        <v>253</v>
      </c>
      <c r="F329" t="s">
        <v>1584</v>
      </c>
      <c r="G329" s="7" t="s">
        <v>85</v>
      </c>
      <c r="H329" s="7" t="s">
        <v>149</v>
      </c>
      <c r="I329" s="14" t="s">
        <v>785</v>
      </c>
      <c r="J329" s="7" t="s">
        <v>35</v>
      </c>
      <c r="K329" s="7" t="s">
        <v>149</v>
      </c>
      <c r="L329" s="7"/>
      <c r="M329" s="7"/>
      <c r="N329" s="7"/>
      <c r="O329" s="7"/>
      <c r="P329" s="7"/>
      <c r="Q329" s="69" t="e">
        <f t="shared" si="25"/>
        <v>#DIV/0!</v>
      </c>
      <c r="R329" s="69" t="e">
        <f t="shared" si="26"/>
        <v>#DIV/0!</v>
      </c>
      <c r="S329" s="7"/>
      <c r="T329" s="7"/>
      <c r="U329" s="7"/>
      <c r="V329" s="7"/>
      <c r="W329" s="7"/>
      <c r="Z329" s="7">
        <v>512</v>
      </c>
      <c r="AA329" s="7">
        <v>2</v>
      </c>
      <c r="AB329" s="7">
        <v>0</v>
      </c>
    </row>
    <row r="330" spans="1:28">
      <c r="A330" s="6">
        <v>46146</v>
      </c>
      <c r="B330" s="7" t="s">
        <v>301</v>
      </c>
      <c r="C330" s="62" t="s">
        <v>1131</v>
      </c>
      <c r="D330" s="31" t="s">
        <v>1581</v>
      </c>
      <c r="E330" s="7" t="s">
        <v>253</v>
      </c>
      <c r="F330" s="7" t="s">
        <v>700</v>
      </c>
      <c r="G330" s="7" t="s">
        <v>85</v>
      </c>
      <c r="H330" s="7" t="s">
        <v>149</v>
      </c>
      <c r="I330" s="14"/>
      <c r="J330" s="7" t="s">
        <v>35</v>
      </c>
      <c r="K330" s="7" t="s">
        <v>149</v>
      </c>
      <c r="L330" s="7"/>
      <c r="M330" s="7"/>
      <c r="N330" s="7"/>
      <c r="O330" s="7"/>
      <c r="P330" s="7"/>
      <c r="Q330" s="69" t="e">
        <f t="shared" si="25"/>
        <v>#DIV/0!</v>
      </c>
      <c r="R330" s="69" t="e">
        <f t="shared" si="26"/>
        <v>#DIV/0!</v>
      </c>
      <c r="S330" s="7"/>
      <c r="T330" s="7"/>
      <c r="U330" s="7"/>
      <c r="V330" s="7"/>
      <c r="W330" s="7"/>
      <c r="Z330" s="7">
        <v>1075</v>
      </c>
      <c r="AA330" s="7">
        <v>507</v>
      </c>
      <c r="AB330" s="7">
        <v>327</v>
      </c>
    </row>
    <row r="331" spans="1:28" ht="16.8">
      <c r="A331" s="6">
        <v>46146</v>
      </c>
      <c r="B331" s="7" t="s">
        <v>301</v>
      </c>
      <c r="C331" s="62">
        <v>0.875</v>
      </c>
      <c r="D331" s="7" t="s">
        <v>1586</v>
      </c>
      <c r="E331" s="7" t="s">
        <v>253</v>
      </c>
      <c r="F331" t="s">
        <v>1587</v>
      </c>
      <c r="G331" s="7" t="s">
        <v>85</v>
      </c>
      <c r="H331" s="107" t="s">
        <v>157</v>
      </c>
      <c r="I331" s="14" t="s">
        <v>785</v>
      </c>
      <c r="J331" s="7" t="s">
        <v>35</v>
      </c>
      <c r="K331" s="52" t="s">
        <v>157</v>
      </c>
      <c r="L331" s="7"/>
      <c r="M331" s="7"/>
      <c r="N331" s="7"/>
      <c r="O331" s="7"/>
      <c r="P331" s="7"/>
      <c r="Q331" s="69" t="e">
        <f t="shared" si="25"/>
        <v>#DIV/0!</v>
      </c>
      <c r="R331" s="69" t="e">
        <f t="shared" si="26"/>
        <v>#DIV/0!</v>
      </c>
      <c r="S331" s="7"/>
      <c r="T331" s="7"/>
      <c r="U331" s="7"/>
      <c r="V331" s="7"/>
      <c r="W331" s="7"/>
      <c r="Z331" s="7">
        <v>1805</v>
      </c>
      <c r="AA331" s="7">
        <v>502</v>
      </c>
      <c r="AB331" s="7">
        <v>402</v>
      </c>
    </row>
    <row r="332" spans="1:28" ht="16.8">
      <c r="A332" s="6">
        <v>46146</v>
      </c>
      <c r="B332" s="7" t="s">
        <v>301</v>
      </c>
      <c r="C332" s="62">
        <v>0.98958333333333337</v>
      </c>
      <c r="D332" s="31" t="s">
        <v>1582</v>
      </c>
      <c r="E332" s="7" t="s">
        <v>253</v>
      </c>
      <c r="F332" s="7" t="s">
        <v>702</v>
      </c>
      <c r="G332" s="7" t="s">
        <v>85</v>
      </c>
      <c r="H332" s="107" t="s">
        <v>157</v>
      </c>
      <c r="I332" s="14"/>
      <c r="J332" s="7" t="s">
        <v>35</v>
      </c>
      <c r="K332" s="52" t="s">
        <v>157</v>
      </c>
      <c r="L332" s="7"/>
      <c r="M332" s="7"/>
      <c r="N332" s="7"/>
      <c r="O332" s="7"/>
      <c r="P332" s="7"/>
      <c r="Q332" s="69" t="e">
        <f t="shared" si="25"/>
        <v>#DIV/0!</v>
      </c>
      <c r="R332" s="69" t="e">
        <f t="shared" si="26"/>
        <v>#DIV/0!</v>
      </c>
      <c r="S332" s="7"/>
      <c r="T332" s="7"/>
      <c r="U332" s="7"/>
      <c r="V332" s="7"/>
      <c r="W332" s="7"/>
      <c r="Z332" s="86">
        <v>1808</v>
      </c>
      <c r="AA332" s="86">
        <v>502</v>
      </c>
      <c r="AB332" s="86">
        <v>367</v>
      </c>
    </row>
    <row r="333" spans="1:28" ht="16.8">
      <c r="A333" s="6">
        <v>46146</v>
      </c>
      <c r="B333" s="7" t="s">
        <v>301</v>
      </c>
      <c r="C333" s="62">
        <v>0.97916666666666663</v>
      </c>
      <c r="D333" s="7" t="s">
        <v>1588</v>
      </c>
      <c r="E333" s="31" t="s">
        <v>253</v>
      </c>
      <c r="F333" t="s">
        <v>1589</v>
      </c>
      <c r="G333" s="7" t="s">
        <v>85</v>
      </c>
      <c r="H333" s="107" t="s">
        <v>420</v>
      </c>
      <c r="I333" s="14" t="s">
        <v>785</v>
      </c>
      <c r="J333" s="7" t="s">
        <v>35</v>
      </c>
      <c r="K333" s="52" t="s">
        <v>420</v>
      </c>
      <c r="L333" s="7"/>
      <c r="M333" s="7"/>
      <c r="N333" s="7"/>
      <c r="O333" s="7"/>
      <c r="P333" s="7"/>
      <c r="Q333" s="69" t="e">
        <f t="shared" si="25"/>
        <v>#DIV/0!</v>
      </c>
      <c r="R333" s="69" t="e">
        <f t="shared" si="26"/>
        <v>#DIV/0!</v>
      </c>
      <c r="S333" s="7"/>
      <c r="T333" s="7"/>
      <c r="U333" s="7"/>
      <c r="V333" s="7"/>
      <c r="W333" s="7"/>
      <c r="Z333">
        <f>SUM(Z328:Z332)</f>
        <v>7043</v>
      </c>
      <c r="AA333">
        <f>SUM(AA328:AA332)</f>
        <v>1518</v>
      </c>
      <c r="AB333">
        <f>SUM(AB328:AB332)</f>
        <v>1097</v>
      </c>
    </row>
    <row r="334" spans="1:28" ht="16.8">
      <c r="A334" s="6">
        <v>46146</v>
      </c>
      <c r="B334" s="7" t="s">
        <v>301</v>
      </c>
      <c r="C334" s="62" t="s">
        <v>719</v>
      </c>
      <c r="D334" s="31" t="s">
        <v>1583</v>
      </c>
      <c r="E334" s="7" t="s">
        <v>253</v>
      </c>
      <c r="F334" s="31" t="s">
        <v>704</v>
      </c>
      <c r="G334" s="7" t="s">
        <v>85</v>
      </c>
      <c r="H334" s="107" t="s">
        <v>420</v>
      </c>
      <c r="I334" s="14"/>
      <c r="J334" s="7" t="s">
        <v>35</v>
      </c>
      <c r="K334" s="52" t="s">
        <v>420</v>
      </c>
      <c r="L334" s="7"/>
      <c r="M334" s="7"/>
      <c r="N334" s="7"/>
      <c r="O334" s="7"/>
      <c r="P334" s="7"/>
      <c r="Q334" s="69" t="e">
        <f t="shared" si="25"/>
        <v>#DIV/0!</v>
      </c>
      <c r="R334" s="69" t="e">
        <f t="shared" si="26"/>
        <v>#DIV/0!</v>
      </c>
      <c r="S334" s="7"/>
      <c r="T334" s="7"/>
      <c r="U334" s="7"/>
      <c r="V334" s="7"/>
      <c r="W334" s="7"/>
    </row>
    <row r="335" spans="1:28">
      <c r="A335" s="6">
        <v>46146</v>
      </c>
      <c r="B335" s="7" t="s">
        <v>301</v>
      </c>
      <c r="C335" s="62">
        <v>0.91666666666666663</v>
      </c>
      <c r="D335" s="7" t="s">
        <v>1590</v>
      </c>
      <c r="E335" s="7" t="s">
        <v>253</v>
      </c>
      <c r="F335" t="s">
        <v>1584</v>
      </c>
      <c r="G335" s="7" t="s">
        <v>85</v>
      </c>
      <c r="H335" s="7" t="s">
        <v>121</v>
      </c>
      <c r="I335" s="47" t="s">
        <v>1579</v>
      </c>
      <c r="J335" s="7" t="s">
        <v>35</v>
      </c>
      <c r="K335" s="7" t="s">
        <v>121</v>
      </c>
      <c r="L335" s="7"/>
      <c r="M335" s="7"/>
      <c r="N335" s="7"/>
      <c r="O335" s="7"/>
      <c r="P335" s="7"/>
      <c r="Q335" s="69" t="e">
        <f t="shared" si="25"/>
        <v>#DIV/0!</v>
      </c>
      <c r="R335" s="69" t="e">
        <f t="shared" si="26"/>
        <v>#DIV/0!</v>
      </c>
      <c r="S335" s="7"/>
      <c r="T335" s="7"/>
      <c r="U335" s="7"/>
      <c r="V335" s="7"/>
      <c r="W335" s="7"/>
    </row>
    <row r="336" spans="1:28" ht="16.8">
      <c r="A336" s="6">
        <v>46146</v>
      </c>
      <c r="B336" s="7" t="s">
        <v>301</v>
      </c>
      <c r="C336" s="62">
        <v>0.96875</v>
      </c>
      <c r="D336" s="7" t="s">
        <v>1592</v>
      </c>
      <c r="E336" s="7" t="s">
        <v>253</v>
      </c>
      <c r="F336" t="s">
        <v>1591</v>
      </c>
      <c r="G336" s="7" t="s">
        <v>85</v>
      </c>
      <c r="H336" s="52" t="s">
        <v>210</v>
      </c>
      <c r="I336" s="47" t="s">
        <v>785</v>
      </c>
      <c r="J336" s="7" t="s">
        <v>35</v>
      </c>
      <c r="K336" s="52" t="s">
        <v>210</v>
      </c>
      <c r="L336" s="7"/>
      <c r="M336" s="7"/>
      <c r="N336" s="7"/>
      <c r="O336" s="7"/>
      <c r="P336" s="7"/>
      <c r="Q336" s="69" t="e">
        <f t="shared" si="25"/>
        <v>#DIV/0!</v>
      </c>
      <c r="R336" s="69" t="e">
        <f t="shared" si="26"/>
        <v>#DIV/0!</v>
      </c>
      <c r="S336" s="7"/>
      <c r="T336" s="7"/>
      <c r="U336" s="7"/>
      <c r="V336" s="7"/>
      <c r="W336" s="7"/>
    </row>
    <row r="337" spans="1:23" ht="16.8">
      <c r="A337" s="6">
        <v>46146</v>
      </c>
      <c r="B337" s="7" t="s">
        <v>301</v>
      </c>
      <c r="C337" s="91" t="s">
        <v>999</v>
      </c>
      <c r="D337" s="31" t="s">
        <v>1580</v>
      </c>
      <c r="E337" s="7" t="s">
        <v>253</v>
      </c>
      <c r="F337" s="7" t="s">
        <v>702</v>
      </c>
      <c r="G337" s="7" t="s">
        <v>85</v>
      </c>
      <c r="H337" s="52" t="s">
        <v>210</v>
      </c>
      <c r="I337" s="98"/>
      <c r="J337" s="7" t="s">
        <v>35</v>
      </c>
      <c r="K337" s="52" t="s">
        <v>210</v>
      </c>
      <c r="L337" s="86"/>
      <c r="M337" s="86"/>
      <c r="N337" s="86"/>
      <c r="O337" s="86"/>
      <c r="P337" s="86"/>
      <c r="Q337" s="69" t="e">
        <f t="shared" si="25"/>
        <v>#DIV/0!</v>
      </c>
      <c r="R337" s="69" t="e">
        <f t="shared" si="26"/>
        <v>#DIV/0!</v>
      </c>
      <c r="S337" s="86"/>
      <c r="T337" s="86"/>
      <c r="U337" s="86"/>
      <c r="V337" s="86"/>
      <c r="W337" s="87"/>
    </row>
    <row r="338" spans="1:23" ht="6.6" customHeight="1">
      <c r="A338" s="22"/>
      <c r="B338" s="23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5"/>
      <c r="R338" s="25"/>
      <c r="S338" s="24"/>
      <c r="T338" s="24"/>
      <c r="U338" s="24"/>
      <c r="V338" s="25"/>
      <c r="W338" s="26"/>
    </row>
  </sheetData>
  <phoneticPr fontId="3" type="noConversion"/>
  <hyperlinks>
    <hyperlink ref="H208" r:id="rId1" tooltip="https://fly.customer.io/workspaces/204357/journeys/segments/297/overview" display="https://fly.customer.io/workspaces/204357/journeys/segments/297/overview" xr:uid="{ADA054B8-DBCC-4140-8F39-64289FAB09A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059F7-F39E-4237-BA77-5C79FFABD620}">
  <dimension ref="A1:AC208"/>
  <sheetViews>
    <sheetView topLeftCell="A184" workbookViewId="0">
      <selection activeCell="D205" sqref="D205:D207"/>
    </sheetView>
  </sheetViews>
  <sheetFormatPr defaultRowHeight="14.4"/>
  <cols>
    <col min="1" max="1" width="10.33203125" bestFit="1" customWidth="1"/>
    <col min="2" max="2" width="10.44140625" bestFit="1" customWidth="1"/>
    <col min="3" max="3" width="9" bestFit="1" customWidth="1"/>
    <col min="4" max="4" width="43.88671875" bestFit="1" customWidth="1"/>
    <col min="5" max="5" width="13.77734375" bestFit="1" customWidth="1"/>
    <col min="6" max="6" width="51.21875" bestFit="1" customWidth="1"/>
    <col min="7" max="7" width="4.77734375" customWidth="1"/>
    <col min="8" max="8" width="30.6640625" bestFit="1" customWidth="1"/>
    <col min="9" max="9" width="34.88671875" bestFit="1" customWidth="1"/>
    <col min="10" max="10" width="13.77734375" bestFit="1" customWidth="1"/>
    <col min="11" max="11" width="30" bestFit="1" customWidth="1"/>
  </cols>
  <sheetData>
    <row r="1" spans="1:23" ht="17.399999999999999" customHeight="1">
      <c r="A1" s="1" t="s">
        <v>0</v>
      </c>
      <c r="B1" s="1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11</v>
      </c>
      <c r="K1" s="2" t="s">
        <v>12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3" t="s">
        <v>19</v>
      </c>
      <c r="R1" s="3" t="s">
        <v>20</v>
      </c>
      <c r="S1" s="2" t="s">
        <v>21</v>
      </c>
      <c r="T1" s="2" t="s">
        <v>22</v>
      </c>
      <c r="U1" s="2" t="s">
        <v>23</v>
      </c>
      <c r="V1" s="3" t="s">
        <v>24</v>
      </c>
      <c r="W1" s="3" t="s">
        <v>25</v>
      </c>
    </row>
    <row r="2" spans="1:23">
      <c r="A2" s="6">
        <v>46132</v>
      </c>
      <c r="B2" s="7" t="s">
        <v>301</v>
      </c>
      <c r="C2" s="18" t="s">
        <v>304</v>
      </c>
      <c r="D2" s="18" t="s">
        <v>302</v>
      </c>
      <c r="E2" s="18" t="s">
        <v>27</v>
      </c>
      <c r="F2" s="18" t="s">
        <v>303</v>
      </c>
      <c r="G2" s="18" t="s">
        <v>85</v>
      </c>
      <c r="H2" s="18" t="s">
        <v>186</v>
      </c>
      <c r="I2" s="67"/>
      <c r="J2" s="18" t="s">
        <v>27</v>
      </c>
      <c r="K2" s="68" t="s">
        <v>86</v>
      </c>
      <c r="L2" s="7">
        <v>27</v>
      </c>
      <c r="M2" s="7">
        <v>5</v>
      </c>
      <c r="N2" s="7">
        <v>2</v>
      </c>
      <c r="O2" s="7">
        <v>0</v>
      </c>
      <c r="P2" s="7">
        <v>0</v>
      </c>
      <c r="Q2" s="69">
        <f>M2/L2</f>
        <v>0.18518518518518517</v>
      </c>
      <c r="R2" s="69">
        <f>N2/M2</f>
        <v>0.4</v>
      </c>
      <c r="S2" s="7"/>
      <c r="T2" s="7"/>
      <c r="U2" s="7"/>
      <c r="V2" s="7"/>
      <c r="W2" s="7"/>
    </row>
    <row r="3" spans="1:23" ht="6.6" customHeight="1">
      <c r="A3" s="22"/>
      <c r="B3" s="23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5"/>
      <c r="R3" s="25"/>
      <c r="S3" s="24"/>
      <c r="T3" s="24"/>
      <c r="U3" s="24"/>
      <c r="V3" s="25"/>
      <c r="W3" s="26"/>
    </row>
    <row r="4" spans="1:23">
      <c r="A4" s="6">
        <v>46133</v>
      </c>
      <c r="B4" s="7" t="s">
        <v>301</v>
      </c>
      <c r="C4" s="18" t="s">
        <v>304</v>
      </c>
      <c r="D4" s="18" t="s">
        <v>302</v>
      </c>
      <c r="E4" s="18" t="s">
        <v>27</v>
      </c>
      <c r="F4" s="18" t="s">
        <v>303</v>
      </c>
      <c r="G4" s="18" t="s">
        <v>85</v>
      </c>
      <c r="H4" s="18" t="s">
        <v>186</v>
      </c>
      <c r="I4" s="67"/>
      <c r="J4" s="18" t="s">
        <v>27</v>
      </c>
      <c r="K4" s="68" t="s">
        <v>86</v>
      </c>
      <c r="L4" s="7">
        <v>60</v>
      </c>
      <c r="M4" s="7">
        <v>5</v>
      </c>
      <c r="N4" s="7">
        <v>1</v>
      </c>
      <c r="O4" s="7">
        <v>0</v>
      </c>
      <c r="P4" s="7">
        <v>0</v>
      </c>
      <c r="Q4" s="69">
        <f>M4/L4</f>
        <v>8.3333333333333329E-2</v>
      </c>
      <c r="R4" s="69">
        <f>N4/M4</f>
        <v>0.2</v>
      </c>
      <c r="S4" s="7"/>
      <c r="T4" s="7"/>
      <c r="U4" s="7"/>
      <c r="V4" s="7"/>
      <c r="W4" s="7"/>
    </row>
    <row r="5" spans="1:23">
      <c r="A5" s="6">
        <v>46133</v>
      </c>
      <c r="B5" s="7" t="s">
        <v>301</v>
      </c>
      <c r="C5" s="18" t="s">
        <v>347</v>
      </c>
      <c r="D5" s="18" t="s">
        <v>345</v>
      </c>
      <c r="E5" s="18" t="s">
        <v>27</v>
      </c>
      <c r="F5" s="18" t="s">
        <v>346</v>
      </c>
      <c r="G5" s="18" t="s">
        <v>85</v>
      </c>
      <c r="H5" s="18" t="s">
        <v>313</v>
      </c>
      <c r="I5" s="74" t="s">
        <v>313</v>
      </c>
      <c r="J5" s="18" t="s">
        <v>27</v>
      </c>
      <c r="K5" s="68" t="s">
        <v>86</v>
      </c>
      <c r="L5" s="7"/>
      <c r="M5" s="7"/>
      <c r="N5" s="7"/>
      <c r="O5" s="7"/>
      <c r="P5" s="7"/>
      <c r="Q5" s="69" t="e">
        <f t="shared" ref="Q5" si="0">M5/L5</f>
        <v>#DIV/0!</v>
      </c>
      <c r="R5" s="69" t="e">
        <f t="shared" ref="R5" si="1">N5/M5</f>
        <v>#DIV/0!</v>
      </c>
      <c r="S5" s="7"/>
      <c r="T5" s="7"/>
      <c r="U5" s="7"/>
      <c r="V5" s="7"/>
      <c r="W5" s="7"/>
    </row>
    <row r="6" spans="1:23">
      <c r="A6" s="6">
        <v>46133</v>
      </c>
      <c r="B6" s="7" t="s">
        <v>301</v>
      </c>
      <c r="C6" s="62">
        <v>0.75</v>
      </c>
      <c r="D6" s="77" t="s">
        <v>370</v>
      </c>
      <c r="E6" s="77" t="s">
        <v>27</v>
      </c>
      <c r="F6" s="77" t="s">
        <v>371</v>
      </c>
      <c r="G6" s="77" t="s">
        <v>85</v>
      </c>
      <c r="H6" s="77" t="s">
        <v>348</v>
      </c>
      <c r="I6" s="76" t="s">
        <v>314</v>
      </c>
      <c r="J6" s="7" t="s">
        <v>27</v>
      </c>
      <c r="K6" s="50" t="s">
        <v>86</v>
      </c>
      <c r="L6" s="7">
        <v>3112</v>
      </c>
      <c r="M6" s="7">
        <v>29</v>
      </c>
      <c r="N6" s="7">
        <v>4</v>
      </c>
      <c r="O6" s="7">
        <v>0</v>
      </c>
      <c r="P6" s="7">
        <v>1</v>
      </c>
      <c r="Q6" s="69">
        <f t="shared" ref="Q6:Q7" si="2">M6/L6</f>
        <v>9.3187660668380464E-3</v>
      </c>
      <c r="R6" s="69">
        <f t="shared" ref="R6:R7" si="3">N6/M6</f>
        <v>0.13793103448275862</v>
      </c>
      <c r="S6" s="7"/>
      <c r="T6" s="7"/>
      <c r="U6" s="7"/>
      <c r="V6" s="7"/>
      <c r="W6" s="7"/>
    </row>
    <row r="7" spans="1:23">
      <c r="A7" s="6">
        <v>46133</v>
      </c>
      <c r="B7" s="7" t="s">
        <v>301</v>
      </c>
      <c r="C7" s="62">
        <v>0.76041666666666663</v>
      </c>
      <c r="D7" s="77" t="s">
        <v>372</v>
      </c>
      <c r="E7" s="77" t="s">
        <v>27</v>
      </c>
      <c r="F7" s="77" t="s">
        <v>373</v>
      </c>
      <c r="G7" s="77" t="s">
        <v>85</v>
      </c>
      <c r="H7" s="77" t="s">
        <v>349</v>
      </c>
      <c r="I7" s="76" t="s">
        <v>315</v>
      </c>
      <c r="J7" s="7" t="s">
        <v>27</v>
      </c>
      <c r="K7" s="50" t="s">
        <v>86</v>
      </c>
      <c r="L7" s="7">
        <v>1250</v>
      </c>
      <c r="M7" s="7">
        <v>6</v>
      </c>
      <c r="N7" s="7">
        <v>0</v>
      </c>
      <c r="O7" s="7">
        <v>0</v>
      </c>
      <c r="P7" s="7">
        <v>0</v>
      </c>
      <c r="Q7" s="69">
        <f t="shared" si="2"/>
        <v>4.7999999999999996E-3</v>
      </c>
      <c r="R7" s="69">
        <f t="shared" si="3"/>
        <v>0</v>
      </c>
      <c r="S7" s="7"/>
      <c r="T7" s="7"/>
      <c r="U7" s="7"/>
      <c r="V7" s="7"/>
      <c r="W7" s="7"/>
    </row>
    <row r="8" spans="1:23">
      <c r="A8" s="6">
        <v>46133</v>
      </c>
      <c r="B8" s="7" t="s">
        <v>301</v>
      </c>
      <c r="C8" s="62">
        <v>0.70833333333333337</v>
      </c>
      <c r="D8" s="77" t="s">
        <v>374</v>
      </c>
      <c r="E8" s="77" t="s">
        <v>27</v>
      </c>
      <c r="F8" s="77" t="s">
        <v>375</v>
      </c>
      <c r="G8" s="77" t="s">
        <v>85</v>
      </c>
      <c r="H8" s="77" t="s">
        <v>350</v>
      </c>
      <c r="I8" s="76" t="s">
        <v>329</v>
      </c>
      <c r="J8" s="7" t="s">
        <v>27</v>
      </c>
      <c r="K8" s="50" t="s">
        <v>86</v>
      </c>
      <c r="L8" s="7">
        <v>5684</v>
      </c>
      <c r="M8" s="7">
        <v>40</v>
      </c>
      <c r="N8" s="7">
        <v>3</v>
      </c>
      <c r="O8" s="7">
        <v>2</v>
      </c>
      <c r="P8" s="7">
        <v>6</v>
      </c>
      <c r="Q8" s="69">
        <f t="shared" ref="Q8:Q9" si="4">M8/L8</f>
        <v>7.0372976776917661E-3</v>
      </c>
      <c r="R8" s="69">
        <f t="shared" ref="R8:R9" si="5">N8/M8</f>
        <v>7.4999999999999997E-2</v>
      </c>
      <c r="S8" s="7"/>
      <c r="T8" s="7"/>
      <c r="U8" s="7"/>
      <c r="V8" s="7"/>
      <c r="W8" s="7"/>
    </row>
    <row r="9" spans="1:23">
      <c r="A9" s="6">
        <v>46133</v>
      </c>
      <c r="B9" s="7" t="s">
        <v>301</v>
      </c>
      <c r="C9" s="62">
        <v>0.78125</v>
      </c>
      <c r="D9" s="77" t="s">
        <v>376</v>
      </c>
      <c r="E9" s="77" t="s">
        <v>27</v>
      </c>
      <c r="F9" s="77" t="s">
        <v>377</v>
      </c>
      <c r="G9" s="77" t="s">
        <v>85</v>
      </c>
      <c r="H9" s="77" t="s">
        <v>351</v>
      </c>
      <c r="I9" s="76" t="s">
        <v>330</v>
      </c>
      <c r="J9" s="7" t="s">
        <v>27</v>
      </c>
      <c r="K9" s="50" t="s">
        <v>86</v>
      </c>
      <c r="L9" s="7">
        <v>3364</v>
      </c>
      <c r="M9" s="7">
        <v>29</v>
      </c>
      <c r="N9" s="7">
        <v>10</v>
      </c>
      <c r="O9" s="7">
        <v>0</v>
      </c>
      <c r="P9" s="7">
        <v>1</v>
      </c>
      <c r="Q9" s="69">
        <f t="shared" si="4"/>
        <v>8.6206896551724137E-3</v>
      </c>
      <c r="R9" s="69">
        <f t="shared" si="5"/>
        <v>0.34482758620689657</v>
      </c>
      <c r="S9" s="7"/>
      <c r="T9" s="7"/>
      <c r="U9" s="7"/>
      <c r="V9" s="7"/>
      <c r="W9" s="7"/>
    </row>
    <row r="10" spans="1:23" ht="6.6" customHeight="1">
      <c r="A10" s="22"/>
      <c r="B10" s="23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5"/>
      <c r="R10" s="25"/>
      <c r="S10" s="24"/>
      <c r="T10" s="24"/>
      <c r="U10" s="24"/>
      <c r="V10" s="25"/>
      <c r="W10" s="26"/>
    </row>
    <row r="11" spans="1:23">
      <c r="A11" s="6">
        <v>46134</v>
      </c>
      <c r="B11" s="7" t="s">
        <v>316</v>
      </c>
      <c r="C11" s="18" t="s">
        <v>304</v>
      </c>
      <c r="D11" s="18" t="s">
        <v>302</v>
      </c>
      <c r="E11" s="18" t="s">
        <v>27</v>
      </c>
      <c r="F11" s="18" t="s">
        <v>303</v>
      </c>
      <c r="G11" s="18" t="s">
        <v>85</v>
      </c>
      <c r="H11" s="18" t="s">
        <v>186</v>
      </c>
      <c r="I11" s="67"/>
      <c r="J11" s="18" t="s">
        <v>27</v>
      </c>
      <c r="K11" s="68" t="s">
        <v>86</v>
      </c>
      <c r="L11" s="7">
        <v>1255</v>
      </c>
      <c r="M11" s="7">
        <v>4</v>
      </c>
      <c r="N11" s="7">
        <v>1</v>
      </c>
      <c r="O11" s="7">
        <v>0</v>
      </c>
      <c r="P11" s="7">
        <v>1</v>
      </c>
      <c r="Q11" s="69">
        <f>M11/L11</f>
        <v>3.1872509960159364E-3</v>
      </c>
      <c r="R11" s="69">
        <f>N11/M11</f>
        <v>0.25</v>
      </c>
      <c r="S11" s="7"/>
      <c r="T11" s="7"/>
      <c r="U11" s="7"/>
      <c r="V11" s="7"/>
      <c r="W11" s="7"/>
    </row>
    <row r="12" spans="1:23">
      <c r="A12" s="6">
        <v>46134</v>
      </c>
      <c r="B12" s="7" t="s">
        <v>316</v>
      </c>
      <c r="C12" s="18" t="s">
        <v>347</v>
      </c>
      <c r="D12" s="18" t="s">
        <v>345</v>
      </c>
      <c r="E12" s="18" t="s">
        <v>27</v>
      </c>
      <c r="F12" s="18" t="s">
        <v>346</v>
      </c>
      <c r="G12" s="18" t="s">
        <v>85</v>
      </c>
      <c r="H12" s="18" t="s">
        <v>313</v>
      </c>
      <c r="I12" s="74"/>
      <c r="J12" s="18" t="s">
        <v>27</v>
      </c>
      <c r="K12" s="68" t="s">
        <v>86</v>
      </c>
      <c r="L12" s="7"/>
      <c r="M12" s="7"/>
      <c r="N12" s="7"/>
      <c r="O12" s="7"/>
      <c r="P12" s="7"/>
      <c r="Q12" s="69" t="e">
        <f t="shared" ref="Q12:Q16" si="6">M12/L12</f>
        <v>#DIV/0!</v>
      </c>
      <c r="R12" s="69" t="e">
        <f t="shared" ref="R12:R16" si="7">N12/M12</f>
        <v>#DIV/0!</v>
      </c>
      <c r="S12" s="7"/>
      <c r="T12" s="7"/>
      <c r="U12" s="7"/>
      <c r="V12" s="7"/>
      <c r="W12" s="7"/>
    </row>
    <row r="13" spans="1:23">
      <c r="A13" s="6">
        <v>46134</v>
      </c>
      <c r="B13" s="7" t="s">
        <v>316</v>
      </c>
      <c r="C13" s="62">
        <v>0.75</v>
      </c>
      <c r="D13" s="88" t="s">
        <v>427</v>
      </c>
      <c r="E13" s="88" t="s">
        <v>27</v>
      </c>
      <c r="F13" s="88" t="s">
        <v>428</v>
      </c>
      <c r="G13" s="88" t="s">
        <v>85</v>
      </c>
      <c r="H13" s="77" t="s">
        <v>348</v>
      </c>
      <c r="I13" s="76"/>
      <c r="J13" s="7" t="s">
        <v>27</v>
      </c>
      <c r="K13" s="50" t="s">
        <v>86</v>
      </c>
      <c r="L13" s="7">
        <v>2999</v>
      </c>
      <c r="M13" s="7">
        <v>18</v>
      </c>
      <c r="N13" s="7">
        <v>1</v>
      </c>
      <c r="O13" s="7">
        <v>1</v>
      </c>
      <c r="P13" s="7">
        <v>1</v>
      </c>
      <c r="Q13" s="69">
        <f t="shared" si="6"/>
        <v>6.0020006668889628E-3</v>
      </c>
      <c r="R13" s="69">
        <f t="shared" si="7"/>
        <v>5.5555555555555552E-2</v>
      </c>
      <c r="S13" s="7"/>
      <c r="T13" s="7"/>
      <c r="U13" s="7"/>
      <c r="V13" s="7"/>
      <c r="W13" s="7"/>
    </row>
    <row r="14" spans="1:23">
      <c r="A14" s="6">
        <v>46134</v>
      </c>
      <c r="B14" s="7" t="s">
        <v>316</v>
      </c>
      <c r="C14" s="62">
        <v>0.76041666666666663</v>
      </c>
      <c r="D14" s="88" t="s">
        <v>429</v>
      </c>
      <c r="E14" s="88" t="s">
        <v>27</v>
      </c>
      <c r="F14" s="88" t="s">
        <v>430</v>
      </c>
      <c r="G14" s="88" t="s">
        <v>85</v>
      </c>
      <c r="H14" s="77" t="s">
        <v>349</v>
      </c>
      <c r="I14" s="76"/>
      <c r="J14" s="7" t="s">
        <v>27</v>
      </c>
      <c r="K14" s="50" t="s">
        <v>86</v>
      </c>
      <c r="L14" s="7">
        <v>1244</v>
      </c>
      <c r="M14" s="7">
        <v>12</v>
      </c>
      <c r="N14" s="7">
        <v>2</v>
      </c>
      <c r="O14" s="7">
        <v>1</v>
      </c>
      <c r="P14" s="7">
        <v>0</v>
      </c>
      <c r="Q14" s="69">
        <f t="shared" si="6"/>
        <v>9.6463022508038593E-3</v>
      </c>
      <c r="R14" s="69">
        <f t="shared" si="7"/>
        <v>0.16666666666666666</v>
      </c>
      <c r="S14" s="7"/>
      <c r="T14" s="7"/>
      <c r="U14" s="7"/>
      <c r="V14" s="7"/>
      <c r="W14" s="7"/>
    </row>
    <row r="15" spans="1:23">
      <c r="A15" s="6">
        <v>46134</v>
      </c>
      <c r="B15" s="7" t="s">
        <v>316</v>
      </c>
      <c r="C15" s="62">
        <v>0.70833333333333337</v>
      </c>
      <c r="D15" s="88" t="s">
        <v>431</v>
      </c>
      <c r="E15" s="88" t="s">
        <v>27</v>
      </c>
      <c r="F15" s="88" t="s">
        <v>432</v>
      </c>
      <c r="G15" s="88" t="s">
        <v>85</v>
      </c>
      <c r="H15" s="77" t="s">
        <v>350</v>
      </c>
      <c r="I15" s="76"/>
      <c r="J15" s="7" t="s">
        <v>27</v>
      </c>
      <c r="K15" s="50" t="s">
        <v>86</v>
      </c>
      <c r="L15" s="7">
        <v>5427</v>
      </c>
      <c r="M15" s="7">
        <v>29</v>
      </c>
      <c r="N15" s="7">
        <v>3</v>
      </c>
      <c r="O15" s="7">
        <v>0</v>
      </c>
      <c r="P15" s="7">
        <v>3</v>
      </c>
      <c r="Q15" s="69">
        <f t="shared" si="6"/>
        <v>5.343652109821264E-3</v>
      </c>
      <c r="R15" s="69">
        <f t="shared" si="7"/>
        <v>0.10344827586206896</v>
      </c>
      <c r="S15" s="7"/>
      <c r="T15" s="7"/>
      <c r="U15" s="7"/>
      <c r="V15" s="7"/>
      <c r="W15" s="7"/>
    </row>
    <row r="16" spans="1:23">
      <c r="A16" s="6">
        <v>46134</v>
      </c>
      <c r="B16" s="7" t="s">
        <v>316</v>
      </c>
      <c r="C16" s="62">
        <v>0.78125</v>
      </c>
      <c r="D16" s="88" t="s">
        <v>433</v>
      </c>
      <c r="E16" s="88" t="s">
        <v>27</v>
      </c>
      <c r="F16" s="88" t="s">
        <v>434</v>
      </c>
      <c r="G16" s="88" t="s">
        <v>85</v>
      </c>
      <c r="H16" s="77" t="s">
        <v>351</v>
      </c>
      <c r="I16" s="76"/>
      <c r="J16" s="7" t="s">
        <v>27</v>
      </c>
      <c r="K16" s="50" t="s">
        <v>86</v>
      </c>
      <c r="L16" s="7">
        <v>3222</v>
      </c>
      <c r="M16" s="7">
        <v>14</v>
      </c>
      <c r="N16" s="7">
        <v>2</v>
      </c>
      <c r="O16" s="7">
        <v>0</v>
      </c>
      <c r="P16" s="7">
        <v>1</v>
      </c>
      <c r="Q16" s="69">
        <f t="shared" si="6"/>
        <v>4.3451272501551829E-3</v>
      </c>
      <c r="R16" s="69">
        <f t="shared" si="7"/>
        <v>0.14285714285714285</v>
      </c>
      <c r="S16" s="7"/>
      <c r="T16" s="7"/>
      <c r="U16" s="7"/>
      <c r="V16" s="7"/>
      <c r="W16" s="7"/>
    </row>
    <row r="17" spans="1:23">
      <c r="A17" s="6">
        <v>46134</v>
      </c>
      <c r="B17" s="7" t="s">
        <v>316</v>
      </c>
      <c r="C17" s="62">
        <v>0.80208333333333337</v>
      </c>
      <c r="D17" s="7" t="s">
        <v>409</v>
      </c>
      <c r="E17" s="77" t="s">
        <v>27</v>
      </c>
      <c r="F17" s="7" t="s">
        <v>410</v>
      </c>
      <c r="G17" s="77" t="s">
        <v>85</v>
      </c>
      <c r="H17" s="7" t="s">
        <v>210</v>
      </c>
      <c r="I17" s="75" t="s">
        <v>391</v>
      </c>
      <c r="J17" s="7" t="s">
        <v>27</v>
      </c>
      <c r="K17" s="50" t="s">
        <v>86</v>
      </c>
      <c r="L17" s="7">
        <v>430</v>
      </c>
      <c r="M17" s="7">
        <v>16</v>
      </c>
      <c r="N17" s="7">
        <v>6</v>
      </c>
      <c r="O17" s="7">
        <v>0</v>
      </c>
      <c r="P17" s="7">
        <v>0</v>
      </c>
      <c r="Q17" s="69">
        <f t="shared" ref="Q17" si="8">M17/L17</f>
        <v>3.7209302325581395E-2</v>
      </c>
      <c r="R17" s="69">
        <f t="shared" ref="R17" si="9">N17/M17</f>
        <v>0.375</v>
      </c>
      <c r="S17" s="7"/>
      <c r="T17" s="7"/>
      <c r="U17" s="7"/>
      <c r="V17" s="7"/>
      <c r="W17" s="7"/>
    </row>
    <row r="18" spans="1:23" ht="6.6" customHeight="1">
      <c r="A18" s="22"/>
      <c r="B18" s="23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5"/>
      <c r="R18" s="25"/>
      <c r="S18" s="24"/>
      <c r="T18" s="24"/>
      <c r="U18" s="24"/>
      <c r="V18" s="25"/>
      <c r="W18" s="26"/>
    </row>
    <row r="19" spans="1:23">
      <c r="A19" s="6">
        <v>46135</v>
      </c>
      <c r="B19" s="7" t="s">
        <v>552</v>
      </c>
      <c r="C19" s="18" t="s">
        <v>304</v>
      </c>
      <c r="D19" s="18" t="s">
        <v>302</v>
      </c>
      <c r="E19" s="18" t="s">
        <v>27</v>
      </c>
      <c r="F19" s="18" t="s">
        <v>303</v>
      </c>
      <c r="G19" s="18" t="s">
        <v>85</v>
      </c>
      <c r="H19" s="18" t="s">
        <v>186</v>
      </c>
      <c r="I19" s="47"/>
      <c r="J19" s="18" t="s">
        <v>27</v>
      </c>
      <c r="K19" s="18" t="s">
        <v>186</v>
      </c>
      <c r="L19" s="7">
        <v>1285</v>
      </c>
      <c r="M19" s="7">
        <v>5</v>
      </c>
      <c r="N19" s="7">
        <v>1</v>
      </c>
      <c r="O19" s="7">
        <v>0</v>
      </c>
      <c r="P19" s="7">
        <v>1</v>
      </c>
      <c r="Q19" s="69">
        <f t="shared" ref="Q19:R27" si="10">M19/L19</f>
        <v>3.8910505836575876E-3</v>
      </c>
      <c r="R19" s="69">
        <f t="shared" si="10"/>
        <v>0.2</v>
      </c>
      <c r="S19" s="7"/>
      <c r="T19" s="7"/>
      <c r="U19" s="7"/>
      <c r="V19" s="7"/>
      <c r="W19" s="7"/>
    </row>
    <row r="20" spans="1:23">
      <c r="A20" s="6">
        <v>46135</v>
      </c>
      <c r="B20" s="7" t="s">
        <v>552</v>
      </c>
      <c r="C20" s="18" t="s">
        <v>347</v>
      </c>
      <c r="D20" s="18" t="s">
        <v>345</v>
      </c>
      <c r="E20" s="18" t="s">
        <v>27</v>
      </c>
      <c r="F20" s="18" t="s">
        <v>346</v>
      </c>
      <c r="G20" s="18" t="s">
        <v>85</v>
      </c>
      <c r="H20" s="18" t="s">
        <v>313</v>
      </c>
      <c r="I20" s="47"/>
      <c r="J20" s="18" t="s">
        <v>27</v>
      </c>
      <c r="K20" s="18" t="s">
        <v>313</v>
      </c>
      <c r="L20" s="7"/>
      <c r="M20" s="7"/>
      <c r="N20" s="7"/>
      <c r="O20" s="7"/>
      <c r="P20" s="7"/>
      <c r="Q20" s="69" t="e">
        <f t="shared" si="10"/>
        <v>#DIV/0!</v>
      </c>
      <c r="R20" s="69" t="e">
        <f t="shared" si="10"/>
        <v>#DIV/0!</v>
      </c>
      <c r="S20" s="7"/>
      <c r="T20" s="7"/>
      <c r="U20" s="7"/>
      <c r="V20" s="7"/>
      <c r="W20" s="7"/>
    </row>
    <row r="21" spans="1:23">
      <c r="A21" s="6">
        <v>46135</v>
      </c>
      <c r="B21" s="7" t="s">
        <v>552</v>
      </c>
      <c r="C21" s="18" t="s">
        <v>304</v>
      </c>
      <c r="D21" s="18" t="s">
        <v>503</v>
      </c>
      <c r="E21" s="18" t="s">
        <v>27</v>
      </c>
      <c r="F21" s="18" t="s">
        <v>502</v>
      </c>
      <c r="G21" s="18" t="s">
        <v>85</v>
      </c>
      <c r="H21" s="18" t="s">
        <v>106</v>
      </c>
      <c r="I21" s="47" t="s">
        <v>501</v>
      </c>
      <c r="J21" s="18" t="s">
        <v>27</v>
      </c>
      <c r="K21" s="18" t="s">
        <v>106</v>
      </c>
      <c r="L21" s="7">
        <v>298</v>
      </c>
      <c r="M21" s="7">
        <v>13</v>
      </c>
      <c r="N21" s="7">
        <v>3</v>
      </c>
      <c r="O21" s="7">
        <v>0</v>
      </c>
      <c r="P21" s="7">
        <v>1</v>
      </c>
      <c r="Q21" s="69">
        <f t="shared" si="10"/>
        <v>4.3624161073825503E-2</v>
      </c>
      <c r="R21" s="69">
        <f t="shared" si="10"/>
        <v>0.23076923076923078</v>
      </c>
      <c r="S21" s="7"/>
      <c r="T21" s="7"/>
      <c r="U21" s="7"/>
      <c r="V21" s="7"/>
      <c r="W21" s="7"/>
    </row>
    <row r="22" spans="1:23">
      <c r="A22" s="6">
        <v>46135</v>
      </c>
      <c r="B22" s="7" t="s">
        <v>552</v>
      </c>
      <c r="C22" s="62">
        <v>0.75</v>
      </c>
      <c r="D22" s="77" t="s">
        <v>514</v>
      </c>
      <c r="E22" s="77" t="s">
        <v>27</v>
      </c>
      <c r="F22" s="77" t="s">
        <v>515</v>
      </c>
      <c r="G22" s="77" t="s">
        <v>85</v>
      </c>
      <c r="H22" s="77" t="s">
        <v>348</v>
      </c>
      <c r="I22" s="47" t="s">
        <v>209</v>
      </c>
      <c r="J22" s="77" t="s">
        <v>27</v>
      </c>
      <c r="K22" s="77" t="s">
        <v>348</v>
      </c>
      <c r="L22" s="7">
        <v>3097</v>
      </c>
      <c r="M22" s="7">
        <v>33</v>
      </c>
      <c r="N22" s="7">
        <v>5</v>
      </c>
      <c r="O22" s="7">
        <v>0</v>
      </c>
      <c r="P22" s="7">
        <v>2</v>
      </c>
      <c r="Q22" s="69">
        <f t="shared" si="10"/>
        <v>1.0655473038424281E-2</v>
      </c>
      <c r="R22" s="69">
        <f t="shared" si="10"/>
        <v>0.15151515151515152</v>
      </c>
      <c r="S22" s="7"/>
      <c r="T22" s="7"/>
      <c r="U22" s="7"/>
      <c r="V22" s="7"/>
      <c r="W22" s="7"/>
    </row>
    <row r="23" spans="1:23">
      <c r="A23" s="6">
        <v>46135</v>
      </c>
      <c r="B23" s="7" t="s">
        <v>552</v>
      </c>
      <c r="C23" s="62">
        <v>0.76041666666666663</v>
      </c>
      <c r="D23" s="77" t="s">
        <v>516</v>
      </c>
      <c r="E23" s="77" t="s">
        <v>27</v>
      </c>
      <c r="F23" s="77" t="s">
        <v>428</v>
      </c>
      <c r="G23" s="77" t="s">
        <v>85</v>
      </c>
      <c r="H23" s="77" t="s">
        <v>349</v>
      </c>
      <c r="I23" s="47" t="s">
        <v>209</v>
      </c>
      <c r="J23" s="77" t="s">
        <v>27</v>
      </c>
      <c r="K23" s="77" t="s">
        <v>349</v>
      </c>
      <c r="L23" s="7">
        <v>1278</v>
      </c>
      <c r="M23" s="7">
        <v>14</v>
      </c>
      <c r="N23" s="7">
        <v>5</v>
      </c>
      <c r="O23" s="7">
        <v>0</v>
      </c>
      <c r="P23" s="7">
        <v>1</v>
      </c>
      <c r="Q23" s="69">
        <f t="shared" si="10"/>
        <v>1.0954616588419406E-2</v>
      </c>
      <c r="R23" s="69">
        <f t="shared" si="10"/>
        <v>0.35714285714285715</v>
      </c>
      <c r="S23" s="7"/>
      <c r="T23" s="7"/>
      <c r="U23" s="7"/>
      <c r="V23" s="7"/>
      <c r="W23" s="7"/>
    </row>
    <row r="24" spans="1:23">
      <c r="A24" s="6">
        <v>46135</v>
      </c>
      <c r="B24" s="7" t="s">
        <v>552</v>
      </c>
      <c r="C24" s="62">
        <v>0.70833333333333337</v>
      </c>
      <c r="D24" s="77" t="s">
        <v>517</v>
      </c>
      <c r="E24" s="77" t="s">
        <v>27</v>
      </c>
      <c r="F24" s="77" t="s">
        <v>505</v>
      </c>
      <c r="G24" s="77" t="s">
        <v>85</v>
      </c>
      <c r="H24" s="77" t="s">
        <v>350</v>
      </c>
      <c r="I24" s="47" t="s">
        <v>209</v>
      </c>
      <c r="J24" s="77" t="s">
        <v>27</v>
      </c>
      <c r="K24" s="77" t="s">
        <v>350</v>
      </c>
      <c r="L24" s="7">
        <v>5671</v>
      </c>
      <c r="M24" s="7">
        <v>49</v>
      </c>
      <c r="N24" s="7">
        <v>9</v>
      </c>
      <c r="O24" s="7">
        <v>3</v>
      </c>
      <c r="P24" s="7">
        <v>6</v>
      </c>
      <c r="Q24" s="69">
        <f t="shared" si="10"/>
        <v>8.6404514195027333E-3</v>
      </c>
      <c r="R24" s="69">
        <f t="shared" si="10"/>
        <v>0.18367346938775511</v>
      </c>
      <c r="S24" s="7"/>
      <c r="T24" s="7"/>
      <c r="U24" s="7"/>
      <c r="V24" s="7"/>
      <c r="W24" s="7"/>
    </row>
    <row r="25" spans="1:23">
      <c r="A25" s="6">
        <v>46135</v>
      </c>
      <c r="B25" s="7" t="s">
        <v>552</v>
      </c>
      <c r="C25" s="62">
        <v>0.78125</v>
      </c>
      <c r="D25" s="77" t="s">
        <v>518</v>
      </c>
      <c r="E25" s="77" t="s">
        <v>27</v>
      </c>
      <c r="F25" s="77" t="s">
        <v>519</v>
      </c>
      <c r="G25" s="77" t="s">
        <v>85</v>
      </c>
      <c r="H25" s="77" t="s">
        <v>351</v>
      </c>
      <c r="I25" s="47" t="s">
        <v>209</v>
      </c>
      <c r="J25" s="77" t="s">
        <v>27</v>
      </c>
      <c r="K25" s="77" t="s">
        <v>351</v>
      </c>
      <c r="L25" s="7">
        <v>3358</v>
      </c>
      <c r="M25" s="7">
        <v>25</v>
      </c>
      <c r="N25" s="7">
        <v>4</v>
      </c>
      <c r="O25" s="7">
        <v>1</v>
      </c>
      <c r="P25" s="7">
        <v>2</v>
      </c>
      <c r="Q25" s="69">
        <f t="shared" si="10"/>
        <v>7.4449076831447289E-3</v>
      </c>
      <c r="R25" s="69">
        <f t="shared" si="10"/>
        <v>0.16</v>
      </c>
      <c r="S25" s="7"/>
      <c r="T25" s="7"/>
      <c r="U25" s="7"/>
      <c r="V25" s="7"/>
      <c r="W25" s="7"/>
    </row>
    <row r="26" spans="1:23">
      <c r="A26" s="6">
        <v>46135</v>
      </c>
      <c r="B26" s="7" t="s">
        <v>552</v>
      </c>
      <c r="C26" s="62">
        <v>0.80208333333333337</v>
      </c>
      <c r="D26" s="88" t="s">
        <v>534</v>
      </c>
      <c r="E26" s="88" t="s">
        <v>27</v>
      </c>
      <c r="F26" s="88" t="s">
        <v>535</v>
      </c>
      <c r="G26" s="77" t="s">
        <v>85</v>
      </c>
      <c r="H26" s="7" t="s">
        <v>210</v>
      </c>
      <c r="I26" s="47" t="s">
        <v>209</v>
      </c>
      <c r="J26" s="77" t="s">
        <v>27</v>
      </c>
      <c r="K26" s="7" t="s">
        <v>210</v>
      </c>
      <c r="L26" s="7">
        <v>514</v>
      </c>
      <c r="M26" s="7">
        <v>31</v>
      </c>
      <c r="N26" s="7">
        <v>18</v>
      </c>
      <c r="O26" s="7">
        <v>1</v>
      </c>
      <c r="P26" s="7">
        <v>0</v>
      </c>
      <c r="Q26" s="69">
        <f t="shared" si="10"/>
        <v>6.0311284046692608E-2</v>
      </c>
      <c r="R26" s="69">
        <f t="shared" si="10"/>
        <v>0.58064516129032262</v>
      </c>
      <c r="S26" s="7"/>
      <c r="T26" s="7"/>
      <c r="U26" s="7"/>
      <c r="V26" s="7"/>
      <c r="W26" s="7"/>
    </row>
    <row r="27" spans="1:23" ht="16.8">
      <c r="A27" s="6">
        <v>46135</v>
      </c>
      <c r="B27" s="7" t="s">
        <v>552</v>
      </c>
      <c r="C27" s="62">
        <v>0.83333333333333337</v>
      </c>
      <c r="D27" s="97" t="s">
        <v>504</v>
      </c>
      <c r="E27" s="7" t="s">
        <v>27</v>
      </c>
      <c r="F27" s="97" t="s">
        <v>505</v>
      </c>
      <c r="G27" s="77" t="s">
        <v>85</v>
      </c>
      <c r="H27" s="52" t="s">
        <v>157</v>
      </c>
      <c r="I27" s="98" t="s">
        <v>500</v>
      </c>
      <c r="J27" s="77" t="s">
        <v>27</v>
      </c>
      <c r="K27" s="52" t="s">
        <v>157</v>
      </c>
      <c r="L27" s="86">
        <v>217</v>
      </c>
      <c r="M27" s="86">
        <v>13</v>
      </c>
      <c r="N27" s="86">
        <v>0</v>
      </c>
      <c r="O27" s="86">
        <v>0</v>
      </c>
      <c r="P27" s="86">
        <v>0</v>
      </c>
      <c r="Q27" s="69">
        <f t="shared" si="10"/>
        <v>5.9907834101382486E-2</v>
      </c>
      <c r="R27" s="69">
        <f t="shared" si="10"/>
        <v>0</v>
      </c>
      <c r="S27" s="86"/>
      <c r="T27" s="86"/>
      <c r="U27" s="86"/>
      <c r="V27" s="86"/>
      <c r="W27" s="87"/>
    </row>
    <row r="28" spans="1:23" ht="6.6" customHeight="1">
      <c r="A28" s="22"/>
      <c r="B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5"/>
      <c r="R28" s="25"/>
      <c r="S28" s="24"/>
      <c r="T28" s="24"/>
      <c r="U28" s="24"/>
      <c r="V28" s="25"/>
      <c r="W28" s="26"/>
    </row>
    <row r="29" spans="1:23">
      <c r="A29" s="6">
        <v>46136</v>
      </c>
      <c r="B29" s="7" t="s">
        <v>553</v>
      </c>
      <c r="C29" s="18" t="s">
        <v>596</v>
      </c>
      <c r="D29" s="18" t="s">
        <v>595</v>
      </c>
      <c r="E29" s="18" t="s">
        <v>27</v>
      </c>
      <c r="F29" s="18" t="s">
        <v>303</v>
      </c>
      <c r="G29" s="18" t="s">
        <v>85</v>
      </c>
      <c r="H29" s="18" t="s">
        <v>186</v>
      </c>
      <c r="I29" s="47"/>
      <c r="J29" s="18" t="s">
        <v>27</v>
      </c>
      <c r="K29" s="18" t="s">
        <v>186</v>
      </c>
      <c r="L29" s="7">
        <v>2187</v>
      </c>
      <c r="M29" s="7">
        <v>8</v>
      </c>
      <c r="N29" s="7">
        <v>1</v>
      </c>
      <c r="O29" s="7">
        <v>1</v>
      </c>
      <c r="P29" s="7">
        <v>1</v>
      </c>
      <c r="Q29" s="69">
        <f t="shared" ref="Q29:R39" si="11">M29/L29</f>
        <v>3.6579789666209418E-3</v>
      </c>
      <c r="R29" s="69">
        <f t="shared" si="11"/>
        <v>0.125</v>
      </c>
      <c r="S29" s="7"/>
      <c r="T29" s="7"/>
      <c r="U29" s="7"/>
      <c r="V29" s="7"/>
      <c r="W29" s="7"/>
    </row>
    <row r="30" spans="1:23">
      <c r="A30" s="6">
        <v>46136</v>
      </c>
      <c r="B30" s="7" t="s">
        <v>553</v>
      </c>
      <c r="C30" s="18" t="s">
        <v>597</v>
      </c>
      <c r="D30" s="18" t="s">
        <v>594</v>
      </c>
      <c r="E30" s="18" t="s">
        <v>27</v>
      </c>
      <c r="F30" s="18" t="s">
        <v>593</v>
      </c>
      <c r="G30" s="18" t="s">
        <v>85</v>
      </c>
      <c r="H30" s="18" t="s">
        <v>186</v>
      </c>
      <c r="I30" s="14" t="s">
        <v>554</v>
      </c>
      <c r="J30" s="18" t="s">
        <v>27</v>
      </c>
      <c r="K30" s="18" t="s">
        <v>186</v>
      </c>
      <c r="L30" s="7"/>
      <c r="M30" s="7"/>
      <c r="N30" s="7"/>
      <c r="O30" s="7"/>
      <c r="P30" s="7"/>
      <c r="Q30" s="69" t="e">
        <f t="shared" si="11"/>
        <v>#DIV/0!</v>
      </c>
      <c r="R30" s="69" t="e">
        <f t="shared" si="11"/>
        <v>#DIV/0!</v>
      </c>
      <c r="S30" s="7"/>
      <c r="T30" s="7"/>
      <c r="U30" s="7"/>
      <c r="V30" s="7"/>
      <c r="W30" s="7"/>
    </row>
    <row r="31" spans="1:23">
      <c r="A31" s="6">
        <v>46136</v>
      </c>
      <c r="B31" s="7" t="s">
        <v>553</v>
      </c>
      <c r="C31" s="18" t="s">
        <v>347</v>
      </c>
      <c r="D31" s="18" t="s">
        <v>345</v>
      </c>
      <c r="E31" s="18" t="s">
        <v>27</v>
      </c>
      <c r="F31" s="18" t="s">
        <v>346</v>
      </c>
      <c r="G31" s="18" t="s">
        <v>85</v>
      </c>
      <c r="H31" s="18" t="s">
        <v>313</v>
      </c>
      <c r="I31" s="47"/>
      <c r="J31" s="18" t="s">
        <v>27</v>
      </c>
      <c r="K31" s="18" t="s">
        <v>313</v>
      </c>
      <c r="L31" s="7"/>
      <c r="M31" s="7"/>
      <c r="N31" s="7"/>
      <c r="O31" s="7"/>
      <c r="P31" s="7"/>
      <c r="Q31" s="69" t="e">
        <f t="shared" si="11"/>
        <v>#DIV/0!</v>
      </c>
      <c r="R31" s="69" t="e">
        <f t="shared" si="11"/>
        <v>#DIV/0!</v>
      </c>
      <c r="S31" s="7"/>
      <c r="T31" s="7"/>
      <c r="U31" s="7"/>
      <c r="V31" s="7"/>
      <c r="W31" s="7"/>
    </row>
    <row r="32" spans="1:23">
      <c r="A32" s="6">
        <v>46136</v>
      </c>
      <c r="B32" s="7" t="s">
        <v>553</v>
      </c>
      <c r="C32" s="18" t="s">
        <v>308</v>
      </c>
      <c r="D32" s="18" t="s">
        <v>503</v>
      </c>
      <c r="E32" s="18" t="s">
        <v>27</v>
      </c>
      <c r="F32" s="18" t="s">
        <v>502</v>
      </c>
      <c r="G32" s="18" t="s">
        <v>85</v>
      </c>
      <c r="H32" s="18" t="s">
        <v>106</v>
      </c>
      <c r="I32" s="47"/>
      <c r="J32" s="18" t="s">
        <v>27</v>
      </c>
      <c r="K32" s="18" t="s">
        <v>106</v>
      </c>
      <c r="L32" s="7">
        <v>732</v>
      </c>
      <c r="M32" s="7">
        <v>11</v>
      </c>
      <c r="N32" s="7">
        <v>4</v>
      </c>
      <c r="O32" s="7"/>
      <c r="P32" s="7"/>
      <c r="Q32" s="69">
        <f t="shared" si="11"/>
        <v>1.5027322404371584E-2</v>
      </c>
      <c r="R32" s="69">
        <f t="shared" si="11"/>
        <v>0.36363636363636365</v>
      </c>
      <c r="S32" s="7"/>
      <c r="T32" s="7"/>
      <c r="U32" s="7"/>
      <c r="V32" s="7"/>
      <c r="W32" s="7"/>
    </row>
    <row r="33" spans="1:23">
      <c r="A33" s="6">
        <v>46136</v>
      </c>
      <c r="B33" s="7" t="s">
        <v>553</v>
      </c>
      <c r="C33" s="18" t="s">
        <v>598</v>
      </c>
      <c r="D33" s="18" t="s">
        <v>594</v>
      </c>
      <c r="E33" s="18" t="s">
        <v>27</v>
      </c>
      <c r="F33" s="18" t="s">
        <v>593</v>
      </c>
      <c r="G33" s="18" t="s">
        <v>85</v>
      </c>
      <c r="H33" s="18" t="s">
        <v>106</v>
      </c>
      <c r="I33" s="14" t="s">
        <v>554</v>
      </c>
      <c r="J33" s="18"/>
      <c r="K33" s="18"/>
      <c r="L33" s="7"/>
      <c r="M33" s="7"/>
      <c r="N33" s="7"/>
      <c r="O33" s="7"/>
      <c r="P33" s="7"/>
      <c r="Q33" s="69" t="e">
        <f t="shared" si="11"/>
        <v>#DIV/0!</v>
      </c>
      <c r="R33" s="69" t="e">
        <f t="shared" si="11"/>
        <v>#DIV/0!</v>
      </c>
      <c r="S33" s="7"/>
      <c r="T33" s="7"/>
      <c r="U33" s="7"/>
      <c r="V33" s="7"/>
      <c r="W33" s="7"/>
    </row>
    <row r="34" spans="1:23">
      <c r="A34" s="6">
        <v>46136</v>
      </c>
      <c r="B34" s="7" t="s">
        <v>553</v>
      </c>
      <c r="C34" s="62">
        <v>0.75</v>
      </c>
      <c r="D34" s="77" t="s">
        <v>565</v>
      </c>
      <c r="E34" s="77" t="s">
        <v>27</v>
      </c>
      <c r="F34" s="77" t="s">
        <v>371</v>
      </c>
      <c r="G34" s="77" t="s">
        <v>85</v>
      </c>
      <c r="H34" s="77" t="s">
        <v>348</v>
      </c>
      <c r="I34" s="84"/>
      <c r="J34" s="77" t="s">
        <v>27</v>
      </c>
      <c r="K34" s="77" t="s">
        <v>348</v>
      </c>
      <c r="L34" s="7">
        <v>3095</v>
      </c>
      <c r="M34" s="7">
        <v>20</v>
      </c>
      <c r="N34" s="7">
        <v>4</v>
      </c>
      <c r="O34" s="7">
        <v>0</v>
      </c>
      <c r="P34" s="7">
        <v>2</v>
      </c>
      <c r="Q34" s="69">
        <f t="shared" si="11"/>
        <v>6.462035541195477E-3</v>
      </c>
      <c r="R34" s="69">
        <f t="shared" si="11"/>
        <v>0.2</v>
      </c>
      <c r="S34" s="7"/>
      <c r="T34" s="7"/>
      <c r="U34" s="7"/>
      <c r="V34" s="7"/>
      <c r="W34" s="7"/>
    </row>
    <row r="35" spans="1:23">
      <c r="A35" s="6">
        <v>46136</v>
      </c>
      <c r="B35" s="7" t="s">
        <v>553</v>
      </c>
      <c r="C35" s="62">
        <v>0.76041666666666663</v>
      </c>
      <c r="D35" s="77" t="s">
        <v>566</v>
      </c>
      <c r="E35" s="77" t="s">
        <v>27</v>
      </c>
      <c r="F35" s="77" t="s">
        <v>373</v>
      </c>
      <c r="G35" s="77" t="s">
        <v>85</v>
      </c>
      <c r="H35" s="77" t="s">
        <v>349</v>
      </c>
      <c r="I35" s="84"/>
      <c r="J35" s="77" t="s">
        <v>27</v>
      </c>
      <c r="K35" s="77" t="s">
        <v>349</v>
      </c>
      <c r="L35" s="7">
        <v>1238</v>
      </c>
      <c r="M35" s="7">
        <v>4</v>
      </c>
      <c r="N35" s="7">
        <v>0</v>
      </c>
      <c r="O35" s="7">
        <v>0</v>
      </c>
      <c r="P35" s="7">
        <v>1</v>
      </c>
      <c r="Q35" s="69">
        <f t="shared" si="11"/>
        <v>3.2310177705977385E-3</v>
      </c>
      <c r="R35" s="69">
        <f t="shared" si="11"/>
        <v>0</v>
      </c>
      <c r="S35" s="7"/>
      <c r="T35" s="7"/>
      <c r="U35" s="7"/>
      <c r="V35" s="7"/>
      <c r="W35" s="7"/>
    </row>
    <row r="36" spans="1:23">
      <c r="A36" s="6">
        <v>46136</v>
      </c>
      <c r="B36" s="7" t="s">
        <v>553</v>
      </c>
      <c r="C36" s="62">
        <v>0.70833333333333337</v>
      </c>
      <c r="D36" s="77" t="s">
        <v>567</v>
      </c>
      <c r="E36" s="77" t="s">
        <v>27</v>
      </c>
      <c r="F36" s="77" t="s">
        <v>375</v>
      </c>
      <c r="G36" s="77" t="s">
        <v>85</v>
      </c>
      <c r="H36" s="77" t="s">
        <v>350</v>
      </c>
      <c r="I36" s="84"/>
      <c r="J36" s="77" t="s">
        <v>27</v>
      </c>
      <c r="K36" s="77" t="s">
        <v>350</v>
      </c>
      <c r="L36" s="7">
        <v>5593</v>
      </c>
      <c r="M36" s="7">
        <v>32</v>
      </c>
      <c r="N36" s="7">
        <v>4</v>
      </c>
      <c r="O36" s="7">
        <v>0</v>
      </c>
      <c r="P36" s="7">
        <v>0</v>
      </c>
      <c r="Q36" s="69">
        <f t="shared" si="11"/>
        <v>5.7214375111746827E-3</v>
      </c>
      <c r="R36" s="69">
        <f t="shared" si="11"/>
        <v>0.125</v>
      </c>
      <c r="S36" s="7"/>
      <c r="T36" s="7"/>
      <c r="U36" s="7"/>
      <c r="V36" s="7"/>
      <c r="W36" s="7"/>
    </row>
    <row r="37" spans="1:23">
      <c r="A37" s="6">
        <v>46136</v>
      </c>
      <c r="B37" s="7" t="s">
        <v>553</v>
      </c>
      <c r="C37" s="62">
        <v>0.78125</v>
      </c>
      <c r="D37" s="77" t="s">
        <v>568</v>
      </c>
      <c r="E37" s="77" t="s">
        <v>27</v>
      </c>
      <c r="F37" s="77" t="s">
        <v>377</v>
      </c>
      <c r="G37" s="77" t="s">
        <v>85</v>
      </c>
      <c r="H37" s="77" t="s">
        <v>351</v>
      </c>
      <c r="I37" s="84"/>
      <c r="J37" s="77" t="s">
        <v>27</v>
      </c>
      <c r="K37" s="77" t="s">
        <v>351</v>
      </c>
      <c r="L37" s="7">
        <v>3296</v>
      </c>
      <c r="M37" s="7">
        <v>24</v>
      </c>
      <c r="N37" s="7">
        <v>6</v>
      </c>
      <c r="O37" s="7">
        <v>0</v>
      </c>
      <c r="P37" s="7">
        <v>0</v>
      </c>
      <c r="Q37" s="69">
        <f t="shared" si="11"/>
        <v>7.2815533980582527E-3</v>
      </c>
      <c r="R37" s="69">
        <f t="shared" si="11"/>
        <v>0.25</v>
      </c>
      <c r="S37" s="7"/>
      <c r="T37" s="7"/>
      <c r="U37" s="7"/>
      <c r="V37" s="7"/>
      <c r="W37" s="7"/>
    </row>
    <row r="38" spans="1:23">
      <c r="A38" s="6">
        <v>46136</v>
      </c>
      <c r="B38" s="7" t="s">
        <v>553</v>
      </c>
      <c r="C38" s="62">
        <v>0.80208333333333337</v>
      </c>
      <c r="D38" s="88" t="s">
        <v>581</v>
      </c>
      <c r="E38" s="88" t="s">
        <v>27</v>
      </c>
      <c r="F38" s="88" t="s">
        <v>582</v>
      </c>
      <c r="G38" s="77" t="s">
        <v>85</v>
      </c>
      <c r="H38" s="7" t="s">
        <v>210</v>
      </c>
      <c r="I38" s="14" t="s">
        <v>209</v>
      </c>
      <c r="J38" s="77" t="s">
        <v>27</v>
      </c>
      <c r="K38" s="7" t="s">
        <v>210</v>
      </c>
      <c r="L38" s="7">
        <v>617</v>
      </c>
      <c r="M38" s="7">
        <v>25</v>
      </c>
      <c r="N38" s="7">
        <v>12</v>
      </c>
      <c r="O38" s="7">
        <v>0</v>
      </c>
      <c r="P38" s="7">
        <v>0</v>
      </c>
      <c r="Q38" s="69">
        <f t="shared" si="11"/>
        <v>4.0518638573743923E-2</v>
      </c>
      <c r="R38" s="69">
        <f t="shared" si="11"/>
        <v>0.48</v>
      </c>
      <c r="S38" s="7"/>
      <c r="T38" s="7"/>
      <c r="U38" s="7"/>
      <c r="V38" s="7"/>
      <c r="W38" s="7"/>
    </row>
    <row r="39" spans="1:23" ht="16.8">
      <c r="A39" s="6">
        <v>46136</v>
      </c>
      <c r="B39" s="7" t="s">
        <v>553</v>
      </c>
      <c r="C39" s="62">
        <v>0.83333333333333337</v>
      </c>
      <c r="D39" s="77" t="s">
        <v>607</v>
      </c>
      <c r="E39" s="7" t="s">
        <v>27</v>
      </c>
      <c r="F39" s="77" t="s">
        <v>375</v>
      </c>
      <c r="G39" s="77" t="s">
        <v>85</v>
      </c>
      <c r="H39" s="52" t="s">
        <v>157</v>
      </c>
      <c r="I39" s="98"/>
      <c r="J39" s="77" t="s">
        <v>27</v>
      </c>
      <c r="K39" s="52" t="s">
        <v>157</v>
      </c>
      <c r="L39" s="86">
        <v>469</v>
      </c>
      <c r="M39" s="86">
        <v>11</v>
      </c>
      <c r="N39" s="86">
        <v>3</v>
      </c>
      <c r="O39" s="86"/>
      <c r="P39" s="86"/>
      <c r="Q39" s="69">
        <f t="shared" si="11"/>
        <v>2.3454157782515993E-2</v>
      </c>
      <c r="R39" s="69">
        <f t="shared" si="11"/>
        <v>0.27272727272727271</v>
      </c>
      <c r="S39" s="86"/>
      <c r="T39" s="86"/>
      <c r="U39" s="86"/>
      <c r="V39" s="86"/>
      <c r="W39" s="87"/>
    </row>
    <row r="40" spans="1:23" ht="6.6" customHeight="1">
      <c r="A40" s="22"/>
      <c r="B40" s="23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5"/>
      <c r="R40" s="25"/>
      <c r="S40" s="24"/>
      <c r="T40" s="24"/>
      <c r="U40" s="24"/>
      <c r="V40" s="25"/>
      <c r="W40" s="26"/>
    </row>
    <row r="41" spans="1:23">
      <c r="A41" s="6">
        <v>46137</v>
      </c>
      <c r="B41" s="7" t="s">
        <v>577</v>
      </c>
      <c r="C41" s="18" t="s">
        <v>596</v>
      </c>
      <c r="D41" s="18" t="s">
        <v>595</v>
      </c>
      <c r="E41" s="18" t="s">
        <v>27</v>
      </c>
      <c r="F41" s="18" t="s">
        <v>303</v>
      </c>
      <c r="G41" s="18" t="s">
        <v>85</v>
      </c>
      <c r="H41" s="18" t="s">
        <v>186</v>
      </c>
      <c r="I41" s="47"/>
      <c r="J41" s="18" t="s">
        <v>27</v>
      </c>
      <c r="K41" s="18" t="s">
        <v>186</v>
      </c>
      <c r="L41" s="7">
        <v>2213</v>
      </c>
      <c r="M41" s="7">
        <v>19</v>
      </c>
      <c r="N41" s="7">
        <v>3</v>
      </c>
      <c r="O41" s="7">
        <v>2</v>
      </c>
      <c r="P41" s="7">
        <v>4</v>
      </c>
      <c r="Q41" s="69">
        <f t="shared" ref="Q41:R41" si="12">M41/L41</f>
        <v>8.5856303660189794E-3</v>
      </c>
      <c r="R41" s="69">
        <f t="shared" si="12"/>
        <v>0.15789473684210525</v>
      </c>
      <c r="S41" s="7"/>
      <c r="T41" s="7"/>
      <c r="U41" s="7"/>
      <c r="V41" s="7"/>
      <c r="W41" s="7"/>
    </row>
    <row r="42" spans="1:23">
      <c r="A42" s="6">
        <v>46137</v>
      </c>
      <c r="B42" s="7" t="s">
        <v>577</v>
      </c>
      <c r="C42" s="18" t="s">
        <v>597</v>
      </c>
      <c r="D42" s="18" t="s">
        <v>594</v>
      </c>
      <c r="E42" s="18" t="s">
        <v>27</v>
      </c>
      <c r="F42" s="18" t="s">
        <v>593</v>
      </c>
      <c r="G42" s="18" t="s">
        <v>85</v>
      </c>
      <c r="H42" s="18" t="s">
        <v>186</v>
      </c>
      <c r="I42" s="29"/>
      <c r="J42" s="18"/>
      <c r="K42" s="18"/>
      <c r="L42" s="7"/>
      <c r="M42" s="7"/>
      <c r="N42" s="7"/>
      <c r="O42" s="7"/>
      <c r="P42" s="7"/>
      <c r="Q42" s="69"/>
      <c r="R42" s="69"/>
      <c r="S42" s="7"/>
      <c r="T42" s="86"/>
      <c r="U42" s="86"/>
      <c r="V42" s="86"/>
      <c r="W42" s="7"/>
    </row>
    <row r="43" spans="1:23">
      <c r="A43" s="6">
        <v>46137</v>
      </c>
      <c r="B43" s="7" t="s">
        <v>577</v>
      </c>
      <c r="C43" s="18" t="s">
        <v>347</v>
      </c>
      <c r="D43" s="18" t="s">
        <v>345</v>
      </c>
      <c r="E43" s="18" t="s">
        <v>27</v>
      </c>
      <c r="F43" s="18" t="s">
        <v>346</v>
      </c>
      <c r="G43" s="18" t="s">
        <v>85</v>
      </c>
      <c r="H43" s="18" t="s">
        <v>313</v>
      </c>
      <c r="I43" s="47"/>
      <c r="J43" s="18" t="s">
        <v>27</v>
      </c>
      <c r="K43" s="18" t="s">
        <v>313</v>
      </c>
      <c r="L43" s="7"/>
      <c r="M43" s="7"/>
      <c r="N43" s="7"/>
      <c r="O43" s="7"/>
      <c r="P43" s="7"/>
      <c r="Q43" s="69" t="e">
        <f t="shared" ref="Q43:R44" si="13">M43/L43</f>
        <v>#DIV/0!</v>
      </c>
      <c r="R43" s="69" t="e">
        <f t="shared" si="13"/>
        <v>#DIV/0!</v>
      </c>
      <c r="S43" s="7"/>
      <c r="T43" s="7"/>
      <c r="U43" s="7"/>
      <c r="V43" s="7"/>
      <c r="W43" s="7"/>
    </row>
    <row r="44" spans="1:23">
      <c r="A44" s="6">
        <v>46137</v>
      </c>
      <c r="B44" s="7" t="s">
        <v>577</v>
      </c>
      <c r="C44" s="18" t="s">
        <v>308</v>
      </c>
      <c r="D44" s="18" t="s">
        <v>503</v>
      </c>
      <c r="E44" s="18" t="s">
        <v>27</v>
      </c>
      <c r="F44" s="18" t="s">
        <v>502</v>
      </c>
      <c r="G44" s="18" t="s">
        <v>85</v>
      </c>
      <c r="H44" s="18" t="s">
        <v>106</v>
      </c>
      <c r="I44" s="47"/>
      <c r="J44" s="18" t="s">
        <v>27</v>
      </c>
      <c r="K44" s="18" t="s">
        <v>106</v>
      </c>
      <c r="L44" s="7">
        <v>795</v>
      </c>
      <c r="M44" s="7">
        <v>5</v>
      </c>
      <c r="N44" s="7">
        <v>0</v>
      </c>
      <c r="O44" s="7">
        <v>0</v>
      </c>
      <c r="P44" s="7">
        <v>2</v>
      </c>
      <c r="Q44" s="69">
        <f t="shared" si="13"/>
        <v>6.2893081761006293E-3</v>
      </c>
      <c r="R44" s="69">
        <f t="shared" si="13"/>
        <v>0</v>
      </c>
      <c r="S44" s="7"/>
      <c r="T44" s="7"/>
      <c r="U44" s="7"/>
      <c r="V44" s="7"/>
      <c r="W44" s="7"/>
    </row>
    <row r="45" spans="1:23">
      <c r="A45" s="6">
        <v>46137</v>
      </c>
      <c r="B45" s="7" t="s">
        <v>577</v>
      </c>
      <c r="C45" s="18" t="s">
        <v>598</v>
      </c>
      <c r="D45" s="18" t="s">
        <v>594</v>
      </c>
      <c r="E45" s="18" t="s">
        <v>27</v>
      </c>
      <c r="F45" s="18" t="s">
        <v>593</v>
      </c>
      <c r="G45" s="18" t="s">
        <v>85</v>
      </c>
      <c r="H45" s="18" t="s">
        <v>106</v>
      </c>
      <c r="I45" s="29"/>
      <c r="J45" s="18"/>
      <c r="K45" s="18"/>
      <c r="L45" s="7"/>
      <c r="M45" s="7"/>
      <c r="N45" s="7"/>
      <c r="O45" s="7"/>
      <c r="P45" s="7"/>
      <c r="Q45" s="69"/>
      <c r="R45" s="69"/>
      <c r="S45" s="7"/>
      <c r="T45" s="7"/>
      <c r="U45" s="7"/>
      <c r="V45" s="7"/>
      <c r="W45" s="7"/>
    </row>
    <row r="46" spans="1:23">
      <c r="A46" s="6">
        <v>46137</v>
      </c>
      <c r="B46" s="7" t="s">
        <v>577</v>
      </c>
      <c r="C46" s="62">
        <v>0.75</v>
      </c>
      <c r="D46" s="77" t="s">
        <v>629</v>
      </c>
      <c r="E46" s="77" t="s">
        <v>27</v>
      </c>
      <c r="F46" s="77" t="s">
        <v>428</v>
      </c>
      <c r="G46" s="77" t="s">
        <v>85</v>
      </c>
      <c r="H46" s="77" t="s">
        <v>348</v>
      </c>
      <c r="I46" s="84"/>
      <c r="J46" s="77" t="s">
        <v>27</v>
      </c>
      <c r="K46" s="77" t="s">
        <v>348</v>
      </c>
      <c r="L46" s="7">
        <v>3092</v>
      </c>
      <c r="M46" s="7">
        <v>31</v>
      </c>
      <c r="N46" s="7">
        <v>7</v>
      </c>
      <c r="O46" s="7">
        <v>2</v>
      </c>
      <c r="P46" s="7">
        <v>2</v>
      </c>
      <c r="Q46" s="69">
        <f t="shared" ref="Q46:R51" si="14">M46/L46</f>
        <v>1.0025873221216041E-2</v>
      </c>
      <c r="R46" s="69">
        <f t="shared" si="14"/>
        <v>0.22580645161290322</v>
      </c>
      <c r="S46" s="7"/>
      <c r="T46" s="7"/>
      <c r="U46" s="7"/>
      <c r="V46" s="7"/>
      <c r="W46" s="7"/>
    </row>
    <row r="47" spans="1:23">
      <c r="A47" s="6">
        <v>46137</v>
      </c>
      <c r="B47" s="7" t="s">
        <v>577</v>
      </c>
      <c r="C47" s="62">
        <v>0.76041666666666663</v>
      </c>
      <c r="D47" s="77" t="s">
        <v>630</v>
      </c>
      <c r="E47" s="77" t="s">
        <v>27</v>
      </c>
      <c r="F47" s="77" t="s">
        <v>430</v>
      </c>
      <c r="G47" s="77" t="s">
        <v>85</v>
      </c>
      <c r="H47" s="77" t="s">
        <v>349</v>
      </c>
      <c r="I47" s="84"/>
      <c r="J47" s="77" t="s">
        <v>27</v>
      </c>
      <c r="K47" s="77" t="s">
        <v>349</v>
      </c>
      <c r="L47" s="7">
        <v>1275</v>
      </c>
      <c r="M47" s="7">
        <v>11</v>
      </c>
      <c r="N47" s="7">
        <v>8</v>
      </c>
      <c r="O47" s="7">
        <v>0</v>
      </c>
      <c r="P47" s="7">
        <v>1</v>
      </c>
      <c r="Q47" s="69">
        <f t="shared" si="14"/>
        <v>8.6274509803921564E-3</v>
      </c>
      <c r="R47" s="69">
        <f t="shared" si="14"/>
        <v>0.72727272727272729</v>
      </c>
      <c r="S47" s="7"/>
      <c r="T47" s="7"/>
      <c r="U47" s="7"/>
      <c r="V47" s="7"/>
      <c r="W47" s="7"/>
    </row>
    <row r="48" spans="1:23">
      <c r="A48" s="6">
        <v>46137</v>
      </c>
      <c r="B48" s="7" t="s">
        <v>577</v>
      </c>
      <c r="C48" s="62">
        <v>0.70833333333333337</v>
      </c>
      <c r="D48" s="77" t="s">
        <v>631</v>
      </c>
      <c r="E48" s="77" t="s">
        <v>27</v>
      </c>
      <c r="F48" s="77" t="s">
        <v>432</v>
      </c>
      <c r="G48" s="77" t="s">
        <v>85</v>
      </c>
      <c r="H48" s="77" t="s">
        <v>350</v>
      </c>
      <c r="I48" s="84"/>
      <c r="J48" s="77" t="s">
        <v>27</v>
      </c>
      <c r="K48" s="77" t="s">
        <v>350</v>
      </c>
      <c r="L48" s="7">
        <v>5589</v>
      </c>
      <c r="M48" s="7">
        <v>31</v>
      </c>
      <c r="N48" s="7">
        <v>12</v>
      </c>
      <c r="O48" s="7">
        <v>3</v>
      </c>
      <c r="P48" s="7">
        <v>1</v>
      </c>
      <c r="Q48" s="69">
        <f t="shared" si="14"/>
        <v>5.5466094113437109E-3</v>
      </c>
      <c r="R48" s="69">
        <f t="shared" si="14"/>
        <v>0.38709677419354838</v>
      </c>
      <c r="S48" s="7"/>
      <c r="T48" s="7"/>
      <c r="U48" s="7"/>
      <c r="V48" s="7"/>
      <c r="W48" s="7"/>
    </row>
    <row r="49" spans="1:23">
      <c r="A49" s="6">
        <v>46137</v>
      </c>
      <c r="B49" s="7" t="s">
        <v>577</v>
      </c>
      <c r="C49" s="62">
        <v>0.78125</v>
      </c>
      <c r="D49" s="77" t="s">
        <v>632</v>
      </c>
      <c r="E49" s="77" t="s">
        <v>27</v>
      </c>
      <c r="F49" s="77" t="s">
        <v>434</v>
      </c>
      <c r="G49" s="77" t="s">
        <v>85</v>
      </c>
      <c r="H49" s="77" t="s">
        <v>351</v>
      </c>
      <c r="I49" s="84"/>
      <c r="J49" s="77" t="s">
        <v>27</v>
      </c>
      <c r="K49" s="77" t="s">
        <v>351</v>
      </c>
      <c r="L49" s="7">
        <v>3291</v>
      </c>
      <c r="M49" s="7">
        <v>17</v>
      </c>
      <c r="N49" s="7">
        <v>6</v>
      </c>
      <c r="O49" s="7">
        <v>2</v>
      </c>
      <c r="P49" s="7">
        <v>1</v>
      </c>
      <c r="Q49" s="69">
        <f t="shared" si="14"/>
        <v>5.1656031601336984E-3</v>
      </c>
      <c r="R49" s="69">
        <f t="shared" si="14"/>
        <v>0.35294117647058826</v>
      </c>
      <c r="S49" s="7"/>
      <c r="T49" s="7"/>
      <c r="U49" s="7"/>
      <c r="V49" s="7"/>
      <c r="W49" s="7"/>
    </row>
    <row r="50" spans="1:23">
      <c r="A50" s="6">
        <v>46137</v>
      </c>
      <c r="B50" s="7" t="s">
        <v>577</v>
      </c>
      <c r="C50" s="62">
        <v>0.80208333333333337</v>
      </c>
      <c r="D50" s="7" t="s">
        <v>633</v>
      </c>
      <c r="E50" s="77" t="s">
        <v>27</v>
      </c>
      <c r="F50" s="7" t="s">
        <v>410</v>
      </c>
      <c r="G50" s="77" t="s">
        <v>85</v>
      </c>
      <c r="H50" s="7" t="s">
        <v>210</v>
      </c>
      <c r="I50" s="29"/>
      <c r="J50" s="77" t="s">
        <v>27</v>
      </c>
      <c r="K50" s="7" t="s">
        <v>210</v>
      </c>
      <c r="L50" s="7">
        <v>722</v>
      </c>
      <c r="M50" s="7">
        <v>41</v>
      </c>
      <c r="N50" s="7">
        <v>23</v>
      </c>
      <c r="O50" s="7">
        <v>2</v>
      </c>
      <c r="P50" s="7">
        <v>0</v>
      </c>
      <c r="Q50" s="69">
        <f t="shared" si="14"/>
        <v>5.6786703601108032E-2</v>
      </c>
      <c r="R50" s="69">
        <f t="shared" si="14"/>
        <v>0.56097560975609762</v>
      </c>
      <c r="S50" s="7"/>
      <c r="T50" s="7"/>
      <c r="U50" s="7"/>
      <c r="V50" s="7"/>
      <c r="W50" s="7"/>
    </row>
    <row r="51" spans="1:23" ht="16.8">
      <c r="A51" s="6">
        <v>46137</v>
      </c>
      <c r="B51" s="7" t="s">
        <v>577</v>
      </c>
      <c r="C51" s="62">
        <v>0.83333333333333337</v>
      </c>
      <c r="D51" s="77" t="s">
        <v>662</v>
      </c>
      <c r="E51" s="7" t="s">
        <v>27</v>
      </c>
      <c r="F51" s="77" t="s">
        <v>432</v>
      </c>
      <c r="G51" s="77" t="s">
        <v>85</v>
      </c>
      <c r="H51" s="52" t="s">
        <v>157</v>
      </c>
      <c r="I51" s="98"/>
      <c r="J51" s="77" t="s">
        <v>27</v>
      </c>
      <c r="K51" s="52" t="s">
        <v>157</v>
      </c>
      <c r="L51" s="86">
        <v>614</v>
      </c>
      <c r="M51" s="86">
        <v>2</v>
      </c>
      <c r="N51" s="86">
        <v>0</v>
      </c>
      <c r="O51" s="86">
        <v>0</v>
      </c>
      <c r="P51" s="86">
        <v>0</v>
      </c>
      <c r="Q51" s="69">
        <f t="shared" si="14"/>
        <v>3.2573289902280132E-3</v>
      </c>
      <c r="R51" s="69">
        <f t="shared" si="14"/>
        <v>0</v>
      </c>
      <c r="S51" s="86"/>
      <c r="T51" s="86"/>
      <c r="U51" s="86"/>
      <c r="V51" s="86"/>
      <c r="W51" s="87"/>
    </row>
    <row r="52" spans="1:23" ht="6.6" customHeight="1">
      <c r="A52" s="22"/>
      <c r="B52" s="23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5"/>
      <c r="R52" s="25"/>
      <c r="S52" s="24"/>
      <c r="T52" s="24"/>
      <c r="U52" s="24"/>
      <c r="V52" s="25"/>
      <c r="W52" s="26"/>
    </row>
    <row r="53" spans="1:23">
      <c r="A53" s="6">
        <v>46138</v>
      </c>
      <c r="B53" s="7" t="s">
        <v>578</v>
      </c>
      <c r="C53" s="18" t="s">
        <v>596</v>
      </c>
      <c r="D53" s="18" t="s">
        <v>595</v>
      </c>
      <c r="E53" s="18" t="s">
        <v>27</v>
      </c>
      <c r="F53" s="18" t="s">
        <v>303</v>
      </c>
      <c r="G53" s="18" t="s">
        <v>85</v>
      </c>
      <c r="H53" s="18" t="s">
        <v>186</v>
      </c>
      <c r="I53" s="47"/>
      <c r="J53" s="18" t="s">
        <v>27</v>
      </c>
      <c r="K53" s="18" t="s">
        <v>186</v>
      </c>
      <c r="L53" s="7">
        <v>1890</v>
      </c>
      <c r="M53" s="7">
        <v>11</v>
      </c>
      <c r="N53" s="7">
        <v>1</v>
      </c>
      <c r="O53" s="7">
        <v>0</v>
      </c>
      <c r="P53" s="7">
        <v>0</v>
      </c>
      <c r="Q53" s="69">
        <f t="shared" ref="Q53:R53" si="15">M53/L53</f>
        <v>5.82010582010582E-3</v>
      </c>
      <c r="R53" s="69">
        <f t="shared" si="15"/>
        <v>9.0909090909090912E-2</v>
      </c>
      <c r="S53" s="7"/>
      <c r="T53" s="7"/>
      <c r="U53" s="7"/>
      <c r="V53" s="7"/>
      <c r="W53" s="7"/>
    </row>
    <row r="54" spans="1:23">
      <c r="A54" s="6">
        <v>46138</v>
      </c>
      <c r="B54" s="7" t="s">
        <v>578</v>
      </c>
      <c r="C54" s="18" t="s">
        <v>597</v>
      </c>
      <c r="D54" s="18" t="s">
        <v>594</v>
      </c>
      <c r="E54" s="18" t="s">
        <v>27</v>
      </c>
      <c r="F54" s="18" t="s">
        <v>593</v>
      </c>
      <c r="G54" s="18" t="s">
        <v>85</v>
      </c>
      <c r="H54" s="18"/>
      <c r="I54" s="29"/>
      <c r="J54" s="18"/>
      <c r="K54" s="18"/>
      <c r="L54" s="7"/>
      <c r="M54" s="7"/>
      <c r="N54" s="7"/>
      <c r="O54" s="7"/>
      <c r="P54" s="7"/>
      <c r="Q54" s="69"/>
      <c r="R54" s="69"/>
      <c r="S54" s="7"/>
      <c r="T54" s="86"/>
      <c r="U54" s="86"/>
      <c r="V54" s="86"/>
      <c r="W54" s="7"/>
    </row>
    <row r="55" spans="1:23">
      <c r="A55" s="6">
        <v>46138</v>
      </c>
      <c r="B55" s="7" t="s">
        <v>578</v>
      </c>
      <c r="C55" s="18" t="s">
        <v>347</v>
      </c>
      <c r="D55" s="18" t="s">
        <v>345</v>
      </c>
      <c r="E55" s="18" t="s">
        <v>27</v>
      </c>
      <c r="F55" s="18" t="s">
        <v>346</v>
      </c>
      <c r="G55" s="18" t="s">
        <v>85</v>
      </c>
      <c r="H55" s="18" t="s">
        <v>313</v>
      </c>
      <c r="I55" s="47"/>
      <c r="J55" s="18" t="s">
        <v>27</v>
      </c>
      <c r="K55" s="18" t="s">
        <v>313</v>
      </c>
      <c r="L55" s="7"/>
      <c r="M55" s="7"/>
      <c r="N55" s="7"/>
      <c r="O55" s="7"/>
      <c r="P55" s="7"/>
      <c r="Q55" s="69" t="e">
        <f t="shared" ref="Q55:R56" si="16">M55/L55</f>
        <v>#DIV/0!</v>
      </c>
      <c r="R55" s="69" t="e">
        <f t="shared" si="16"/>
        <v>#DIV/0!</v>
      </c>
      <c r="S55" s="7"/>
      <c r="T55" s="7"/>
      <c r="U55" s="7"/>
      <c r="V55" s="7"/>
      <c r="W55" s="7"/>
    </row>
    <row r="56" spans="1:23">
      <c r="A56" s="6">
        <v>46138</v>
      </c>
      <c r="B56" s="7" t="s">
        <v>578</v>
      </c>
      <c r="C56" s="18" t="s">
        <v>308</v>
      </c>
      <c r="D56" s="18" t="s">
        <v>503</v>
      </c>
      <c r="E56" s="18" t="s">
        <v>27</v>
      </c>
      <c r="F56" s="18" t="s">
        <v>502</v>
      </c>
      <c r="G56" s="18" t="s">
        <v>85</v>
      </c>
      <c r="H56" s="18" t="s">
        <v>106</v>
      </c>
      <c r="I56" s="47"/>
      <c r="J56" s="18" t="s">
        <v>27</v>
      </c>
      <c r="K56" s="18" t="s">
        <v>106</v>
      </c>
      <c r="L56" s="7">
        <v>754</v>
      </c>
      <c r="M56" s="7">
        <v>4</v>
      </c>
      <c r="N56" s="7">
        <v>3</v>
      </c>
      <c r="O56" s="7">
        <v>0</v>
      </c>
      <c r="P56" s="7">
        <v>4</v>
      </c>
      <c r="Q56" s="69">
        <f t="shared" si="16"/>
        <v>5.3050397877984082E-3</v>
      </c>
      <c r="R56" s="69">
        <f t="shared" si="16"/>
        <v>0.75</v>
      </c>
      <c r="S56" s="7"/>
      <c r="T56" s="7"/>
      <c r="U56" s="7"/>
      <c r="V56" s="7"/>
      <c r="W56" s="7"/>
    </row>
    <row r="57" spans="1:23">
      <c r="A57" s="6">
        <v>46138</v>
      </c>
      <c r="B57" s="7" t="s">
        <v>578</v>
      </c>
      <c r="C57" s="18" t="s">
        <v>598</v>
      </c>
      <c r="D57" s="18" t="s">
        <v>594</v>
      </c>
      <c r="E57" s="18" t="s">
        <v>27</v>
      </c>
      <c r="F57" s="18" t="s">
        <v>593</v>
      </c>
      <c r="G57" s="18" t="s">
        <v>85</v>
      </c>
      <c r="H57" s="18"/>
      <c r="I57" s="29"/>
      <c r="J57" s="18"/>
      <c r="K57" s="18"/>
      <c r="L57" s="7"/>
      <c r="M57" s="7"/>
      <c r="N57" s="7"/>
      <c r="O57" s="7"/>
      <c r="P57" s="7"/>
      <c r="Q57" s="69"/>
      <c r="R57" s="69"/>
      <c r="S57" s="7"/>
      <c r="T57" s="7"/>
      <c r="U57" s="7"/>
      <c r="V57" s="7"/>
      <c r="W57" s="7"/>
    </row>
    <row r="58" spans="1:23">
      <c r="A58" s="6">
        <v>46138</v>
      </c>
      <c r="B58" s="7" t="s">
        <v>578</v>
      </c>
      <c r="C58" s="62">
        <v>0.75</v>
      </c>
      <c r="D58" s="77" t="s">
        <v>644</v>
      </c>
      <c r="E58" s="77" t="s">
        <v>27</v>
      </c>
      <c r="F58" s="77" t="s">
        <v>515</v>
      </c>
      <c r="G58" s="77" t="s">
        <v>85</v>
      </c>
      <c r="H58" s="77" t="s">
        <v>348</v>
      </c>
      <c r="I58" s="84"/>
      <c r="J58" s="77" t="s">
        <v>27</v>
      </c>
      <c r="K58" s="77" t="s">
        <v>348</v>
      </c>
      <c r="L58" s="7">
        <v>3089</v>
      </c>
      <c r="M58" s="7">
        <v>23</v>
      </c>
      <c r="N58" s="7">
        <v>4</v>
      </c>
      <c r="O58" s="7">
        <v>0</v>
      </c>
      <c r="P58" s="7">
        <v>2</v>
      </c>
      <c r="Q58" s="69">
        <f t="shared" ref="Q58:R63" si="17">M58/L58</f>
        <v>7.4457753318225963E-3</v>
      </c>
      <c r="R58" s="69">
        <f t="shared" si="17"/>
        <v>0.17391304347826086</v>
      </c>
      <c r="S58" s="7"/>
      <c r="T58" s="7"/>
      <c r="U58" s="7"/>
      <c r="V58" s="7"/>
      <c r="W58" s="7"/>
    </row>
    <row r="59" spans="1:23">
      <c r="A59" s="6">
        <v>46138</v>
      </c>
      <c r="B59" s="7" t="s">
        <v>578</v>
      </c>
      <c r="C59" s="62">
        <v>0.76041666666666663</v>
      </c>
      <c r="D59" s="77" t="s">
        <v>645</v>
      </c>
      <c r="E59" s="77" t="s">
        <v>27</v>
      </c>
      <c r="F59" s="77" t="s">
        <v>428</v>
      </c>
      <c r="G59" s="77" t="s">
        <v>85</v>
      </c>
      <c r="H59" s="77" t="s">
        <v>349</v>
      </c>
      <c r="I59" s="84"/>
      <c r="J59" s="77" t="s">
        <v>27</v>
      </c>
      <c r="K59" s="77" t="s">
        <v>349</v>
      </c>
      <c r="L59" s="7">
        <v>1270</v>
      </c>
      <c r="M59" s="7">
        <v>6</v>
      </c>
      <c r="N59" s="7">
        <v>5</v>
      </c>
      <c r="O59" s="7">
        <v>0</v>
      </c>
      <c r="P59" s="7">
        <v>1</v>
      </c>
      <c r="Q59" s="69">
        <f t="shared" si="17"/>
        <v>4.7244094488188976E-3</v>
      </c>
      <c r="R59" s="69">
        <f t="shared" si="17"/>
        <v>0.83333333333333337</v>
      </c>
      <c r="S59" s="7"/>
      <c r="T59" s="7"/>
      <c r="U59" s="7"/>
      <c r="V59" s="7"/>
      <c r="W59" s="7"/>
    </row>
    <row r="60" spans="1:23">
      <c r="A60" s="6">
        <v>46138</v>
      </c>
      <c r="B60" s="7" t="s">
        <v>578</v>
      </c>
      <c r="C60" s="62">
        <v>0.70833333333333337</v>
      </c>
      <c r="D60" s="77" t="s">
        <v>646</v>
      </c>
      <c r="E60" s="77" t="s">
        <v>27</v>
      </c>
      <c r="F60" s="77" t="s">
        <v>505</v>
      </c>
      <c r="G60" s="77" t="s">
        <v>85</v>
      </c>
      <c r="H60" s="77" t="s">
        <v>350</v>
      </c>
      <c r="I60" s="84"/>
      <c r="J60" s="77" t="s">
        <v>27</v>
      </c>
      <c r="K60" s="77" t="s">
        <v>350</v>
      </c>
      <c r="L60" s="7">
        <v>5579</v>
      </c>
      <c r="M60" s="7">
        <v>23</v>
      </c>
      <c r="N60" s="7">
        <v>6</v>
      </c>
      <c r="O60" s="7">
        <v>0</v>
      </c>
      <c r="P60" s="7">
        <v>3</v>
      </c>
      <c r="Q60" s="69">
        <f t="shared" si="17"/>
        <v>4.1226026169564438E-3</v>
      </c>
      <c r="R60" s="69">
        <f t="shared" si="17"/>
        <v>0.2608695652173913</v>
      </c>
      <c r="S60" s="7"/>
      <c r="T60" s="7"/>
      <c r="U60" s="7"/>
      <c r="V60" s="7"/>
      <c r="W60" s="7"/>
    </row>
    <row r="61" spans="1:23">
      <c r="A61" s="6">
        <v>46138</v>
      </c>
      <c r="B61" s="7" t="s">
        <v>578</v>
      </c>
      <c r="C61" s="62">
        <v>0.78125</v>
      </c>
      <c r="D61" s="77" t="s">
        <v>647</v>
      </c>
      <c r="E61" s="77" t="s">
        <v>27</v>
      </c>
      <c r="F61" s="77" t="s">
        <v>519</v>
      </c>
      <c r="G61" s="77" t="s">
        <v>85</v>
      </c>
      <c r="H61" s="77" t="s">
        <v>351</v>
      </c>
      <c r="I61" s="84"/>
      <c r="J61" s="77" t="s">
        <v>27</v>
      </c>
      <c r="K61" s="77" t="s">
        <v>351</v>
      </c>
      <c r="L61" s="7">
        <v>3283</v>
      </c>
      <c r="M61" s="7">
        <v>17</v>
      </c>
      <c r="N61" s="7">
        <v>5</v>
      </c>
      <c r="O61" s="7">
        <v>1</v>
      </c>
      <c r="P61" s="7">
        <v>1</v>
      </c>
      <c r="Q61" s="69">
        <f t="shared" si="17"/>
        <v>5.1781906792567776E-3</v>
      </c>
      <c r="R61" s="69">
        <f t="shared" si="17"/>
        <v>0.29411764705882354</v>
      </c>
      <c r="S61" s="7"/>
      <c r="T61" s="7"/>
      <c r="U61" s="7"/>
      <c r="V61" s="7"/>
      <c r="W61" s="7"/>
    </row>
    <row r="62" spans="1:23">
      <c r="A62" s="6">
        <v>46138</v>
      </c>
      <c r="B62" s="7" t="s">
        <v>578</v>
      </c>
      <c r="C62" s="62">
        <v>0.80208333333333337</v>
      </c>
      <c r="D62" s="88" t="s">
        <v>648</v>
      </c>
      <c r="E62" s="88" t="s">
        <v>27</v>
      </c>
      <c r="F62" s="88" t="s">
        <v>535</v>
      </c>
      <c r="G62" s="77" t="s">
        <v>85</v>
      </c>
      <c r="H62" s="7" t="s">
        <v>210</v>
      </c>
      <c r="I62" s="29"/>
      <c r="J62" s="77" t="s">
        <v>27</v>
      </c>
      <c r="K62" s="7" t="s">
        <v>210</v>
      </c>
      <c r="L62" s="7">
        <v>792</v>
      </c>
      <c r="M62" s="7">
        <v>26</v>
      </c>
      <c r="N62" s="7">
        <v>15</v>
      </c>
      <c r="O62" s="7">
        <v>1</v>
      </c>
      <c r="P62" s="7">
        <v>0</v>
      </c>
      <c r="Q62" s="69">
        <f t="shared" si="17"/>
        <v>3.2828282828282832E-2</v>
      </c>
      <c r="R62" s="69">
        <f t="shared" si="17"/>
        <v>0.57692307692307687</v>
      </c>
      <c r="S62" s="7"/>
      <c r="T62" s="7"/>
      <c r="U62" s="7"/>
      <c r="V62" s="7"/>
      <c r="W62" s="7"/>
    </row>
    <row r="63" spans="1:23" ht="16.8">
      <c r="A63" s="6">
        <v>46138</v>
      </c>
      <c r="B63" s="7" t="s">
        <v>578</v>
      </c>
      <c r="C63" s="62">
        <v>0.83333333333333337</v>
      </c>
      <c r="D63" s="97" t="s">
        <v>649</v>
      </c>
      <c r="E63" s="7" t="s">
        <v>27</v>
      </c>
      <c r="F63" s="97" t="s">
        <v>505</v>
      </c>
      <c r="G63" s="77" t="s">
        <v>85</v>
      </c>
      <c r="H63" s="52" t="s">
        <v>157</v>
      </c>
      <c r="I63" s="98"/>
      <c r="J63" s="77" t="s">
        <v>27</v>
      </c>
      <c r="K63" s="52" t="s">
        <v>157</v>
      </c>
      <c r="L63" s="86">
        <v>668</v>
      </c>
      <c r="M63" s="86">
        <v>4</v>
      </c>
      <c r="N63" s="86">
        <v>3</v>
      </c>
      <c r="O63" s="86">
        <v>1</v>
      </c>
      <c r="P63" s="86">
        <v>0</v>
      </c>
      <c r="Q63" s="69">
        <f t="shared" si="17"/>
        <v>5.9880239520958087E-3</v>
      </c>
      <c r="R63" s="69">
        <f t="shared" si="17"/>
        <v>0.75</v>
      </c>
      <c r="S63" s="86"/>
      <c r="T63" s="86"/>
      <c r="U63" s="86"/>
      <c r="V63" s="86"/>
      <c r="W63" s="87"/>
    </row>
    <row r="64" spans="1:23" ht="6.6" customHeight="1">
      <c r="A64" s="22"/>
      <c r="B64" s="23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5"/>
      <c r="R64" s="25"/>
      <c r="S64" s="24"/>
      <c r="T64" s="24"/>
      <c r="U64" s="24"/>
      <c r="V64" s="25"/>
      <c r="W64" s="26"/>
    </row>
    <row r="65" spans="1:23">
      <c r="A65" s="6">
        <v>46139</v>
      </c>
      <c r="B65" s="7" t="s">
        <v>301</v>
      </c>
      <c r="C65" s="18" t="s">
        <v>596</v>
      </c>
      <c r="D65" s="18" t="s">
        <v>595</v>
      </c>
      <c r="E65" s="18" t="s">
        <v>27</v>
      </c>
      <c r="F65" s="18" t="s">
        <v>303</v>
      </c>
      <c r="G65" s="18" t="s">
        <v>85</v>
      </c>
      <c r="H65" s="18" t="s">
        <v>186</v>
      </c>
      <c r="I65" s="47"/>
      <c r="J65" s="18" t="s">
        <v>27</v>
      </c>
      <c r="K65" s="18" t="s">
        <v>186</v>
      </c>
      <c r="L65" s="7">
        <v>1941</v>
      </c>
      <c r="M65" s="7">
        <v>9</v>
      </c>
      <c r="N65" s="7">
        <v>2</v>
      </c>
      <c r="O65" s="7">
        <v>0</v>
      </c>
      <c r="P65" s="7">
        <v>0</v>
      </c>
      <c r="Q65" s="69">
        <f t="shared" ref="Q65:R77" si="18">M65/L65</f>
        <v>4.6367851622874804E-3</v>
      </c>
      <c r="R65" s="69">
        <f t="shared" si="18"/>
        <v>0.22222222222222221</v>
      </c>
      <c r="S65" s="7"/>
      <c r="T65" s="7"/>
      <c r="U65" s="7"/>
      <c r="V65" s="7"/>
      <c r="W65" s="7"/>
    </row>
    <row r="66" spans="1:23">
      <c r="A66" s="6">
        <v>46139</v>
      </c>
      <c r="B66" s="7" t="s">
        <v>301</v>
      </c>
      <c r="C66" s="18" t="s">
        <v>597</v>
      </c>
      <c r="D66" s="18" t="s">
        <v>594</v>
      </c>
      <c r="E66" s="18" t="s">
        <v>27</v>
      </c>
      <c r="F66" s="18" t="s">
        <v>593</v>
      </c>
      <c r="G66" s="18" t="s">
        <v>85</v>
      </c>
      <c r="H66" s="18"/>
      <c r="I66" s="29"/>
      <c r="J66" s="18" t="s">
        <v>27</v>
      </c>
      <c r="K66" s="18" t="s">
        <v>186</v>
      </c>
      <c r="L66" s="7"/>
      <c r="M66" s="7"/>
      <c r="N66" s="7"/>
      <c r="O66" s="7"/>
      <c r="P66" s="7"/>
      <c r="Q66" s="69" t="e">
        <f t="shared" si="18"/>
        <v>#DIV/0!</v>
      </c>
      <c r="R66" s="69" t="e">
        <f t="shared" si="18"/>
        <v>#DIV/0!</v>
      </c>
      <c r="S66" s="7"/>
      <c r="T66" s="7"/>
      <c r="U66" s="7"/>
      <c r="V66" s="7"/>
      <c r="W66" s="7"/>
    </row>
    <row r="67" spans="1:23">
      <c r="A67" s="6">
        <v>46139</v>
      </c>
      <c r="B67" s="7" t="s">
        <v>301</v>
      </c>
      <c r="C67" s="18" t="s">
        <v>347</v>
      </c>
      <c r="D67" s="18" t="s">
        <v>345</v>
      </c>
      <c r="E67" s="18" t="s">
        <v>27</v>
      </c>
      <c r="F67" s="18" t="s">
        <v>346</v>
      </c>
      <c r="G67" s="18" t="s">
        <v>85</v>
      </c>
      <c r="H67" s="18" t="s">
        <v>313</v>
      </c>
      <c r="I67" s="47"/>
      <c r="J67" s="18" t="s">
        <v>27</v>
      </c>
      <c r="K67" s="18" t="s">
        <v>313</v>
      </c>
      <c r="L67" s="7"/>
      <c r="M67" s="7"/>
      <c r="N67" s="7"/>
      <c r="O67" s="7"/>
      <c r="P67" s="7"/>
      <c r="Q67" s="69" t="e">
        <f t="shared" si="18"/>
        <v>#DIV/0!</v>
      </c>
      <c r="R67" s="69" t="e">
        <f t="shared" si="18"/>
        <v>#DIV/0!</v>
      </c>
      <c r="S67" s="7"/>
      <c r="T67" s="7"/>
      <c r="U67" s="7"/>
      <c r="V67" s="7"/>
      <c r="W67" s="7"/>
    </row>
    <row r="68" spans="1:23">
      <c r="A68" s="6">
        <v>46139</v>
      </c>
      <c r="B68" s="7" t="s">
        <v>301</v>
      </c>
      <c r="C68" s="18" t="s">
        <v>308</v>
      </c>
      <c r="D68" s="18" t="s">
        <v>503</v>
      </c>
      <c r="E68" s="18" t="s">
        <v>27</v>
      </c>
      <c r="F68" s="18" t="s">
        <v>502</v>
      </c>
      <c r="G68" s="18" t="s">
        <v>85</v>
      </c>
      <c r="H68" s="18" t="s">
        <v>106</v>
      </c>
      <c r="I68" s="47"/>
      <c r="J68" s="18" t="s">
        <v>27</v>
      </c>
      <c r="K68" s="18" t="s">
        <v>106</v>
      </c>
      <c r="L68" s="7">
        <v>771</v>
      </c>
      <c r="M68" s="7">
        <v>39</v>
      </c>
      <c r="N68" s="7">
        <v>17</v>
      </c>
      <c r="O68" s="7">
        <v>7</v>
      </c>
      <c r="P68" s="7">
        <v>0</v>
      </c>
      <c r="Q68" s="69">
        <f t="shared" si="18"/>
        <v>5.0583657587548639E-2</v>
      </c>
      <c r="R68" s="69">
        <f t="shared" si="18"/>
        <v>0.4358974358974359</v>
      </c>
      <c r="S68" s="7"/>
      <c r="T68" s="7"/>
      <c r="U68" s="7"/>
      <c r="V68" s="7"/>
      <c r="W68" s="7"/>
    </row>
    <row r="69" spans="1:23">
      <c r="A69" s="6">
        <v>46139</v>
      </c>
      <c r="B69" s="7" t="s">
        <v>301</v>
      </c>
      <c r="C69" s="18" t="s">
        <v>598</v>
      </c>
      <c r="D69" s="18" t="s">
        <v>594</v>
      </c>
      <c r="E69" s="18" t="s">
        <v>27</v>
      </c>
      <c r="F69" s="18" t="s">
        <v>593</v>
      </c>
      <c r="G69" s="18" t="s">
        <v>85</v>
      </c>
      <c r="H69" s="18"/>
      <c r="I69" s="29"/>
      <c r="J69" s="18" t="s">
        <v>27</v>
      </c>
      <c r="K69" s="18" t="s">
        <v>106</v>
      </c>
      <c r="L69" s="7"/>
      <c r="M69" s="7"/>
      <c r="N69" s="7"/>
      <c r="O69" s="7"/>
      <c r="P69" s="7"/>
      <c r="Q69" s="69" t="e">
        <f t="shared" si="18"/>
        <v>#DIV/0!</v>
      </c>
      <c r="R69" s="69" t="e">
        <f t="shared" si="18"/>
        <v>#DIV/0!</v>
      </c>
      <c r="S69" s="7"/>
      <c r="T69" s="7"/>
      <c r="U69" s="7"/>
      <c r="V69" s="7"/>
      <c r="W69" s="7"/>
    </row>
    <row r="70" spans="1:23">
      <c r="A70" s="6">
        <v>46139</v>
      </c>
      <c r="B70" s="7" t="s">
        <v>301</v>
      </c>
      <c r="C70" s="62">
        <v>0.75</v>
      </c>
      <c r="D70" s="77" t="s">
        <v>721</v>
      </c>
      <c r="E70" s="77" t="s">
        <v>27</v>
      </c>
      <c r="F70" t="s">
        <v>722</v>
      </c>
      <c r="G70" s="77" t="s">
        <v>85</v>
      </c>
      <c r="H70" s="77" t="s">
        <v>348</v>
      </c>
      <c r="I70" s="14" t="s">
        <v>209</v>
      </c>
      <c r="J70" s="77" t="s">
        <v>27</v>
      </c>
      <c r="K70" s="77" t="s">
        <v>348</v>
      </c>
      <c r="L70" s="7">
        <v>3084</v>
      </c>
      <c r="M70" s="7">
        <v>40</v>
      </c>
      <c r="N70" s="7">
        <v>12</v>
      </c>
      <c r="O70" s="7">
        <v>0</v>
      </c>
      <c r="P70" s="7">
        <v>3</v>
      </c>
      <c r="Q70" s="69">
        <f t="shared" si="18"/>
        <v>1.2970168612191959E-2</v>
      </c>
      <c r="R70" s="69">
        <f t="shared" si="18"/>
        <v>0.3</v>
      </c>
      <c r="S70" s="7"/>
      <c r="T70" s="7"/>
      <c r="U70" s="7"/>
      <c r="V70" s="7"/>
      <c r="W70" s="7"/>
    </row>
    <row r="71" spans="1:23">
      <c r="A71" s="6">
        <v>46139</v>
      </c>
      <c r="B71" s="7" t="s">
        <v>301</v>
      </c>
      <c r="C71" s="62">
        <v>0.76041666666666663</v>
      </c>
      <c r="D71" s="77" t="s">
        <v>723</v>
      </c>
      <c r="E71" s="77" t="s">
        <v>27</v>
      </c>
      <c r="F71" t="s">
        <v>724</v>
      </c>
      <c r="G71" s="77" t="s">
        <v>85</v>
      </c>
      <c r="H71" s="77" t="s">
        <v>349</v>
      </c>
      <c r="I71" s="14" t="s">
        <v>209</v>
      </c>
      <c r="J71" s="77" t="s">
        <v>27</v>
      </c>
      <c r="K71" s="77" t="s">
        <v>349</v>
      </c>
      <c r="L71" s="7">
        <v>1268</v>
      </c>
      <c r="M71" s="7">
        <v>15</v>
      </c>
      <c r="N71" s="7">
        <v>7</v>
      </c>
      <c r="O71" s="7">
        <v>0</v>
      </c>
      <c r="P71" s="7">
        <v>1</v>
      </c>
      <c r="Q71" s="69">
        <f t="shared" si="18"/>
        <v>1.1829652996845425E-2</v>
      </c>
      <c r="R71" s="69">
        <f t="shared" si="18"/>
        <v>0.46666666666666667</v>
      </c>
      <c r="S71" s="7"/>
      <c r="T71" s="7"/>
      <c r="U71" s="7"/>
      <c r="V71" s="7"/>
      <c r="W71" s="7"/>
    </row>
    <row r="72" spans="1:23">
      <c r="A72" s="6">
        <v>46139</v>
      </c>
      <c r="B72" s="7" t="s">
        <v>301</v>
      </c>
      <c r="C72" s="62">
        <v>0.70833333333333337</v>
      </c>
      <c r="D72" s="77" t="s">
        <v>725</v>
      </c>
      <c r="E72" s="77" t="s">
        <v>27</v>
      </c>
      <c r="F72" t="s">
        <v>726</v>
      </c>
      <c r="G72" s="77" t="s">
        <v>85</v>
      </c>
      <c r="H72" s="77" t="s">
        <v>350</v>
      </c>
      <c r="I72" s="14" t="s">
        <v>209</v>
      </c>
      <c r="J72" s="77" t="s">
        <v>27</v>
      </c>
      <c r="K72" s="77" t="s">
        <v>350</v>
      </c>
      <c r="L72" s="7">
        <v>5571</v>
      </c>
      <c r="M72" s="7">
        <v>38</v>
      </c>
      <c r="N72" s="7">
        <v>11</v>
      </c>
      <c r="O72" s="7">
        <v>0</v>
      </c>
      <c r="P72" s="7">
        <v>1</v>
      </c>
      <c r="Q72" s="69">
        <f t="shared" si="18"/>
        <v>6.8210375157063364E-3</v>
      </c>
      <c r="R72" s="69">
        <f t="shared" si="18"/>
        <v>0.28947368421052633</v>
      </c>
      <c r="S72" s="7"/>
      <c r="T72" s="7"/>
      <c r="U72" s="7"/>
      <c r="V72" s="7"/>
      <c r="W72" s="7"/>
    </row>
    <row r="73" spans="1:23">
      <c r="A73" s="6">
        <v>46139</v>
      </c>
      <c r="B73" s="7" t="s">
        <v>301</v>
      </c>
      <c r="C73" s="62">
        <v>0.78125</v>
      </c>
      <c r="D73" s="77" t="s">
        <v>727</v>
      </c>
      <c r="E73" s="77" t="s">
        <v>27</v>
      </c>
      <c r="F73" s="77" t="s">
        <v>728</v>
      </c>
      <c r="G73" s="77" t="s">
        <v>85</v>
      </c>
      <c r="H73" s="77" t="s">
        <v>351</v>
      </c>
      <c r="I73" s="14" t="s">
        <v>677</v>
      </c>
      <c r="J73" s="77" t="s">
        <v>27</v>
      </c>
      <c r="K73" s="77" t="s">
        <v>351</v>
      </c>
      <c r="L73" s="7">
        <v>3278</v>
      </c>
      <c r="M73" s="7">
        <v>27</v>
      </c>
      <c r="N73" s="7">
        <v>7</v>
      </c>
      <c r="O73" s="7">
        <v>0</v>
      </c>
      <c r="P73" s="7">
        <v>1</v>
      </c>
      <c r="Q73" s="69">
        <f t="shared" si="18"/>
        <v>8.2367297132397797E-3</v>
      </c>
      <c r="R73" s="69">
        <f t="shared" si="18"/>
        <v>0.25925925925925924</v>
      </c>
      <c r="S73" s="7"/>
      <c r="T73" s="7"/>
      <c r="U73" s="7"/>
      <c r="V73" s="7"/>
      <c r="W73" s="7"/>
    </row>
    <row r="74" spans="1:23">
      <c r="A74" s="6">
        <v>46139</v>
      </c>
      <c r="B74" s="7" t="s">
        <v>301</v>
      </c>
      <c r="C74" s="62">
        <v>0.80208333333333337</v>
      </c>
      <c r="D74" s="88" t="s">
        <v>729</v>
      </c>
      <c r="E74" s="77" t="s">
        <v>27</v>
      </c>
      <c r="F74" t="s">
        <v>730</v>
      </c>
      <c r="G74" s="77" t="s">
        <v>85</v>
      </c>
      <c r="H74" s="7" t="s">
        <v>210</v>
      </c>
      <c r="I74" s="14" t="s">
        <v>209</v>
      </c>
      <c r="J74" s="77" t="s">
        <v>27</v>
      </c>
      <c r="K74" s="7" t="s">
        <v>210</v>
      </c>
      <c r="L74" s="7">
        <v>855</v>
      </c>
      <c r="M74" s="7">
        <v>40</v>
      </c>
      <c r="N74" s="7">
        <v>14</v>
      </c>
      <c r="O74" s="7">
        <v>0</v>
      </c>
      <c r="P74" s="7">
        <v>0</v>
      </c>
      <c r="Q74" s="69">
        <f t="shared" si="18"/>
        <v>4.6783625730994149E-2</v>
      </c>
      <c r="R74" s="69">
        <f t="shared" si="18"/>
        <v>0.35</v>
      </c>
      <c r="S74" s="7"/>
      <c r="T74" s="7"/>
      <c r="U74" s="7"/>
      <c r="V74" s="7"/>
      <c r="W74" s="7"/>
    </row>
    <row r="75" spans="1:23" ht="16.8">
      <c r="A75" s="6">
        <v>46139</v>
      </c>
      <c r="B75" s="7" t="s">
        <v>301</v>
      </c>
      <c r="C75" s="62">
        <v>0.83333333333333337</v>
      </c>
      <c r="D75" s="77" t="s">
        <v>731</v>
      </c>
      <c r="E75" s="77" t="s">
        <v>27</v>
      </c>
      <c r="F75" t="s">
        <v>722</v>
      </c>
      <c r="G75" s="77" t="s">
        <v>85</v>
      </c>
      <c r="H75" s="52" t="s">
        <v>157</v>
      </c>
      <c r="I75" s="14"/>
      <c r="J75" s="77" t="s">
        <v>27</v>
      </c>
      <c r="K75" s="52" t="s">
        <v>157</v>
      </c>
      <c r="L75" s="7">
        <v>3084</v>
      </c>
      <c r="M75" s="7">
        <v>30</v>
      </c>
      <c r="N75" s="7">
        <v>6</v>
      </c>
      <c r="O75" s="7">
        <v>0</v>
      </c>
      <c r="P75" s="7">
        <v>3</v>
      </c>
      <c r="Q75" s="69">
        <f t="shared" si="18"/>
        <v>9.727626459143969E-3</v>
      </c>
      <c r="R75" s="69">
        <f t="shared" si="18"/>
        <v>0.2</v>
      </c>
      <c r="S75" s="86"/>
      <c r="T75" s="86"/>
      <c r="U75" s="86"/>
      <c r="V75" s="86"/>
      <c r="W75" s="87"/>
    </row>
    <row r="76" spans="1:23" ht="16.8">
      <c r="A76" s="6">
        <v>46139</v>
      </c>
      <c r="B76" s="7" t="s">
        <v>301</v>
      </c>
      <c r="C76" s="62">
        <v>0.99652777777777779</v>
      </c>
      <c r="D76" s="88" t="s">
        <v>745</v>
      </c>
      <c r="E76" s="77" t="s">
        <v>27</v>
      </c>
      <c r="F76" s="77" t="s">
        <v>716</v>
      </c>
      <c r="G76" s="7"/>
      <c r="H76" s="107" t="s">
        <v>157</v>
      </c>
      <c r="I76" s="113"/>
      <c r="J76" s="77" t="s">
        <v>27</v>
      </c>
      <c r="K76" s="52" t="s">
        <v>157</v>
      </c>
      <c r="L76" s="86">
        <v>3751</v>
      </c>
      <c r="M76" s="86">
        <v>3066</v>
      </c>
      <c r="N76" s="86">
        <v>2290</v>
      </c>
      <c r="O76" s="86">
        <v>0</v>
      </c>
      <c r="P76" s="86">
        <v>0</v>
      </c>
      <c r="Q76" s="102">
        <f t="shared" si="18"/>
        <v>0.81738203145827781</v>
      </c>
      <c r="R76" s="102">
        <f t="shared" si="18"/>
        <v>0.74690150032615787</v>
      </c>
      <c r="S76" s="86"/>
      <c r="T76" s="86"/>
      <c r="U76" s="86"/>
      <c r="V76" s="86"/>
      <c r="W76" s="87"/>
    </row>
    <row r="77" spans="1:23" ht="18" customHeight="1">
      <c r="A77" s="6">
        <v>46139</v>
      </c>
      <c r="B77" s="7" t="s">
        <v>301</v>
      </c>
      <c r="C77" s="91"/>
      <c r="D77" s="77" t="s">
        <v>732</v>
      </c>
      <c r="E77" s="77" t="s">
        <v>27</v>
      </c>
      <c r="F77" s="97"/>
      <c r="G77" s="97"/>
      <c r="H77" s="93" t="s">
        <v>683</v>
      </c>
      <c r="I77" s="113" t="s">
        <v>686</v>
      </c>
      <c r="J77" s="77" t="s">
        <v>27</v>
      </c>
      <c r="K77" s="93" t="s">
        <v>683</v>
      </c>
      <c r="L77" s="86">
        <v>1499</v>
      </c>
      <c r="M77" s="86">
        <v>1434</v>
      </c>
      <c r="N77" s="86">
        <v>1164</v>
      </c>
      <c r="O77" s="86">
        <v>0</v>
      </c>
      <c r="P77" s="86">
        <v>1</v>
      </c>
      <c r="Q77" s="102">
        <f t="shared" si="18"/>
        <v>0.95663775850567045</v>
      </c>
      <c r="R77" s="102">
        <f t="shared" si="18"/>
        <v>0.81171548117154813</v>
      </c>
      <c r="S77" s="86"/>
      <c r="T77" s="86"/>
      <c r="U77" s="86"/>
      <c r="V77" s="86"/>
      <c r="W77" s="87"/>
    </row>
    <row r="78" spans="1:23" ht="6.6" customHeight="1">
      <c r="A78" s="22"/>
      <c r="B78" s="23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5"/>
      <c r="R78" s="25"/>
      <c r="S78" s="24"/>
      <c r="T78" s="24"/>
      <c r="U78" s="24"/>
      <c r="V78" s="25"/>
      <c r="W78" s="26"/>
    </row>
    <row r="79" spans="1:23">
      <c r="A79" s="6">
        <v>46140</v>
      </c>
      <c r="B79" s="7" t="s">
        <v>316</v>
      </c>
      <c r="C79" s="18" t="s">
        <v>596</v>
      </c>
      <c r="D79" s="18" t="s">
        <v>595</v>
      </c>
      <c r="E79" s="18" t="s">
        <v>27</v>
      </c>
      <c r="F79" s="18" t="s">
        <v>303</v>
      </c>
      <c r="G79" s="18" t="s">
        <v>85</v>
      </c>
      <c r="H79" s="18" t="s">
        <v>186</v>
      </c>
      <c r="I79" s="47"/>
      <c r="J79" s="18" t="s">
        <v>27</v>
      </c>
      <c r="K79" s="18" t="s">
        <v>186</v>
      </c>
      <c r="L79" s="7">
        <v>2006</v>
      </c>
      <c r="M79" s="7">
        <v>20</v>
      </c>
      <c r="N79" s="7">
        <v>6</v>
      </c>
      <c r="O79" s="7">
        <v>0</v>
      </c>
      <c r="P79" s="7">
        <v>0</v>
      </c>
      <c r="Q79" s="69">
        <f t="shared" ref="Q79:R91" si="19">M79/L79</f>
        <v>9.9700897308075773E-3</v>
      </c>
      <c r="R79" s="69">
        <f t="shared" si="19"/>
        <v>0.3</v>
      </c>
      <c r="S79" s="7"/>
      <c r="T79" s="7"/>
      <c r="U79" s="7"/>
      <c r="V79" s="7"/>
      <c r="W79" s="7"/>
    </row>
    <row r="80" spans="1:23">
      <c r="A80" s="6">
        <v>46140</v>
      </c>
      <c r="B80" s="7" t="s">
        <v>316</v>
      </c>
      <c r="C80" s="18" t="s">
        <v>597</v>
      </c>
      <c r="D80" s="18" t="s">
        <v>594</v>
      </c>
      <c r="E80" s="18" t="s">
        <v>27</v>
      </c>
      <c r="F80" s="18" t="s">
        <v>593</v>
      </c>
      <c r="G80" s="18" t="s">
        <v>85</v>
      </c>
      <c r="H80" s="18"/>
      <c r="I80" s="29"/>
      <c r="J80" s="18" t="s">
        <v>27</v>
      </c>
      <c r="K80" s="18" t="s">
        <v>186</v>
      </c>
      <c r="L80" s="7"/>
      <c r="M80" s="7"/>
      <c r="N80" s="7"/>
      <c r="O80" s="7"/>
      <c r="P80" s="7"/>
      <c r="Q80" s="69" t="e">
        <f t="shared" si="19"/>
        <v>#DIV/0!</v>
      </c>
      <c r="R80" s="69" t="e">
        <f t="shared" si="19"/>
        <v>#DIV/0!</v>
      </c>
      <c r="S80" s="7"/>
      <c r="T80" s="7"/>
      <c r="U80" s="7"/>
      <c r="V80" s="7"/>
      <c r="W80" s="7"/>
    </row>
    <row r="81" spans="1:23">
      <c r="A81" s="6">
        <v>46140</v>
      </c>
      <c r="B81" s="7" t="s">
        <v>316</v>
      </c>
      <c r="C81" s="18" t="s">
        <v>347</v>
      </c>
      <c r="D81" s="18" t="s">
        <v>345</v>
      </c>
      <c r="E81" s="18" t="s">
        <v>27</v>
      </c>
      <c r="F81" s="18" t="s">
        <v>346</v>
      </c>
      <c r="G81" s="18" t="s">
        <v>85</v>
      </c>
      <c r="H81" s="18" t="s">
        <v>313</v>
      </c>
      <c r="I81" s="47"/>
      <c r="J81" s="18" t="s">
        <v>27</v>
      </c>
      <c r="K81" s="18" t="s">
        <v>313</v>
      </c>
      <c r="L81" s="7"/>
      <c r="M81" s="7"/>
      <c r="N81" s="7"/>
      <c r="O81" s="7"/>
      <c r="P81" s="7"/>
      <c r="Q81" s="69" t="e">
        <f t="shared" si="19"/>
        <v>#DIV/0!</v>
      </c>
      <c r="R81" s="69" t="e">
        <f t="shared" si="19"/>
        <v>#DIV/0!</v>
      </c>
      <c r="S81" s="7"/>
      <c r="T81" s="86"/>
      <c r="U81" s="86"/>
      <c r="V81" s="86"/>
      <c r="W81" s="7"/>
    </row>
    <row r="82" spans="1:23">
      <c r="A82" s="6">
        <v>46140</v>
      </c>
      <c r="B82" s="7" t="s">
        <v>316</v>
      </c>
      <c r="C82" s="18" t="s">
        <v>308</v>
      </c>
      <c r="D82" s="18" t="s">
        <v>503</v>
      </c>
      <c r="E82" s="18" t="s">
        <v>27</v>
      </c>
      <c r="F82" s="18" t="s">
        <v>502</v>
      </c>
      <c r="G82" s="18" t="s">
        <v>85</v>
      </c>
      <c r="H82" s="18" t="s">
        <v>106</v>
      </c>
      <c r="I82" s="47"/>
      <c r="J82" s="18" t="s">
        <v>27</v>
      </c>
      <c r="K82" s="18" t="s">
        <v>106</v>
      </c>
      <c r="L82" s="7">
        <v>707</v>
      </c>
      <c r="M82" s="7">
        <v>116</v>
      </c>
      <c r="N82" s="7">
        <v>42</v>
      </c>
      <c r="O82" s="7">
        <v>1</v>
      </c>
      <c r="P82" s="7">
        <v>0</v>
      </c>
      <c r="Q82" s="69">
        <f t="shared" si="19"/>
        <v>0.16407355021216408</v>
      </c>
      <c r="R82" s="69">
        <f t="shared" si="19"/>
        <v>0.36206896551724138</v>
      </c>
      <c r="S82" s="7"/>
      <c r="T82" s="86"/>
      <c r="U82" s="86"/>
      <c r="V82" s="86"/>
      <c r="W82" s="7"/>
    </row>
    <row r="83" spans="1:23">
      <c r="A83" s="6">
        <v>46140</v>
      </c>
      <c r="B83" s="7" t="s">
        <v>316</v>
      </c>
      <c r="C83" s="18" t="s">
        <v>598</v>
      </c>
      <c r="D83" s="18" t="s">
        <v>594</v>
      </c>
      <c r="E83" s="18" t="s">
        <v>27</v>
      </c>
      <c r="F83" s="18" t="s">
        <v>593</v>
      </c>
      <c r="G83" s="18" t="s">
        <v>85</v>
      </c>
      <c r="H83" s="18"/>
      <c r="I83" s="29"/>
      <c r="J83" s="18" t="s">
        <v>27</v>
      </c>
      <c r="K83" s="18" t="s">
        <v>106</v>
      </c>
      <c r="L83" s="7"/>
      <c r="M83" s="7"/>
      <c r="N83" s="7"/>
      <c r="O83" s="7"/>
      <c r="P83" s="7"/>
      <c r="Q83" s="69" t="e">
        <f t="shared" si="19"/>
        <v>#DIV/0!</v>
      </c>
      <c r="R83" s="69" t="e">
        <f t="shared" si="19"/>
        <v>#DIV/0!</v>
      </c>
      <c r="S83" s="7"/>
      <c r="T83" s="7"/>
      <c r="U83" s="7"/>
      <c r="V83" s="7"/>
      <c r="W83" s="7"/>
    </row>
    <row r="84" spans="1:23">
      <c r="A84" s="6">
        <v>46140</v>
      </c>
      <c r="B84" s="7" t="s">
        <v>316</v>
      </c>
      <c r="C84" s="62">
        <v>0.75</v>
      </c>
      <c r="D84" s="77" t="s">
        <v>797</v>
      </c>
      <c r="E84" s="77" t="s">
        <v>27</v>
      </c>
      <c r="F84" t="s">
        <v>722</v>
      </c>
      <c r="G84" s="77" t="s">
        <v>85</v>
      </c>
      <c r="H84" s="77" t="s">
        <v>348</v>
      </c>
      <c r="I84" s="14" t="s">
        <v>785</v>
      </c>
      <c r="J84" s="77" t="s">
        <v>27</v>
      </c>
      <c r="K84" s="77" t="s">
        <v>348</v>
      </c>
      <c r="L84" s="7">
        <v>3081</v>
      </c>
      <c r="M84" s="7">
        <v>23</v>
      </c>
      <c r="N84" s="7">
        <v>7</v>
      </c>
      <c r="O84" s="7">
        <v>0</v>
      </c>
      <c r="P84" s="7">
        <v>3</v>
      </c>
      <c r="Q84" s="69">
        <f t="shared" si="19"/>
        <v>7.4651087309315156E-3</v>
      </c>
      <c r="R84" s="69">
        <f t="shared" si="19"/>
        <v>0.30434782608695654</v>
      </c>
      <c r="S84" s="7"/>
      <c r="T84" s="7"/>
      <c r="U84" s="7"/>
      <c r="V84" s="7"/>
      <c r="W84" s="7"/>
    </row>
    <row r="85" spans="1:23">
      <c r="A85" s="6">
        <v>46140</v>
      </c>
      <c r="B85" s="7" t="s">
        <v>316</v>
      </c>
      <c r="C85" s="62">
        <v>0.76041666666666663</v>
      </c>
      <c r="D85" s="77" t="s">
        <v>798</v>
      </c>
      <c r="E85" s="77" t="s">
        <v>27</v>
      </c>
      <c r="F85" t="s">
        <v>724</v>
      </c>
      <c r="G85" s="77" t="s">
        <v>85</v>
      </c>
      <c r="H85" s="77" t="s">
        <v>349</v>
      </c>
      <c r="I85" s="14" t="s">
        <v>785</v>
      </c>
      <c r="J85" s="77" t="s">
        <v>27</v>
      </c>
      <c r="K85" s="77" t="s">
        <v>349</v>
      </c>
      <c r="L85" s="7">
        <v>1264</v>
      </c>
      <c r="M85" s="7">
        <v>11</v>
      </c>
      <c r="N85" s="7">
        <v>4</v>
      </c>
      <c r="O85" s="7">
        <v>0</v>
      </c>
      <c r="P85" s="7">
        <v>1</v>
      </c>
      <c r="Q85" s="69">
        <f t="shared" si="19"/>
        <v>8.7025316455696198E-3</v>
      </c>
      <c r="R85" s="69">
        <f t="shared" si="19"/>
        <v>0.36363636363636365</v>
      </c>
      <c r="S85" s="7"/>
      <c r="T85" s="7"/>
      <c r="U85" s="7"/>
      <c r="V85" s="7"/>
      <c r="W85" s="7"/>
    </row>
    <row r="86" spans="1:23">
      <c r="A86" s="6">
        <v>46140</v>
      </c>
      <c r="B86" s="7" t="s">
        <v>316</v>
      </c>
      <c r="C86" s="62">
        <v>0.70833333333333337</v>
      </c>
      <c r="D86" s="77" t="s">
        <v>799</v>
      </c>
      <c r="E86" s="77" t="s">
        <v>27</v>
      </c>
      <c r="F86" t="s">
        <v>800</v>
      </c>
      <c r="G86" s="77" t="s">
        <v>85</v>
      </c>
      <c r="H86" s="77" t="s">
        <v>350</v>
      </c>
      <c r="I86" s="14" t="s">
        <v>785</v>
      </c>
      <c r="J86" s="77" t="s">
        <v>27</v>
      </c>
      <c r="K86" s="77" t="s">
        <v>350</v>
      </c>
      <c r="L86" s="7">
        <v>5567</v>
      </c>
      <c r="M86" s="7">
        <v>33</v>
      </c>
      <c r="N86" s="7">
        <v>5</v>
      </c>
      <c r="O86" s="7">
        <v>2</v>
      </c>
      <c r="P86" s="7">
        <v>0</v>
      </c>
      <c r="Q86" s="69">
        <f t="shared" si="19"/>
        <v>5.9277887551643614E-3</v>
      </c>
      <c r="R86" s="69">
        <f t="shared" si="19"/>
        <v>0.15151515151515152</v>
      </c>
      <c r="S86" s="7"/>
      <c r="T86" s="7"/>
      <c r="U86" s="7"/>
      <c r="V86" s="7"/>
      <c r="W86" s="7"/>
    </row>
    <row r="87" spans="1:23">
      <c r="A87" s="6">
        <v>46140</v>
      </c>
      <c r="B87" s="7" t="s">
        <v>316</v>
      </c>
      <c r="C87" s="62">
        <v>0.78125</v>
      </c>
      <c r="D87" s="77" t="s">
        <v>801</v>
      </c>
      <c r="E87" s="77" t="s">
        <v>27</v>
      </c>
      <c r="F87" s="77" t="s">
        <v>728</v>
      </c>
      <c r="G87" s="141" t="s">
        <v>85</v>
      </c>
      <c r="H87" s="77" t="s">
        <v>351</v>
      </c>
      <c r="I87" s="14" t="s">
        <v>785</v>
      </c>
      <c r="J87" s="77" t="s">
        <v>27</v>
      </c>
      <c r="K87" s="77" t="s">
        <v>351</v>
      </c>
      <c r="L87" s="7">
        <v>3270</v>
      </c>
      <c r="M87" s="7">
        <v>13</v>
      </c>
      <c r="N87" s="7">
        <v>5</v>
      </c>
      <c r="O87" s="7">
        <v>1</v>
      </c>
      <c r="P87" s="7">
        <v>0</v>
      </c>
      <c r="Q87" s="69">
        <f t="shared" si="19"/>
        <v>3.9755351681957183E-3</v>
      </c>
      <c r="R87" s="69">
        <f t="shared" si="19"/>
        <v>0.38461538461538464</v>
      </c>
      <c r="S87" s="7"/>
      <c r="T87" s="7"/>
      <c r="U87" s="7"/>
      <c r="V87" s="7"/>
      <c r="W87" s="7"/>
    </row>
    <row r="88" spans="1:23">
      <c r="A88" s="6">
        <v>46140</v>
      </c>
      <c r="B88" s="7" t="s">
        <v>316</v>
      </c>
      <c r="C88" s="62">
        <v>0.80208333333333337</v>
      </c>
      <c r="D88" s="7" t="s">
        <v>802</v>
      </c>
      <c r="E88" s="77" t="s">
        <v>27</v>
      </c>
      <c r="F88" s="7" t="s">
        <v>410</v>
      </c>
      <c r="G88" s="77" t="s">
        <v>85</v>
      </c>
      <c r="H88" s="7" t="s">
        <v>210</v>
      </c>
      <c r="I88" s="14"/>
      <c r="J88" s="77" t="s">
        <v>27</v>
      </c>
      <c r="K88" s="7" t="s">
        <v>210</v>
      </c>
      <c r="L88" s="7">
        <v>936</v>
      </c>
      <c r="M88" s="7">
        <v>28</v>
      </c>
      <c r="N88" s="7">
        <v>15</v>
      </c>
      <c r="O88" s="7">
        <v>0</v>
      </c>
      <c r="P88" s="7">
        <v>0</v>
      </c>
      <c r="Q88" s="69">
        <f t="shared" si="19"/>
        <v>2.9914529914529916E-2</v>
      </c>
      <c r="R88" s="69">
        <f t="shared" si="19"/>
        <v>0.5357142857142857</v>
      </c>
      <c r="S88" s="7"/>
      <c r="T88" s="7"/>
      <c r="U88" s="7"/>
      <c r="V88" s="7"/>
      <c r="W88" s="7"/>
    </row>
    <row r="89" spans="1:23" ht="16.8">
      <c r="A89" s="6">
        <v>46140</v>
      </c>
      <c r="B89" s="7" t="s">
        <v>316</v>
      </c>
      <c r="C89" s="62">
        <v>0.83333333333333337</v>
      </c>
      <c r="D89" s="77" t="s">
        <v>803</v>
      </c>
      <c r="E89" s="77" t="s">
        <v>27</v>
      </c>
      <c r="F89" t="s">
        <v>800</v>
      </c>
      <c r="G89" s="77" t="s">
        <v>85</v>
      </c>
      <c r="H89" s="52" t="s">
        <v>157</v>
      </c>
      <c r="I89" s="14" t="s">
        <v>785</v>
      </c>
      <c r="J89" s="77" t="s">
        <v>27</v>
      </c>
      <c r="K89" s="52" t="s">
        <v>157</v>
      </c>
      <c r="L89" s="7">
        <v>1238</v>
      </c>
      <c r="M89" s="7">
        <v>558</v>
      </c>
      <c r="N89" s="7">
        <v>380</v>
      </c>
      <c r="O89" s="7">
        <v>7</v>
      </c>
      <c r="P89" s="7">
        <v>0</v>
      </c>
      <c r="Q89" s="69">
        <f t="shared" si="19"/>
        <v>0.45072697899838449</v>
      </c>
      <c r="R89" s="69">
        <f t="shared" si="19"/>
        <v>0.68100358422939067</v>
      </c>
      <c r="S89" s="86"/>
      <c r="T89" s="86"/>
      <c r="U89" s="86"/>
      <c r="V89" s="86"/>
      <c r="W89" s="87"/>
    </row>
    <row r="90" spans="1:23" ht="16.8">
      <c r="A90" s="6">
        <v>46140</v>
      </c>
      <c r="B90" s="7" t="s">
        <v>316</v>
      </c>
      <c r="C90" s="62">
        <v>0.99652777777777779</v>
      </c>
      <c r="D90" s="88" t="s">
        <v>804</v>
      </c>
      <c r="E90" s="77" t="s">
        <v>27</v>
      </c>
      <c r="F90" s="77" t="s">
        <v>716</v>
      </c>
      <c r="G90" s="7"/>
      <c r="H90" s="107" t="s">
        <v>157</v>
      </c>
      <c r="I90" s="113" t="s">
        <v>785</v>
      </c>
      <c r="J90" s="77" t="s">
        <v>27</v>
      </c>
      <c r="K90" s="52" t="s">
        <v>157</v>
      </c>
      <c r="L90" s="86">
        <v>1307</v>
      </c>
      <c r="M90" s="86">
        <v>635</v>
      </c>
      <c r="N90" s="86">
        <v>445</v>
      </c>
      <c r="O90" s="86">
        <v>1</v>
      </c>
      <c r="P90" s="86">
        <v>0</v>
      </c>
      <c r="Q90" s="102">
        <f t="shared" si="19"/>
        <v>0.48584544758990056</v>
      </c>
      <c r="R90" s="102">
        <f t="shared" si="19"/>
        <v>0.70078740157480313</v>
      </c>
      <c r="S90" s="86"/>
      <c r="T90" s="86"/>
      <c r="U90" s="86"/>
      <c r="V90" s="86"/>
      <c r="W90" s="87"/>
    </row>
    <row r="91" spans="1:23" ht="18" customHeight="1">
      <c r="A91" s="6">
        <v>46140</v>
      </c>
      <c r="B91" s="7" t="s">
        <v>316</v>
      </c>
      <c r="C91" s="91"/>
      <c r="D91" s="77" t="s">
        <v>805</v>
      </c>
      <c r="E91" s="77" t="s">
        <v>27</v>
      </c>
      <c r="F91" s="97" t="s">
        <v>724</v>
      </c>
      <c r="G91" s="97"/>
      <c r="H91" s="93" t="s">
        <v>683</v>
      </c>
      <c r="I91" s="113"/>
      <c r="J91" s="77" t="s">
        <v>27</v>
      </c>
      <c r="K91" s="93" t="s">
        <v>683</v>
      </c>
      <c r="L91" s="86">
        <v>1499</v>
      </c>
      <c r="M91" s="86">
        <v>1470</v>
      </c>
      <c r="N91" s="86">
        <v>1097</v>
      </c>
      <c r="O91" s="86">
        <v>0</v>
      </c>
      <c r="P91" s="86">
        <v>1</v>
      </c>
      <c r="Q91" s="102">
        <f t="shared" si="19"/>
        <v>0.98065376917945302</v>
      </c>
      <c r="R91" s="102">
        <f t="shared" si="19"/>
        <v>0.74625850340136057</v>
      </c>
      <c r="S91" s="86"/>
      <c r="T91" s="86"/>
      <c r="U91" s="86"/>
      <c r="V91" s="86"/>
      <c r="W91" s="87"/>
    </row>
    <row r="92" spans="1:23" ht="6.6" customHeight="1">
      <c r="A92" s="22"/>
      <c r="B92" s="23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5"/>
      <c r="R92" s="25"/>
      <c r="S92" s="24"/>
      <c r="T92" s="24"/>
      <c r="U92" s="24"/>
      <c r="V92" s="25"/>
      <c r="W92" s="26"/>
    </row>
    <row r="93" spans="1:23">
      <c r="A93" s="6">
        <v>46141</v>
      </c>
      <c r="B93" s="7" t="s">
        <v>392</v>
      </c>
      <c r="C93" s="18" t="s">
        <v>596</v>
      </c>
      <c r="D93" s="18" t="s">
        <v>595</v>
      </c>
      <c r="E93" s="18" t="s">
        <v>27</v>
      </c>
      <c r="F93" s="18" t="s">
        <v>303</v>
      </c>
      <c r="G93" s="18" t="s">
        <v>85</v>
      </c>
      <c r="H93" s="18" t="s">
        <v>186</v>
      </c>
      <c r="I93" s="47"/>
      <c r="J93" s="18" t="s">
        <v>27</v>
      </c>
      <c r="K93" s="172" t="s">
        <v>186</v>
      </c>
      <c r="L93" s="7">
        <v>1842</v>
      </c>
      <c r="M93" s="7">
        <v>14</v>
      </c>
      <c r="N93" s="7">
        <v>2</v>
      </c>
      <c r="O93" s="7">
        <v>0</v>
      </c>
      <c r="P93" s="7">
        <v>2</v>
      </c>
      <c r="Q93" s="69">
        <f t="shared" ref="Q93:R105" si="20">M93/L93</f>
        <v>7.6004343105320303E-3</v>
      </c>
      <c r="R93" s="69">
        <f t="shared" si="20"/>
        <v>0.14285714285714285</v>
      </c>
      <c r="S93" s="7"/>
      <c r="T93" s="7"/>
      <c r="U93" s="7"/>
      <c r="V93" s="7"/>
      <c r="W93" s="7"/>
    </row>
    <row r="94" spans="1:23">
      <c r="A94" s="6">
        <v>46141</v>
      </c>
      <c r="B94" s="7" t="s">
        <v>392</v>
      </c>
      <c r="C94" s="18" t="s">
        <v>597</v>
      </c>
      <c r="D94" s="18" t="s">
        <v>594</v>
      </c>
      <c r="E94" s="18" t="s">
        <v>27</v>
      </c>
      <c r="F94" s="18" t="s">
        <v>593</v>
      </c>
      <c r="G94" s="18" t="s">
        <v>85</v>
      </c>
      <c r="H94" s="18"/>
      <c r="I94" s="29"/>
      <c r="J94" s="18" t="s">
        <v>27</v>
      </c>
      <c r="K94" s="172" t="s">
        <v>186</v>
      </c>
      <c r="L94" s="7"/>
      <c r="M94" s="7"/>
      <c r="N94" s="7"/>
      <c r="O94" s="7"/>
      <c r="P94" s="7"/>
      <c r="Q94" s="69" t="e">
        <f t="shared" si="20"/>
        <v>#DIV/0!</v>
      </c>
      <c r="R94" s="69" t="e">
        <f t="shared" si="20"/>
        <v>#DIV/0!</v>
      </c>
      <c r="S94" s="7"/>
      <c r="T94" s="7"/>
      <c r="U94" s="7"/>
      <c r="V94" s="7"/>
      <c r="W94" s="7"/>
    </row>
    <row r="95" spans="1:23">
      <c r="A95" s="6">
        <v>46141</v>
      </c>
      <c r="B95" s="7" t="s">
        <v>392</v>
      </c>
      <c r="C95" s="18" t="s">
        <v>347</v>
      </c>
      <c r="D95" s="18" t="s">
        <v>345</v>
      </c>
      <c r="E95" s="18" t="s">
        <v>27</v>
      </c>
      <c r="F95" s="18" t="s">
        <v>346</v>
      </c>
      <c r="G95" s="18" t="s">
        <v>85</v>
      </c>
      <c r="H95" s="18" t="s">
        <v>313</v>
      </c>
      <c r="I95" s="47"/>
      <c r="J95" s="18" t="s">
        <v>27</v>
      </c>
      <c r="K95" s="172" t="s">
        <v>313</v>
      </c>
      <c r="L95" s="7"/>
      <c r="M95" s="7"/>
      <c r="N95" s="7"/>
      <c r="O95" s="7"/>
      <c r="P95" s="7"/>
      <c r="Q95" s="69" t="e">
        <f t="shared" si="20"/>
        <v>#DIV/0!</v>
      </c>
      <c r="R95" s="69" t="e">
        <f t="shared" si="20"/>
        <v>#DIV/0!</v>
      </c>
      <c r="S95" s="7"/>
      <c r="T95" s="7"/>
      <c r="U95" s="7"/>
      <c r="V95" s="7"/>
      <c r="W95" s="7"/>
    </row>
    <row r="96" spans="1:23">
      <c r="A96" s="6">
        <v>46141</v>
      </c>
      <c r="B96" s="7" t="s">
        <v>392</v>
      </c>
      <c r="C96" s="18" t="s">
        <v>308</v>
      </c>
      <c r="D96" s="18" t="s">
        <v>503</v>
      </c>
      <c r="E96" s="18" t="s">
        <v>27</v>
      </c>
      <c r="F96" s="18" t="s">
        <v>502</v>
      </c>
      <c r="G96" s="18" t="s">
        <v>85</v>
      </c>
      <c r="H96" s="18" t="s">
        <v>106</v>
      </c>
      <c r="I96" s="47"/>
      <c r="J96" s="18" t="s">
        <v>27</v>
      </c>
      <c r="K96" s="172" t="s">
        <v>106</v>
      </c>
      <c r="L96" s="7">
        <v>690</v>
      </c>
      <c r="M96" s="7">
        <v>65</v>
      </c>
      <c r="N96" s="7">
        <v>15</v>
      </c>
      <c r="O96" s="7">
        <v>3</v>
      </c>
      <c r="P96" s="7">
        <v>0</v>
      </c>
      <c r="Q96" s="69">
        <f t="shared" si="20"/>
        <v>9.420289855072464E-2</v>
      </c>
      <c r="R96" s="69">
        <f t="shared" si="20"/>
        <v>0.23076923076923078</v>
      </c>
      <c r="S96" s="7"/>
      <c r="T96" s="7"/>
      <c r="U96" s="7"/>
      <c r="V96" s="7"/>
      <c r="W96" s="7"/>
    </row>
    <row r="97" spans="1:23">
      <c r="A97" s="6">
        <v>46141</v>
      </c>
      <c r="B97" s="7" t="s">
        <v>392</v>
      </c>
      <c r="C97" s="18" t="s">
        <v>598</v>
      </c>
      <c r="D97" s="18" t="s">
        <v>594</v>
      </c>
      <c r="E97" s="18" t="s">
        <v>27</v>
      </c>
      <c r="F97" s="18" t="s">
        <v>593</v>
      </c>
      <c r="G97" s="18" t="s">
        <v>85</v>
      </c>
      <c r="H97" s="18"/>
      <c r="I97" s="29"/>
      <c r="J97" s="18" t="s">
        <v>27</v>
      </c>
      <c r="K97" s="172" t="s">
        <v>106</v>
      </c>
      <c r="L97" s="7"/>
      <c r="M97" s="7"/>
      <c r="N97" s="7"/>
      <c r="O97" s="7"/>
      <c r="P97" s="7"/>
      <c r="Q97" s="69" t="e">
        <f t="shared" si="20"/>
        <v>#DIV/0!</v>
      </c>
      <c r="R97" s="69" t="e">
        <f t="shared" si="20"/>
        <v>#DIV/0!</v>
      </c>
      <c r="S97" s="7"/>
      <c r="T97" s="7"/>
      <c r="U97" s="7"/>
      <c r="V97" s="7"/>
      <c r="W97" s="7"/>
    </row>
    <row r="98" spans="1:23">
      <c r="A98" s="6">
        <v>46141</v>
      </c>
      <c r="B98" s="7" t="s">
        <v>392</v>
      </c>
      <c r="C98" s="62">
        <v>0.75</v>
      </c>
      <c r="D98" s="77" t="s">
        <v>933</v>
      </c>
      <c r="E98" s="77" t="s">
        <v>27</v>
      </c>
      <c r="F98" s="77" t="s">
        <v>371</v>
      </c>
      <c r="G98" s="77" t="s">
        <v>85</v>
      </c>
      <c r="H98" s="77" t="s">
        <v>348</v>
      </c>
      <c r="I98" s="14" t="s">
        <v>934</v>
      </c>
      <c r="J98" s="77" t="s">
        <v>27</v>
      </c>
      <c r="K98" s="111" t="s">
        <v>348</v>
      </c>
      <c r="L98" s="7">
        <v>3073</v>
      </c>
      <c r="M98" s="7">
        <v>23</v>
      </c>
      <c r="N98" s="7">
        <v>5</v>
      </c>
      <c r="O98" s="7">
        <v>0</v>
      </c>
      <c r="P98" s="7">
        <v>3</v>
      </c>
      <c r="Q98" s="69">
        <f t="shared" si="20"/>
        <v>7.4845427920598763E-3</v>
      </c>
      <c r="R98" s="69">
        <f t="shared" si="20"/>
        <v>0.21739130434782608</v>
      </c>
      <c r="S98" s="7"/>
      <c r="T98" s="7"/>
      <c r="U98" s="7"/>
      <c r="V98" s="7"/>
      <c r="W98" s="7"/>
    </row>
    <row r="99" spans="1:23">
      <c r="A99" s="6">
        <v>46141</v>
      </c>
      <c r="B99" s="7" t="s">
        <v>392</v>
      </c>
      <c r="C99" s="62">
        <v>0.76041666666666663</v>
      </c>
      <c r="D99" s="77" t="s">
        <v>935</v>
      </c>
      <c r="E99" s="77" t="s">
        <v>27</v>
      </c>
      <c r="F99" t="s">
        <v>936</v>
      </c>
      <c r="G99" s="77" t="s">
        <v>85</v>
      </c>
      <c r="H99" s="77" t="s">
        <v>349</v>
      </c>
      <c r="I99" s="14" t="s">
        <v>785</v>
      </c>
      <c r="J99" s="77" t="s">
        <v>27</v>
      </c>
      <c r="K99" s="111" t="s">
        <v>349</v>
      </c>
      <c r="L99" s="7">
        <v>1260</v>
      </c>
      <c r="M99" s="7">
        <v>13</v>
      </c>
      <c r="N99" s="7">
        <v>4</v>
      </c>
      <c r="O99" s="7">
        <v>1</v>
      </c>
      <c r="P99" s="7">
        <v>1</v>
      </c>
      <c r="Q99" s="69">
        <f t="shared" si="20"/>
        <v>1.0317460317460317E-2</v>
      </c>
      <c r="R99" s="69">
        <f t="shared" si="20"/>
        <v>0.30769230769230771</v>
      </c>
      <c r="S99" s="7"/>
      <c r="T99" s="7"/>
      <c r="U99" s="7"/>
      <c r="V99" s="7"/>
      <c r="W99" s="7"/>
    </row>
    <row r="100" spans="1:23">
      <c r="A100" s="6">
        <v>46141</v>
      </c>
      <c r="B100" s="7" t="s">
        <v>392</v>
      </c>
      <c r="C100" s="62">
        <v>0.70833333333333337</v>
      </c>
      <c r="D100" s="77" t="s">
        <v>937</v>
      </c>
      <c r="E100" s="77" t="s">
        <v>27</v>
      </c>
      <c r="F100" t="s">
        <v>938</v>
      </c>
      <c r="G100" s="77" t="s">
        <v>85</v>
      </c>
      <c r="H100" s="77" t="s">
        <v>350</v>
      </c>
      <c r="I100" s="14" t="s">
        <v>785</v>
      </c>
      <c r="J100" s="77" t="s">
        <v>27</v>
      </c>
      <c r="K100" s="111" t="s">
        <v>350</v>
      </c>
      <c r="L100" s="7">
        <v>5553</v>
      </c>
      <c r="M100" s="7">
        <v>25</v>
      </c>
      <c r="N100" s="7">
        <v>5</v>
      </c>
      <c r="O100" s="7">
        <v>0</v>
      </c>
      <c r="P100" s="7">
        <v>2</v>
      </c>
      <c r="Q100" s="69">
        <f t="shared" si="20"/>
        <v>4.5020709526382135E-3</v>
      </c>
      <c r="R100" s="69">
        <f t="shared" si="20"/>
        <v>0.2</v>
      </c>
      <c r="S100" s="7"/>
      <c r="T100" s="7"/>
      <c r="U100" s="7"/>
      <c r="V100" s="7"/>
      <c r="W100" s="7"/>
    </row>
    <row r="101" spans="1:23">
      <c r="A101" s="6">
        <v>46141</v>
      </c>
      <c r="B101" s="7" t="s">
        <v>392</v>
      </c>
      <c r="C101" s="62">
        <v>0.78125</v>
      </c>
      <c r="D101" s="77" t="s">
        <v>939</v>
      </c>
      <c r="E101" s="77" t="s">
        <v>27</v>
      </c>
      <c r="F101" s="77" t="s">
        <v>377</v>
      </c>
      <c r="G101" s="77" t="s">
        <v>85</v>
      </c>
      <c r="H101" s="77" t="s">
        <v>351</v>
      </c>
      <c r="I101" s="14" t="s">
        <v>934</v>
      </c>
      <c r="J101" s="77" t="s">
        <v>27</v>
      </c>
      <c r="K101" s="111" t="s">
        <v>351</v>
      </c>
      <c r="L101" s="7">
        <v>3262</v>
      </c>
      <c r="M101" s="7">
        <v>23</v>
      </c>
      <c r="N101" s="7">
        <v>9</v>
      </c>
      <c r="O101" s="7">
        <v>0</v>
      </c>
      <c r="P101" s="7">
        <v>0</v>
      </c>
      <c r="Q101" s="69">
        <f t="shared" si="20"/>
        <v>7.0508890251379519E-3</v>
      </c>
      <c r="R101" s="69">
        <f t="shared" si="20"/>
        <v>0.39130434782608697</v>
      </c>
      <c r="S101" s="7"/>
      <c r="T101" s="7"/>
      <c r="U101" s="7"/>
      <c r="V101" s="7"/>
      <c r="W101" s="7"/>
    </row>
    <row r="102" spans="1:23">
      <c r="A102" s="6">
        <v>46141</v>
      </c>
      <c r="B102" s="7" t="s">
        <v>392</v>
      </c>
      <c r="C102" s="62">
        <v>0.80208333333333337</v>
      </c>
      <c r="D102" s="7" t="s">
        <v>940</v>
      </c>
      <c r="E102" s="77" t="s">
        <v>27</v>
      </c>
      <c r="F102" s="7" t="s">
        <v>410</v>
      </c>
      <c r="G102" s="77" t="s">
        <v>85</v>
      </c>
      <c r="H102" s="7" t="s">
        <v>210</v>
      </c>
      <c r="I102" s="14" t="s">
        <v>941</v>
      </c>
      <c r="J102" s="77" t="s">
        <v>27</v>
      </c>
      <c r="K102" s="173" t="s">
        <v>210</v>
      </c>
      <c r="L102" s="7">
        <v>1009</v>
      </c>
      <c r="M102" s="7">
        <v>21</v>
      </c>
      <c r="N102" s="7">
        <v>13</v>
      </c>
      <c r="O102" s="7">
        <v>0</v>
      </c>
      <c r="P102" s="7">
        <v>0</v>
      </c>
      <c r="Q102" s="69">
        <f t="shared" si="20"/>
        <v>2.0812685827552031E-2</v>
      </c>
      <c r="R102" s="69">
        <f t="shared" si="20"/>
        <v>0.61904761904761907</v>
      </c>
      <c r="S102" s="7"/>
      <c r="T102" s="7"/>
      <c r="U102" s="7"/>
      <c r="V102" s="7"/>
      <c r="W102" s="7"/>
    </row>
    <row r="103" spans="1:23" ht="16.8">
      <c r="A103" s="6">
        <v>46141</v>
      </c>
      <c r="B103" s="7" t="s">
        <v>392</v>
      </c>
      <c r="C103" s="62">
        <v>0.83333333333333337</v>
      </c>
      <c r="D103" s="77" t="s">
        <v>942</v>
      </c>
      <c r="E103" s="77" t="s">
        <v>27</v>
      </c>
      <c r="F103" t="s">
        <v>938</v>
      </c>
      <c r="G103" s="77" t="s">
        <v>85</v>
      </c>
      <c r="H103" s="52" t="s">
        <v>157</v>
      </c>
      <c r="I103" s="14" t="s">
        <v>785</v>
      </c>
      <c r="J103" s="77" t="s">
        <v>27</v>
      </c>
      <c r="K103" s="174" t="s">
        <v>157</v>
      </c>
      <c r="L103" s="7">
        <v>788</v>
      </c>
      <c r="M103" s="7">
        <v>124</v>
      </c>
      <c r="N103" s="7">
        <v>17</v>
      </c>
      <c r="O103" s="7">
        <v>2</v>
      </c>
      <c r="P103" s="7">
        <v>0</v>
      </c>
      <c r="Q103" s="69">
        <f t="shared" si="20"/>
        <v>0.15736040609137056</v>
      </c>
      <c r="R103" s="69">
        <f t="shared" si="20"/>
        <v>0.13709677419354838</v>
      </c>
      <c r="S103" s="7"/>
      <c r="T103" s="7"/>
      <c r="U103" s="7"/>
      <c r="V103" s="7"/>
      <c r="W103" s="7"/>
    </row>
    <row r="104" spans="1:23" ht="16.8">
      <c r="A104" s="6">
        <v>46141</v>
      </c>
      <c r="B104" s="7" t="s">
        <v>392</v>
      </c>
      <c r="C104" s="62">
        <v>0.99652777777777779</v>
      </c>
      <c r="D104" s="77" t="s">
        <v>943</v>
      </c>
      <c r="E104" s="77" t="s">
        <v>27</v>
      </c>
      <c r="F104" s="77" t="s">
        <v>377</v>
      </c>
      <c r="G104" s="7" t="s">
        <v>85</v>
      </c>
      <c r="H104" s="7" t="s">
        <v>149</v>
      </c>
      <c r="I104" s="113" t="s">
        <v>785</v>
      </c>
      <c r="J104" s="77" t="s">
        <v>27</v>
      </c>
      <c r="K104" s="174" t="s">
        <v>157</v>
      </c>
      <c r="L104" s="7">
        <v>450</v>
      </c>
      <c r="M104" s="7">
        <v>136</v>
      </c>
      <c r="N104" s="7">
        <v>42</v>
      </c>
      <c r="O104" s="7">
        <v>0</v>
      </c>
      <c r="P104" s="7">
        <v>0</v>
      </c>
      <c r="Q104" s="69">
        <f t="shared" si="20"/>
        <v>0.30222222222222223</v>
      </c>
      <c r="R104" s="69">
        <f t="shared" si="20"/>
        <v>0.30882352941176472</v>
      </c>
      <c r="S104" s="7"/>
      <c r="T104" s="7"/>
      <c r="U104" s="7"/>
      <c r="V104" s="7"/>
      <c r="W104" s="7"/>
    </row>
    <row r="105" spans="1:23" ht="18" customHeight="1">
      <c r="A105" s="6">
        <v>46141</v>
      </c>
      <c r="B105" s="7" t="s">
        <v>392</v>
      </c>
      <c r="C105" s="91"/>
      <c r="D105" s="77" t="s">
        <v>944</v>
      </c>
      <c r="E105" s="77" t="s">
        <v>27</v>
      </c>
      <c r="F105" s="97" t="s">
        <v>724</v>
      </c>
      <c r="G105" s="97"/>
      <c r="H105" s="93" t="s">
        <v>683</v>
      </c>
      <c r="I105" s="113"/>
      <c r="J105" s="77" t="s">
        <v>27</v>
      </c>
      <c r="K105" s="93" t="s">
        <v>683</v>
      </c>
      <c r="L105" s="7">
        <v>435</v>
      </c>
      <c r="M105" s="7">
        <v>431</v>
      </c>
      <c r="N105" s="7">
        <v>343</v>
      </c>
      <c r="O105" s="7">
        <v>0</v>
      </c>
      <c r="P105" s="7">
        <v>0</v>
      </c>
      <c r="Q105" s="69">
        <f t="shared" si="20"/>
        <v>0.99080459770114937</v>
      </c>
      <c r="R105" s="69">
        <f t="shared" si="20"/>
        <v>0.79582366589327147</v>
      </c>
      <c r="S105" s="7"/>
      <c r="T105" s="7"/>
      <c r="U105" s="7"/>
      <c r="V105" s="7"/>
      <c r="W105" s="7"/>
    </row>
    <row r="106" spans="1:23" ht="18" customHeight="1">
      <c r="A106" s="6">
        <v>46141</v>
      </c>
      <c r="B106" s="7" t="s">
        <v>392</v>
      </c>
      <c r="C106" s="91"/>
      <c r="D106" s="77" t="s">
        <v>945</v>
      </c>
      <c r="E106" s="77" t="s">
        <v>27</v>
      </c>
      <c r="F106" s="97" t="s">
        <v>724</v>
      </c>
      <c r="G106" s="97"/>
      <c r="H106" s="93" t="s">
        <v>946</v>
      </c>
      <c r="I106" s="113"/>
      <c r="J106" s="77" t="s">
        <v>27</v>
      </c>
      <c r="K106" s="93" t="s">
        <v>946</v>
      </c>
      <c r="L106" s="7">
        <v>500</v>
      </c>
      <c r="M106" s="7">
        <v>297</v>
      </c>
      <c r="N106" s="7">
        <v>210</v>
      </c>
      <c r="O106" s="7">
        <v>0</v>
      </c>
      <c r="P106" s="7">
        <v>0</v>
      </c>
      <c r="Q106" s="69">
        <f t="shared" ref="Q106:R106" si="21">M106/L106</f>
        <v>0.59399999999999997</v>
      </c>
      <c r="R106" s="69">
        <f t="shared" si="21"/>
        <v>0.70707070707070707</v>
      </c>
      <c r="S106" s="7"/>
      <c r="T106" s="7"/>
      <c r="U106" s="7"/>
      <c r="V106" s="7"/>
      <c r="W106" s="7"/>
    </row>
    <row r="107" spans="1:23" ht="6.6" customHeight="1">
      <c r="A107" s="22"/>
      <c r="B107" s="23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5"/>
      <c r="R107" s="25"/>
      <c r="S107" s="24"/>
      <c r="T107" s="24"/>
      <c r="U107" s="24"/>
      <c r="V107" s="25"/>
      <c r="W107" s="26"/>
    </row>
    <row r="108" spans="1:23">
      <c r="A108" s="6">
        <v>46142</v>
      </c>
      <c r="B108" s="7" t="s">
        <v>552</v>
      </c>
      <c r="C108" s="18" t="s">
        <v>596</v>
      </c>
      <c r="D108" s="18" t="s">
        <v>595</v>
      </c>
      <c r="E108" s="18" t="s">
        <v>27</v>
      </c>
      <c r="F108" s="18" t="s">
        <v>303</v>
      </c>
      <c r="G108" s="18" t="s">
        <v>85</v>
      </c>
      <c r="H108" s="18" t="s">
        <v>186</v>
      </c>
      <c r="I108" s="47"/>
      <c r="J108" s="18" t="s">
        <v>27</v>
      </c>
      <c r="K108" s="172" t="s">
        <v>186</v>
      </c>
      <c r="L108" s="7">
        <v>1987</v>
      </c>
      <c r="M108" s="7">
        <v>6</v>
      </c>
      <c r="N108" s="7">
        <v>1</v>
      </c>
      <c r="O108" s="7">
        <v>0</v>
      </c>
      <c r="P108" s="7">
        <v>0</v>
      </c>
      <c r="Q108" s="69">
        <f t="shared" ref="Q108:R123" si="22">M108/L108</f>
        <v>3.0196275792652239E-3</v>
      </c>
      <c r="R108" s="69">
        <f t="shared" si="22"/>
        <v>0.16666666666666666</v>
      </c>
      <c r="S108" s="7"/>
      <c r="T108" s="7"/>
      <c r="U108" s="7"/>
      <c r="V108" s="7"/>
      <c r="W108" s="7"/>
    </row>
    <row r="109" spans="1:23">
      <c r="A109" s="6">
        <v>46142</v>
      </c>
      <c r="B109" s="7" t="s">
        <v>552</v>
      </c>
      <c r="C109" s="18" t="s">
        <v>597</v>
      </c>
      <c r="D109" s="18" t="s">
        <v>594</v>
      </c>
      <c r="E109" s="18" t="s">
        <v>27</v>
      </c>
      <c r="F109" s="18" t="s">
        <v>593</v>
      </c>
      <c r="G109" s="18" t="s">
        <v>85</v>
      </c>
      <c r="H109" s="18"/>
      <c r="I109" s="29"/>
      <c r="J109" s="18" t="s">
        <v>27</v>
      </c>
      <c r="K109" s="172" t="s">
        <v>186</v>
      </c>
      <c r="L109" s="7"/>
      <c r="M109" s="7"/>
      <c r="N109" s="7"/>
      <c r="O109" s="7"/>
      <c r="P109" s="7"/>
      <c r="Q109" s="69" t="e">
        <f t="shared" si="22"/>
        <v>#DIV/0!</v>
      </c>
      <c r="R109" s="69" t="e">
        <f t="shared" si="22"/>
        <v>#DIV/0!</v>
      </c>
      <c r="S109" s="7"/>
      <c r="T109" s="7"/>
      <c r="U109" s="7"/>
      <c r="V109" s="7"/>
      <c r="W109" s="7"/>
    </row>
    <row r="110" spans="1:23">
      <c r="A110" s="6">
        <v>46142</v>
      </c>
      <c r="B110" s="7" t="s">
        <v>552</v>
      </c>
      <c r="C110" s="18" t="s">
        <v>347</v>
      </c>
      <c r="D110" s="18" t="s">
        <v>345</v>
      </c>
      <c r="E110" s="18" t="s">
        <v>27</v>
      </c>
      <c r="F110" s="18" t="s">
        <v>346</v>
      </c>
      <c r="G110" s="18" t="s">
        <v>85</v>
      </c>
      <c r="H110" s="18" t="s">
        <v>313</v>
      </c>
      <c r="I110" s="47"/>
      <c r="J110" s="18" t="s">
        <v>27</v>
      </c>
      <c r="K110" s="172" t="s">
        <v>313</v>
      </c>
      <c r="L110" s="7"/>
      <c r="M110" s="7"/>
      <c r="N110" s="7"/>
      <c r="O110" s="7"/>
      <c r="P110" s="7"/>
      <c r="Q110" s="69" t="e">
        <f t="shared" si="22"/>
        <v>#DIV/0!</v>
      </c>
      <c r="R110" s="69" t="e">
        <f t="shared" si="22"/>
        <v>#DIV/0!</v>
      </c>
      <c r="S110" s="7"/>
      <c r="T110" s="7"/>
      <c r="U110" s="7"/>
      <c r="V110" s="7"/>
      <c r="W110" s="7"/>
    </row>
    <row r="111" spans="1:23">
      <c r="A111" s="6">
        <v>46142</v>
      </c>
      <c r="B111" s="7" t="s">
        <v>552</v>
      </c>
      <c r="C111" s="18" t="s">
        <v>308</v>
      </c>
      <c r="D111" s="18" t="s">
        <v>503</v>
      </c>
      <c r="E111" s="18" t="s">
        <v>27</v>
      </c>
      <c r="F111" s="18" t="s">
        <v>502</v>
      </c>
      <c r="G111" s="18" t="s">
        <v>85</v>
      </c>
      <c r="H111" s="18" t="s">
        <v>106</v>
      </c>
      <c r="I111" s="47"/>
      <c r="J111" s="18" t="s">
        <v>27</v>
      </c>
      <c r="K111" s="172" t="s">
        <v>106</v>
      </c>
      <c r="L111" s="7">
        <v>959</v>
      </c>
      <c r="M111" s="7">
        <v>40</v>
      </c>
      <c r="N111" s="7">
        <v>13</v>
      </c>
      <c r="O111" s="7">
        <v>0</v>
      </c>
      <c r="P111" s="7">
        <v>2</v>
      </c>
      <c r="Q111" s="69">
        <f t="shared" si="22"/>
        <v>4.171011470281543E-2</v>
      </c>
      <c r="R111" s="69">
        <f t="shared" si="22"/>
        <v>0.32500000000000001</v>
      </c>
      <c r="S111" s="7"/>
      <c r="T111" s="7"/>
      <c r="U111" s="7"/>
      <c r="V111" s="7"/>
      <c r="W111" s="7"/>
    </row>
    <row r="112" spans="1:23">
      <c r="A112" s="6">
        <v>46142</v>
      </c>
      <c r="B112" s="7" t="s">
        <v>552</v>
      </c>
      <c r="C112" s="18" t="s">
        <v>598</v>
      </c>
      <c r="D112" s="18" t="s">
        <v>594</v>
      </c>
      <c r="E112" s="18" t="s">
        <v>27</v>
      </c>
      <c r="F112" s="18" t="s">
        <v>593</v>
      </c>
      <c r="G112" s="18" t="s">
        <v>85</v>
      </c>
      <c r="H112" s="18"/>
      <c r="I112" s="29"/>
      <c r="J112" s="18" t="s">
        <v>27</v>
      </c>
      <c r="K112" s="172" t="s">
        <v>106</v>
      </c>
      <c r="L112" s="7"/>
      <c r="M112" s="7"/>
      <c r="N112" s="7"/>
      <c r="O112" s="7"/>
      <c r="P112" s="7"/>
      <c r="Q112" s="69" t="e">
        <f t="shared" si="22"/>
        <v>#DIV/0!</v>
      </c>
      <c r="R112" s="69" t="e">
        <f t="shared" si="22"/>
        <v>#DIV/0!</v>
      </c>
      <c r="S112" s="7"/>
      <c r="T112" s="7"/>
      <c r="U112" s="7"/>
      <c r="V112" s="7"/>
      <c r="W112" s="7"/>
    </row>
    <row r="113" spans="1:23" ht="18" customHeight="1">
      <c r="A113" s="6">
        <v>46142</v>
      </c>
      <c r="B113" s="7" t="s">
        <v>552</v>
      </c>
      <c r="C113" s="91"/>
      <c r="D113" s="77" t="s">
        <v>1091</v>
      </c>
      <c r="E113" s="77" t="s">
        <v>27</v>
      </c>
      <c r="F113" s="97" t="s">
        <v>724</v>
      </c>
      <c r="G113" s="97"/>
      <c r="H113" s="77" t="s">
        <v>683</v>
      </c>
      <c r="I113" s="113"/>
      <c r="J113" s="77" t="s">
        <v>27</v>
      </c>
      <c r="K113" s="93" t="s">
        <v>683</v>
      </c>
      <c r="L113" s="7">
        <v>1499</v>
      </c>
      <c r="M113" s="7">
        <v>1482</v>
      </c>
      <c r="N113" s="7">
        <v>1091</v>
      </c>
      <c r="O113" s="7">
        <v>0</v>
      </c>
      <c r="P113" s="7">
        <v>1</v>
      </c>
      <c r="Q113" s="69">
        <f t="shared" si="22"/>
        <v>0.98865910607071383</v>
      </c>
      <c r="R113" s="69">
        <f t="shared" si="22"/>
        <v>0.73616734143049933</v>
      </c>
      <c r="S113" s="7"/>
      <c r="T113" s="7"/>
      <c r="U113" s="7"/>
      <c r="V113" s="7"/>
      <c r="W113" s="7"/>
    </row>
    <row r="114" spans="1:23" ht="18" customHeight="1">
      <c r="A114" s="6">
        <v>46142</v>
      </c>
      <c r="B114" s="7" t="s">
        <v>552</v>
      </c>
      <c r="C114" s="91"/>
      <c r="D114" s="77" t="s">
        <v>1092</v>
      </c>
      <c r="E114" s="77" t="s">
        <v>27</v>
      </c>
      <c r="F114" s="97" t="s">
        <v>724</v>
      </c>
      <c r="G114" s="97"/>
      <c r="H114" s="77" t="s">
        <v>683</v>
      </c>
      <c r="I114" s="113"/>
      <c r="J114" s="77" t="s">
        <v>27</v>
      </c>
      <c r="K114" s="93" t="s">
        <v>683</v>
      </c>
      <c r="L114" s="7">
        <v>1499</v>
      </c>
      <c r="M114" s="7">
        <v>1478</v>
      </c>
      <c r="N114" s="7">
        <v>980</v>
      </c>
      <c r="O114" s="7">
        <v>0</v>
      </c>
      <c r="P114" s="7">
        <v>1</v>
      </c>
      <c r="Q114" s="69">
        <f t="shared" si="22"/>
        <v>0.98599066044029349</v>
      </c>
      <c r="R114" s="69">
        <f t="shared" si="22"/>
        <v>0.66305818673883632</v>
      </c>
      <c r="S114" s="7"/>
      <c r="T114" s="7"/>
      <c r="U114" s="7"/>
      <c r="V114" s="7"/>
      <c r="W114" s="7"/>
    </row>
    <row r="115" spans="1:23" ht="18" customHeight="1">
      <c r="A115" s="6">
        <v>46142</v>
      </c>
      <c r="B115" s="7" t="s">
        <v>552</v>
      </c>
      <c r="C115" s="91"/>
      <c r="D115" s="77" t="s">
        <v>1093</v>
      </c>
      <c r="E115" s="77" t="s">
        <v>27</v>
      </c>
      <c r="F115" s="97" t="s">
        <v>724</v>
      </c>
      <c r="G115" s="97"/>
      <c r="H115" s="77" t="s">
        <v>946</v>
      </c>
      <c r="I115" s="113"/>
      <c r="J115" s="77" t="s">
        <v>27</v>
      </c>
      <c r="K115" s="93" t="s">
        <v>946</v>
      </c>
      <c r="L115" s="7">
        <v>500</v>
      </c>
      <c r="M115" s="7">
        <v>449</v>
      </c>
      <c r="N115" s="7">
        <v>329</v>
      </c>
      <c r="O115" s="7">
        <v>0</v>
      </c>
      <c r="P115" s="7">
        <v>0</v>
      </c>
      <c r="Q115" s="69">
        <f t="shared" si="22"/>
        <v>0.89800000000000002</v>
      </c>
      <c r="R115" s="69">
        <f t="shared" si="22"/>
        <v>0.732739420935412</v>
      </c>
      <c r="S115" s="7"/>
      <c r="T115" s="7"/>
      <c r="U115" s="7"/>
      <c r="V115" s="7"/>
      <c r="W115" s="7"/>
    </row>
    <row r="116" spans="1:23" ht="18" customHeight="1">
      <c r="A116" s="6">
        <v>46142</v>
      </c>
      <c r="B116" s="7" t="s">
        <v>552</v>
      </c>
      <c r="C116" s="91"/>
      <c r="D116" s="77" t="s">
        <v>1094</v>
      </c>
      <c r="E116" s="77" t="s">
        <v>27</v>
      </c>
      <c r="F116" s="97" t="s">
        <v>724</v>
      </c>
      <c r="G116" s="97"/>
      <c r="H116" s="77" t="s">
        <v>946</v>
      </c>
      <c r="I116" s="113"/>
      <c r="J116" s="77" t="s">
        <v>27</v>
      </c>
      <c r="K116" s="93" t="s">
        <v>946</v>
      </c>
      <c r="L116" s="7">
        <v>500</v>
      </c>
      <c r="M116" s="7">
        <v>446</v>
      </c>
      <c r="N116" s="7">
        <v>334</v>
      </c>
      <c r="O116" s="7">
        <v>0</v>
      </c>
      <c r="P116" s="7">
        <v>0</v>
      </c>
      <c r="Q116" s="69">
        <f t="shared" si="22"/>
        <v>0.89200000000000002</v>
      </c>
      <c r="R116" s="69">
        <f t="shared" si="22"/>
        <v>0.7488789237668162</v>
      </c>
      <c r="S116" s="7"/>
      <c r="T116" s="7"/>
      <c r="U116" s="7"/>
      <c r="V116" s="7"/>
      <c r="W116" s="7"/>
    </row>
    <row r="117" spans="1:23">
      <c r="A117" s="6">
        <v>46142</v>
      </c>
      <c r="B117" s="7" t="s">
        <v>552</v>
      </c>
      <c r="C117" s="62">
        <v>0.75</v>
      </c>
      <c r="D117" s="77" t="s">
        <v>1095</v>
      </c>
      <c r="E117" s="77" t="s">
        <v>27</v>
      </c>
      <c r="F117" s="77" t="s">
        <v>515</v>
      </c>
      <c r="G117" s="77" t="s">
        <v>85</v>
      </c>
      <c r="H117" s="77" t="s">
        <v>348</v>
      </c>
      <c r="I117" s="14"/>
      <c r="J117" s="77" t="s">
        <v>27</v>
      </c>
      <c r="K117" s="111" t="s">
        <v>348</v>
      </c>
      <c r="L117" s="7">
        <v>3072</v>
      </c>
      <c r="M117" s="7">
        <v>32</v>
      </c>
      <c r="N117" s="7">
        <v>4</v>
      </c>
      <c r="O117" s="7">
        <v>0</v>
      </c>
      <c r="P117" s="7">
        <v>2</v>
      </c>
      <c r="Q117" s="69">
        <f t="shared" si="22"/>
        <v>1.0416666666666666E-2</v>
      </c>
      <c r="R117" s="69">
        <f t="shared" si="22"/>
        <v>0.125</v>
      </c>
      <c r="S117" s="7"/>
      <c r="T117" s="7"/>
      <c r="U117" s="7"/>
      <c r="V117" s="7"/>
      <c r="W117" s="7"/>
    </row>
    <row r="118" spans="1:23">
      <c r="A118" s="6">
        <v>46142</v>
      </c>
      <c r="B118" s="7" t="s">
        <v>552</v>
      </c>
      <c r="C118" s="62">
        <v>0.76041666666666663</v>
      </c>
      <c r="D118" s="77" t="s">
        <v>1096</v>
      </c>
      <c r="E118" s="77" t="s">
        <v>27</v>
      </c>
      <c r="F118" s="77" t="s">
        <v>428</v>
      </c>
      <c r="G118" s="77" t="s">
        <v>85</v>
      </c>
      <c r="H118" s="77" t="s">
        <v>349</v>
      </c>
      <c r="I118" s="14"/>
      <c r="J118" s="77" t="s">
        <v>27</v>
      </c>
      <c r="K118" s="111" t="s">
        <v>349</v>
      </c>
      <c r="L118" s="7">
        <v>1256</v>
      </c>
      <c r="M118" s="7">
        <v>11</v>
      </c>
      <c r="N118" s="7">
        <v>4</v>
      </c>
      <c r="O118" s="7">
        <v>0</v>
      </c>
      <c r="P118" s="7">
        <v>1</v>
      </c>
      <c r="Q118" s="69">
        <f t="shared" si="22"/>
        <v>8.7579617834394902E-3</v>
      </c>
      <c r="R118" s="69">
        <f t="shared" si="22"/>
        <v>0.36363636363636365</v>
      </c>
      <c r="S118" s="7"/>
      <c r="T118" s="7"/>
      <c r="U118" s="7"/>
      <c r="V118" s="7"/>
      <c r="W118" s="7"/>
    </row>
    <row r="119" spans="1:23">
      <c r="A119" s="6">
        <v>46142</v>
      </c>
      <c r="B119" s="7" t="s">
        <v>552</v>
      </c>
      <c r="C119" s="62">
        <v>0.70833333333333337</v>
      </c>
      <c r="D119" s="77" t="s">
        <v>1097</v>
      </c>
      <c r="E119" s="77" t="s">
        <v>27</v>
      </c>
      <c r="F119" t="s">
        <v>1098</v>
      </c>
      <c r="G119" s="77" t="s">
        <v>85</v>
      </c>
      <c r="H119" s="77" t="s">
        <v>350</v>
      </c>
      <c r="I119" s="14" t="s">
        <v>779</v>
      </c>
      <c r="J119" s="77" t="s">
        <v>27</v>
      </c>
      <c r="K119" s="111" t="s">
        <v>350</v>
      </c>
      <c r="L119" s="7">
        <v>5545</v>
      </c>
      <c r="M119" s="7">
        <v>25</v>
      </c>
      <c r="N119" s="7">
        <v>6</v>
      </c>
      <c r="O119" s="7">
        <v>0</v>
      </c>
      <c r="P119" s="7">
        <v>2</v>
      </c>
      <c r="Q119" s="69">
        <f t="shared" si="22"/>
        <v>4.508566275924256E-3</v>
      </c>
      <c r="R119" s="69">
        <f t="shared" si="22"/>
        <v>0.24</v>
      </c>
      <c r="S119" s="7"/>
      <c r="T119" s="7"/>
      <c r="U119" s="7"/>
      <c r="V119" s="7"/>
      <c r="W119" s="7"/>
    </row>
    <row r="120" spans="1:23">
      <c r="A120" s="6">
        <v>46142</v>
      </c>
      <c r="B120" s="7" t="s">
        <v>552</v>
      </c>
      <c r="C120" s="62">
        <v>0.78125</v>
      </c>
      <c r="D120" s="77" t="s">
        <v>1099</v>
      </c>
      <c r="E120" s="77" t="s">
        <v>27</v>
      </c>
      <c r="F120" t="s">
        <v>1100</v>
      </c>
      <c r="G120" s="77" t="s">
        <v>85</v>
      </c>
      <c r="H120" s="77" t="s">
        <v>351</v>
      </c>
      <c r="I120" s="14" t="s">
        <v>779</v>
      </c>
      <c r="J120" s="77" t="s">
        <v>27</v>
      </c>
      <c r="K120" s="111" t="s">
        <v>351</v>
      </c>
      <c r="L120" s="7">
        <v>3254</v>
      </c>
      <c r="M120" s="7">
        <v>18</v>
      </c>
      <c r="N120" s="7">
        <v>6</v>
      </c>
      <c r="O120" s="7">
        <v>0</v>
      </c>
      <c r="P120" s="7">
        <v>0</v>
      </c>
      <c r="Q120" s="69">
        <f t="shared" si="22"/>
        <v>5.531653349723417E-3</v>
      </c>
      <c r="R120" s="69">
        <f t="shared" si="22"/>
        <v>0.33333333333333331</v>
      </c>
      <c r="S120" s="7"/>
      <c r="T120" s="7"/>
      <c r="U120" s="7"/>
      <c r="V120" s="7"/>
      <c r="W120" s="7"/>
    </row>
    <row r="121" spans="1:23">
      <c r="A121" s="6">
        <v>46142</v>
      </c>
      <c r="B121" s="7" t="s">
        <v>552</v>
      </c>
      <c r="C121" s="62">
        <v>0.80208333333333337</v>
      </c>
      <c r="D121" s="88" t="s">
        <v>1101</v>
      </c>
      <c r="E121" s="88" t="s">
        <v>27</v>
      </c>
      <c r="F121" s="88" t="s">
        <v>535</v>
      </c>
      <c r="G121" s="77" t="s">
        <v>85</v>
      </c>
      <c r="H121" s="7" t="s">
        <v>210</v>
      </c>
      <c r="I121" s="14"/>
      <c r="J121" s="77" t="s">
        <v>27</v>
      </c>
      <c r="K121" s="173" t="s">
        <v>210</v>
      </c>
      <c r="L121" s="7">
        <v>1080</v>
      </c>
      <c r="M121" s="7">
        <v>24</v>
      </c>
      <c r="N121" s="7">
        <v>13</v>
      </c>
      <c r="O121" s="7">
        <v>0</v>
      </c>
      <c r="P121" s="7">
        <v>0</v>
      </c>
      <c r="Q121" s="69">
        <f t="shared" si="22"/>
        <v>2.2222222222222223E-2</v>
      </c>
      <c r="R121" s="69">
        <f t="shared" si="22"/>
        <v>0.54166666666666663</v>
      </c>
      <c r="S121" s="7"/>
      <c r="T121" s="7"/>
      <c r="U121" s="7"/>
      <c r="V121" s="7"/>
      <c r="W121" s="7"/>
    </row>
    <row r="122" spans="1:23" ht="16.8">
      <c r="A122" s="6">
        <v>46142</v>
      </c>
      <c r="B122" s="7" t="s">
        <v>552</v>
      </c>
      <c r="C122" s="62">
        <v>0.83333333333333337</v>
      </c>
      <c r="D122" s="77" t="s">
        <v>1102</v>
      </c>
      <c r="E122" s="77" t="s">
        <v>27</v>
      </c>
      <c r="F122" t="s">
        <v>1098</v>
      </c>
      <c r="G122" s="77" t="s">
        <v>85</v>
      </c>
      <c r="H122" s="52" t="s">
        <v>157</v>
      </c>
      <c r="I122" s="14"/>
      <c r="J122" s="77" t="s">
        <v>27</v>
      </c>
      <c r="K122" s="174" t="s">
        <v>157</v>
      </c>
      <c r="L122" s="7">
        <v>1018</v>
      </c>
      <c r="M122" s="7">
        <v>52</v>
      </c>
      <c r="N122" s="7">
        <v>4</v>
      </c>
      <c r="O122" s="7">
        <v>1</v>
      </c>
      <c r="P122" s="7">
        <v>1</v>
      </c>
      <c r="Q122" s="69">
        <f t="shared" si="22"/>
        <v>5.1080550098231828E-2</v>
      </c>
      <c r="R122" s="69">
        <f t="shared" si="22"/>
        <v>7.6923076923076927E-2</v>
      </c>
      <c r="S122" s="7"/>
      <c r="T122" s="7"/>
      <c r="U122" s="7"/>
      <c r="V122" s="7"/>
      <c r="W122" s="7"/>
    </row>
    <row r="123" spans="1:23" ht="16.8">
      <c r="A123" s="6">
        <v>46142</v>
      </c>
      <c r="B123" s="7" t="s">
        <v>552</v>
      </c>
      <c r="C123" s="62">
        <v>0.99652777777777779</v>
      </c>
      <c r="D123" s="77" t="s">
        <v>1103</v>
      </c>
      <c r="E123" s="77" t="s">
        <v>27</v>
      </c>
      <c r="F123" t="s">
        <v>1100</v>
      </c>
      <c r="G123" s="7" t="s">
        <v>85</v>
      </c>
      <c r="H123" s="7" t="s">
        <v>149</v>
      </c>
      <c r="I123" s="113"/>
      <c r="J123" s="77" t="s">
        <v>27</v>
      </c>
      <c r="K123" s="174" t="s">
        <v>157</v>
      </c>
      <c r="L123" s="7">
        <v>574</v>
      </c>
      <c r="M123" s="7">
        <v>95</v>
      </c>
      <c r="N123" s="7">
        <v>15</v>
      </c>
      <c r="O123" s="7">
        <v>2</v>
      </c>
      <c r="P123" s="7">
        <v>0</v>
      </c>
      <c r="Q123" s="69">
        <f t="shared" si="22"/>
        <v>0.16550522648083624</v>
      </c>
      <c r="R123" s="69">
        <f t="shared" si="22"/>
        <v>0.15789473684210525</v>
      </c>
      <c r="S123" s="7"/>
      <c r="T123" s="7"/>
      <c r="U123" s="7"/>
      <c r="V123" s="7"/>
      <c r="W123" s="7"/>
    </row>
    <row r="124" spans="1:23" ht="6.6" customHeight="1">
      <c r="A124" s="22"/>
      <c r="B124" s="23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5"/>
      <c r="R124" s="25"/>
      <c r="S124" s="24"/>
      <c r="T124" s="24"/>
      <c r="U124" s="24"/>
      <c r="V124" s="25"/>
      <c r="W124" s="26"/>
    </row>
    <row r="125" spans="1:23">
      <c r="A125" s="6">
        <v>46143</v>
      </c>
      <c r="B125" s="7" t="s">
        <v>553</v>
      </c>
      <c r="C125" s="18" t="s">
        <v>596</v>
      </c>
      <c r="D125" s="18" t="s">
        <v>595</v>
      </c>
      <c r="E125" s="18" t="s">
        <v>27</v>
      </c>
      <c r="F125" s="18" t="s">
        <v>303</v>
      </c>
      <c r="G125" s="18" t="s">
        <v>85</v>
      </c>
      <c r="H125" s="18" t="s">
        <v>186</v>
      </c>
      <c r="I125" s="47"/>
      <c r="J125" s="18" t="s">
        <v>27</v>
      </c>
      <c r="K125" s="172" t="s">
        <v>186</v>
      </c>
      <c r="L125" s="7">
        <v>1969</v>
      </c>
      <c r="M125" s="7">
        <v>13</v>
      </c>
      <c r="N125" s="7">
        <v>5</v>
      </c>
      <c r="O125" s="7">
        <v>0</v>
      </c>
      <c r="P125" s="7">
        <v>0</v>
      </c>
      <c r="Q125" s="69">
        <f t="shared" ref="Q125:R143" si="23">M125/L125</f>
        <v>6.6023362112747584E-3</v>
      </c>
      <c r="R125" s="69">
        <f t="shared" si="23"/>
        <v>0.38461538461538464</v>
      </c>
      <c r="S125" s="7"/>
      <c r="T125" s="7"/>
      <c r="U125" s="7"/>
      <c r="V125" s="7"/>
      <c r="W125" s="7"/>
    </row>
    <row r="126" spans="1:23">
      <c r="A126" s="6">
        <v>46143</v>
      </c>
      <c r="B126" s="7" t="s">
        <v>553</v>
      </c>
      <c r="C126" s="18" t="s">
        <v>597</v>
      </c>
      <c r="D126" s="18" t="s">
        <v>594</v>
      </c>
      <c r="E126" s="18" t="s">
        <v>27</v>
      </c>
      <c r="F126" s="18" t="s">
        <v>593</v>
      </c>
      <c r="G126" s="18" t="s">
        <v>85</v>
      </c>
      <c r="H126" s="18"/>
      <c r="I126" s="29"/>
      <c r="J126" s="18" t="s">
        <v>27</v>
      </c>
      <c r="K126" s="172" t="s">
        <v>186</v>
      </c>
      <c r="L126" s="7"/>
      <c r="M126" s="7"/>
      <c r="N126" s="7"/>
      <c r="O126" s="7"/>
      <c r="P126" s="7"/>
      <c r="Q126" s="69" t="e">
        <f t="shared" si="23"/>
        <v>#DIV/0!</v>
      </c>
      <c r="R126" s="69" t="e">
        <f t="shared" si="23"/>
        <v>#DIV/0!</v>
      </c>
      <c r="S126" s="7"/>
      <c r="T126" s="7"/>
      <c r="U126" s="7"/>
      <c r="V126" s="7"/>
      <c r="W126" s="7"/>
    </row>
    <row r="127" spans="1:23">
      <c r="A127" s="6">
        <v>46143</v>
      </c>
      <c r="B127" s="7" t="s">
        <v>553</v>
      </c>
      <c r="C127" s="18" t="s">
        <v>347</v>
      </c>
      <c r="D127" s="18" t="s">
        <v>345</v>
      </c>
      <c r="E127" s="18" t="s">
        <v>27</v>
      </c>
      <c r="F127" s="18" t="s">
        <v>346</v>
      </c>
      <c r="G127" s="18" t="s">
        <v>85</v>
      </c>
      <c r="H127" s="18" t="s">
        <v>313</v>
      </c>
      <c r="I127" s="47"/>
      <c r="J127" s="18" t="s">
        <v>27</v>
      </c>
      <c r="K127" s="172" t="s">
        <v>313</v>
      </c>
      <c r="L127" s="7"/>
      <c r="M127" s="7"/>
      <c r="N127" s="7"/>
      <c r="O127" s="7"/>
      <c r="P127" s="7"/>
      <c r="Q127" s="69" t="e">
        <f t="shared" si="23"/>
        <v>#DIV/0!</v>
      </c>
      <c r="R127" s="69" t="e">
        <f t="shared" si="23"/>
        <v>#DIV/0!</v>
      </c>
      <c r="S127" s="7"/>
      <c r="T127" s="7"/>
      <c r="U127" s="7"/>
      <c r="V127" s="7"/>
      <c r="W127" s="7"/>
    </row>
    <row r="128" spans="1:23">
      <c r="A128" s="6">
        <v>46143</v>
      </c>
      <c r="B128" s="7" t="s">
        <v>553</v>
      </c>
      <c r="C128" s="18" t="s">
        <v>308</v>
      </c>
      <c r="D128" s="18" t="s">
        <v>503</v>
      </c>
      <c r="E128" s="18" t="s">
        <v>27</v>
      </c>
      <c r="F128" s="18" t="s">
        <v>502</v>
      </c>
      <c r="G128" s="18" t="s">
        <v>85</v>
      </c>
      <c r="H128" s="18" t="s">
        <v>106</v>
      </c>
      <c r="I128" s="47"/>
      <c r="J128" s="18" t="s">
        <v>27</v>
      </c>
      <c r="K128" s="172" t="s">
        <v>106</v>
      </c>
      <c r="L128" s="7">
        <v>971</v>
      </c>
      <c r="M128" s="7">
        <v>18</v>
      </c>
      <c r="N128" s="7">
        <v>3</v>
      </c>
      <c r="O128" s="7">
        <v>1</v>
      </c>
      <c r="P128" s="7">
        <v>0</v>
      </c>
      <c r="Q128" s="69">
        <f t="shared" si="23"/>
        <v>1.8537590113285273E-2</v>
      </c>
      <c r="R128" s="69">
        <f t="shared" si="23"/>
        <v>0.16666666666666666</v>
      </c>
      <c r="S128" s="7"/>
      <c r="T128" s="7"/>
      <c r="U128" s="7"/>
      <c r="V128" s="7"/>
      <c r="W128" s="7"/>
    </row>
    <row r="129" spans="1:29">
      <c r="A129" s="6">
        <v>46143</v>
      </c>
      <c r="B129" s="7" t="s">
        <v>553</v>
      </c>
      <c r="C129" s="18" t="s">
        <v>598</v>
      </c>
      <c r="D129" s="18" t="s">
        <v>594</v>
      </c>
      <c r="E129" s="18" t="s">
        <v>27</v>
      </c>
      <c r="F129" s="18" t="s">
        <v>593</v>
      </c>
      <c r="G129" s="18" t="s">
        <v>85</v>
      </c>
      <c r="H129" s="18"/>
      <c r="I129" s="29"/>
      <c r="J129" s="18" t="s">
        <v>27</v>
      </c>
      <c r="K129" s="172" t="s">
        <v>106</v>
      </c>
      <c r="L129" s="7"/>
      <c r="M129" s="7"/>
      <c r="N129" s="7"/>
      <c r="O129" s="7"/>
      <c r="P129" s="7"/>
      <c r="Q129" s="69" t="e">
        <f t="shared" si="23"/>
        <v>#DIV/0!</v>
      </c>
      <c r="R129" s="69" t="e">
        <f t="shared" si="23"/>
        <v>#DIV/0!</v>
      </c>
      <c r="S129" s="7"/>
      <c r="T129" s="7"/>
      <c r="U129" s="7"/>
      <c r="V129" s="7"/>
      <c r="W129" s="7"/>
    </row>
    <row r="130" spans="1:29">
      <c r="A130" s="6">
        <v>46143</v>
      </c>
      <c r="B130" s="7" t="s">
        <v>553</v>
      </c>
      <c r="C130" s="181"/>
      <c r="D130" s="18" t="s">
        <v>503</v>
      </c>
      <c r="E130" s="18" t="s">
        <v>27</v>
      </c>
      <c r="F130" s="18" t="s">
        <v>502</v>
      </c>
      <c r="G130" s="181"/>
      <c r="H130" s="18"/>
      <c r="I130" s="182" t="s">
        <v>1132</v>
      </c>
      <c r="J130" s="18"/>
      <c r="K130" s="181"/>
      <c r="L130" s="7"/>
      <c r="M130" s="7"/>
      <c r="N130" s="7"/>
      <c r="O130" s="7"/>
      <c r="P130" s="7"/>
      <c r="Q130" s="69" t="e">
        <f t="shared" si="23"/>
        <v>#DIV/0!</v>
      </c>
      <c r="R130" s="69" t="e">
        <f t="shared" si="23"/>
        <v>#DIV/0!</v>
      </c>
      <c r="S130" s="7"/>
      <c r="T130" s="7"/>
      <c r="U130" s="7"/>
      <c r="V130" s="7"/>
      <c r="W130" s="7"/>
    </row>
    <row r="131" spans="1:29">
      <c r="A131" s="6">
        <v>46143</v>
      </c>
      <c r="B131" s="7" t="s">
        <v>553</v>
      </c>
      <c r="C131" s="181"/>
      <c r="D131" s="18" t="s">
        <v>594</v>
      </c>
      <c r="E131" s="18" t="s">
        <v>27</v>
      </c>
      <c r="F131" s="18" t="s">
        <v>593</v>
      </c>
      <c r="G131" s="181"/>
      <c r="H131" s="18"/>
      <c r="I131" s="182" t="s">
        <v>1133</v>
      </c>
      <c r="J131" s="18"/>
      <c r="K131" s="181"/>
      <c r="L131" s="7"/>
      <c r="M131" s="7"/>
      <c r="N131" s="7"/>
      <c r="O131" s="7"/>
      <c r="P131" s="7"/>
      <c r="Q131" s="69" t="e">
        <f t="shared" si="23"/>
        <v>#DIV/0!</v>
      </c>
      <c r="R131" s="69" t="e">
        <f t="shared" si="23"/>
        <v>#DIV/0!</v>
      </c>
      <c r="S131" s="7"/>
      <c r="T131" s="7"/>
      <c r="U131" s="7"/>
      <c r="V131" s="7"/>
      <c r="W131" s="7"/>
    </row>
    <row r="132" spans="1:29" ht="18" customHeight="1">
      <c r="A132" s="6">
        <v>46143</v>
      </c>
      <c r="B132" s="7" t="s">
        <v>553</v>
      </c>
      <c r="C132" s="91"/>
      <c r="D132" s="77" t="s">
        <v>1374</v>
      </c>
      <c r="E132" s="77" t="s">
        <v>27</v>
      </c>
      <c r="F132" s="97" t="s">
        <v>724</v>
      </c>
      <c r="G132" s="97"/>
      <c r="H132" s="77" t="s">
        <v>683</v>
      </c>
      <c r="I132" s="113"/>
      <c r="J132" s="77" t="s">
        <v>27</v>
      </c>
      <c r="K132" s="93" t="s">
        <v>683</v>
      </c>
      <c r="L132" s="7">
        <v>1499</v>
      </c>
      <c r="M132" s="7">
        <v>1462</v>
      </c>
      <c r="N132" s="7">
        <v>966</v>
      </c>
      <c r="O132" s="7">
        <v>0</v>
      </c>
      <c r="P132" s="7">
        <v>1</v>
      </c>
      <c r="Q132" s="69">
        <f t="shared" si="23"/>
        <v>0.97531687791861243</v>
      </c>
      <c r="R132" s="69">
        <f t="shared" si="23"/>
        <v>0.66073871409028728</v>
      </c>
      <c r="S132" s="7"/>
      <c r="T132" s="7"/>
      <c r="U132" s="7"/>
      <c r="V132" s="7"/>
      <c r="W132" s="7"/>
    </row>
    <row r="133" spans="1:29" ht="18" customHeight="1">
      <c r="A133" s="6">
        <v>46143</v>
      </c>
      <c r="B133" s="7" t="s">
        <v>553</v>
      </c>
      <c r="C133" s="91"/>
      <c r="D133" s="77" t="s">
        <v>1375</v>
      </c>
      <c r="E133" s="77" t="s">
        <v>27</v>
      </c>
      <c r="F133" s="97" t="s">
        <v>724</v>
      </c>
      <c r="G133" s="97"/>
      <c r="H133" s="77" t="s">
        <v>683</v>
      </c>
      <c r="I133" s="113"/>
      <c r="J133" s="77" t="s">
        <v>27</v>
      </c>
      <c r="K133" s="93" t="s">
        <v>683</v>
      </c>
      <c r="L133" s="7">
        <v>1499</v>
      </c>
      <c r="M133" s="7">
        <v>1462</v>
      </c>
      <c r="N133" s="7">
        <v>1113</v>
      </c>
      <c r="O133" s="7">
        <v>0</v>
      </c>
      <c r="P133" s="7">
        <v>1</v>
      </c>
      <c r="Q133" s="69">
        <f t="shared" si="23"/>
        <v>0.97531687791861243</v>
      </c>
      <c r="R133" s="69">
        <f t="shared" si="23"/>
        <v>0.76128590971272225</v>
      </c>
      <c r="S133" s="7"/>
      <c r="T133" s="7"/>
      <c r="U133" s="7"/>
      <c r="V133" s="7"/>
      <c r="W133" s="7"/>
    </row>
    <row r="134" spans="1:29" ht="18" customHeight="1">
      <c r="A134" s="6">
        <v>46143</v>
      </c>
      <c r="B134" s="7" t="s">
        <v>553</v>
      </c>
      <c r="C134" s="91"/>
      <c r="D134" s="77" t="s">
        <v>1376</v>
      </c>
      <c r="E134" s="77" t="s">
        <v>27</v>
      </c>
      <c r="F134" s="97" t="s">
        <v>724</v>
      </c>
      <c r="G134" s="97"/>
      <c r="H134" s="77" t="s">
        <v>946</v>
      </c>
      <c r="I134" s="113"/>
      <c r="J134" s="77" t="s">
        <v>27</v>
      </c>
      <c r="K134" s="93" t="s">
        <v>946</v>
      </c>
      <c r="L134" s="7">
        <v>397</v>
      </c>
      <c r="M134" s="7">
        <v>351</v>
      </c>
      <c r="N134" s="7">
        <v>278</v>
      </c>
      <c r="O134" s="7">
        <v>0</v>
      </c>
      <c r="P134" s="7">
        <v>0</v>
      </c>
      <c r="Q134" s="69">
        <f t="shared" si="23"/>
        <v>0.88413098236775822</v>
      </c>
      <c r="R134" s="69">
        <f t="shared" si="23"/>
        <v>0.79202279202279202</v>
      </c>
      <c r="S134" s="7"/>
      <c r="T134" s="7"/>
      <c r="U134" s="7"/>
      <c r="V134" s="7"/>
      <c r="W134" s="7"/>
    </row>
    <row r="135" spans="1:29" ht="18" customHeight="1">
      <c r="A135" s="6">
        <v>46143</v>
      </c>
      <c r="B135" s="7" t="s">
        <v>553</v>
      </c>
      <c r="C135" s="91"/>
      <c r="D135" s="77" t="s">
        <v>1377</v>
      </c>
      <c r="E135" s="77" t="s">
        <v>27</v>
      </c>
      <c r="F135" s="97" t="s">
        <v>724</v>
      </c>
      <c r="G135" s="97"/>
      <c r="H135" s="77" t="s">
        <v>946</v>
      </c>
      <c r="I135" s="113"/>
      <c r="J135" s="77" t="s">
        <v>27</v>
      </c>
      <c r="K135" s="93" t="s">
        <v>946</v>
      </c>
      <c r="L135" s="7">
        <v>397</v>
      </c>
      <c r="M135" s="7">
        <v>351</v>
      </c>
      <c r="N135" s="7">
        <v>262</v>
      </c>
      <c r="O135" s="7">
        <v>0</v>
      </c>
      <c r="P135" s="7">
        <v>0</v>
      </c>
      <c r="Q135" s="69">
        <f t="shared" si="23"/>
        <v>0.88413098236775822</v>
      </c>
      <c r="R135" s="69">
        <f t="shared" si="23"/>
        <v>0.74643874643874641</v>
      </c>
      <c r="S135" s="7"/>
      <c r="T135" s="7"/>
      <c r="U135" s="7"/>
      <c r="V135" s="7"/>
      <c r="W135" s="7"/>
      <c r="Y135" s="7">
        <v>3070</v>
      </c>
      <c r="Z135" s="7">
        <v>13</v>
      </c>
      <c r="AA135" s="7">
        <v>4</v>
      </c>
      <c r="AB135" s="7">
        <v>0</v>
      </c>
      <c r="AC135" s="7"/>
    </row>
    <row r="136" spans="1:29" ht="18" customHeight="1">
      <c r="A136" s="6">
        <v>46143</v>
      </c>
      <c r="B136" s="7" t="s">
        <v>553</v>
      </c>
      <c r="C136" s="91"/>
      <c r="D136" s="77" t="s">
        <v>1378</v>
      </c>
      <c r="E136" s="77"/>
      <c r="F136" s="97"/>
      <c r="G136" s="97"/>
      <c r="H136" s="77" t="s">
        <v>946</v>
      </c>
      <c r="I136" s="113"/>
      <c r="J136" s="77" t="s">
        <v>27</v>
      </c>
      <c r="K136" s="93" t="s">
        <v>946</v>
      </c>
      <c r="L136" s="7">
        <v>397</v>
      </c>
      <c r="M136" s="7">
        <v>352</v>
      </c>
      <c r="N136" s="7">
        <v>257</v>
      </c>
      <c r="O136" s="7">
        <v>0</v>
      </c>
      <c r="P136" s="7">
        <v>0</v>
      </c>
      <c r="Q136" s="69">
        <f t="shared" si="23"/>
        <v>0.88664987405541562</v>
      </c>
      <c r="R136" s="69">
        <f t="shared" si="23"/>
        <v>0.73011363636363635</v>
      </c>
      <c r="S136" s="7"/>
      <c r="T136" s="7"/>
      <c r="U136" s="7"/>
      <c r="V136" s="7"/>
      <c r="W136" s="7"/>
      <c r="Y136" s="7">
        <v>1208</v>
      </c>
      <c r="Z136" s="7">
        <v>5</v>
      </c>
      <c r="AA136" s="7">
        <v>0</v>
      </c>
      <c r="AB136" s="7">
        <v>0</v>
      </c>
      <c r="AC136" s="7"/>
    </row>
    <row r="137" spans="1:29">
      <c r="A137" s="6">
        <v>46143</v>
      </c>
      <c r="B137" s="7" t="s">
        <v>553</v>
      </c>
      <c r="C137" s="62">
        <v>0.75</v>
      </c>
      <c r="D137" s="77" t="s">
        <v>1379</v>
      </c>
      <c r="E137" s="77" t="s">
        <v>27</v>
      </c>
      <c r="F137" s="77" t="s">
        <v>371</v>
      </c>
      <c r="G137" s="77" t="s">
        <v>85</v>
      </c>
      <c r="H137" s="77" t="s">
        <v>348</v>
      </c>
      <c r="I137" s="14"/>
      <c r="J137" s="77" t="s">
        <v>27</v>
      </c>
      <c r="K137" s="111" t="s">
        <v>348</v>
      </c>
      <c r="L137" s="7">
        <v>3070</v>
      </c>
      <c r="M137" s="7">
        <v>13</v>
      </c>
      <c r="N137" s="7">
        <v>4</v>
      </c>
      <c r="O137" s="7">
        <v>0</v>
      </c>
      <c r="P137" s="7">
        <v>3</v>
      </c>
      <c r="Q137" s="69">
        <f t="shared" si="23"/>
        <v>4.2345276872964169E-3</v>
      </c>
      <c r="R137" s="69">
        <f t="shared" si="23"/>
        <v>0.30769230769230771</v>
      </c>
      <c r="S137" s="7"/>
      <c r="T137" s="7"/>
      <c r="U137" s="7"/>
      <c r="V137" s="7"/>
      <c r="W137" s="7"/>
      <c r="Y137" s="7">
        <v>5542</v>
      </c>
      <c r="Z137" s="7">
        <v>23</v>
      </c>
      <c r="AA137" s="7">
        <v>12</v>
      </c>
      <c r="AB137" s="7">
        <v>1</v>
      </c>
      <c r="AC137" s="7"/>
    </row>
    <row r="138" spans="1:29">
      <c r="A138" s="6">
        <v>46143</v>
      </c>
      <c r="B138" s="7" t="s">
        <v>553</v>
      </c>
      <c r="C138" s="62">
        <v>0.76041666666666663</v>
      </c>
      <c r="D138" s="77" t="s">
        <v>1380</v>
      </c>
      <c r="E138" s="77" t="s">
        <v>27</v>
      </c>
      <c r="F138" s="77" t="s">
        <v>373</v>
      </c>
      <c r="G138" s="77" t="s">
        <v>85</v>
      </c>
      <c r="H138" s="77" t="s">
        <v>349</v>
      </c>
      <c r="I138" s="14"/>
      <c r="J138" s="77" t="s">
        <v>27</v>
      </c>
      <c r="K138" s="111" t="s">
        <v>349</v>
      </c>
      <c r="L138" s="7">
        <v>1208</v>
      </c>
      <c r="M138" s="7">
        <v>5</v>
      </c>
      <c r="N138" s="7">
        <v>0</v>
      </c>
      <c r="O138" s="7">
        <v>0</v>
      </c>
      <c r="P138" s="7">
        <v>1</v>
      </c>
      <c r="Q138" s="69">
        <f t="shared" si="23"/>
        <v>4.1390728476821195E-3</v>
      </c>
      <c r="R138" s="69">
        <f t="shared" si="23"/>
        <v>0</v>
      </c>
      <c r="S138" s="7"/>
      <c r="T138" s="7"/>
      <c r="U138" s="7"/>
      <c r="V138" s="7"/>
      <c r="W138" s="7"/>
      <c r="Y138" s="7">
        <v>3251</v>
      </c>
      <c r="Z138" s="7">
        <v>14</v>
      </c>
      <c r="AA138" s="7">
        <v>8</v>
      </c>
      <c r="AB138" s="7">
        <v>0</v>
      </c>
      <c r="AC138" s="7"/>
    </row>
    <row r="139" spans="1:29">
      <c r="A139" s="6">
        <v>46143</v>
      </c>
      <c r="B139" s="7" t="s">
        <v>553</v>
      </c>
      <c r="C139" s="62">
        <v>0.70833333333333337</v>
      </c>
      <c r="D139" s="77" t="s">
        <v>1381</v>
      </c>
      <c r="E139" s="77" t="s">
        <v>27</v>
      </c>
      <c r="F139" s="77" t="s">
        <v>375</v>
      </c>
      <c r="G139" s="77" t="s">
        <v>85</v>
      </c>
      <c r="H139" s="77" t="s">
        <v>350</v>
      </c>
      <c r="I139" s="14" t="s">
        <v>779</v>
      </c>
      <c r="J139" s="77" t="s">
        <v>27</v>
      </c>
      <c r="K139" s="111" t="s">
        <v>350</v>
      </c>
      <c r="L139" s="7">
        <v>5542</v>
      </c>
      <c r="M139" s="7">
        <v>23</v>
      </c>
      <c r="N139" s="7">
        <v>12</v>
      </c>
      <c r="O139" s="7">
        <v>1</v>
      </c>
      <c r="P139" s="7">
        <v>2</v>
      </c>
      <c r="Q139" s="69">
        <f t="shared" si="23"/>
        <v>4.1501263081919881E-3</v>
      </c>
      <c r="R139" s="69">
        <f t="shared" si="23"/>
        <v>0.52173913043478259</v>
      </c>
      <c r="S139" s="7"/>
      <c r="T139" s="7"/>
      <c r="U139" s="7"/>
      <c r="V139" s="7"/>
      <c r="W139" s="7"/>
      <c r="Y139" s="7">
        <v>1687</v>
      </c>
      <c r="Z139" s="7">
        <v>432</v>
      </c>
      <c r="AA139" s="7">
        <v>312</v>
      </c>
      <c r="AB139" s="7">
        <v>2</v>
      </c>
      <c r="AC139" s="7"/>
    </row>
    <row r="140" spans="1:29">
      <c r="A140" s="6">
        <v>46143</v>
      </c>
      <c r="B140" s="7" t="s">
        <v>553</v>
      </c>
      <c r="C140" s="62">
        <v>0.78125</v>
      </c>
      <c r="D140" s="77" t="s">
        <v>1382</v>
      </c>
      <c r="E140" s="77" t="s">
        <v>27</v>
      </c>
      <c r="F140" s="77" t="s">
        <v>377</v>
      </c>
      <c r="G140" s="77" t="s">
        <v>85</v>
      </c>
      <c r="H140" s="77" t="s">
        <v>351</v>
      </c>
      <c r="I140" s="14" t="s">
        <v>779</v>
      </c>
      <c r="J140" s="77" t="s">
        <v>27</v>
      </c>
      <c r="K140" s="111" t="s">
        <v>351</v>
      </c>
      <c r="L140" s="7">
        <v>3251</v>
      </c>
      <c r="M140" s="7">
        <v>14</v>
      </c>
      <c r="N140" s="7">
        <v>8</v>
      </c>
      <c r="O140" s="7">
        <v>0</v>
      </c>
      <c r="P140" s="7">
        <v>1</v>
      </c>
      <c r="Q140" s="69">
        <f t="shared" si="23"/>
        <v>4.3063672716087357E-3</v>
      </c>
      <c r="R140" s="69">
        <f t="shared" si="23"/>
        <v>0.5714285714285714</v>
      </c>
      <c r="S140" s="7"/>
      <c r="T140" s="7"/>
      <c r="U140" s="7"/>
      <c r="V140" s="7"/>
      <c r="W140" s="7"/>
      <c r="Y140" s="7">
        <v>1969</v>
      </c>
      <c r="Z140" s="7">
        <v>13</v>
      </c>
      <c r="AA140" s="7">
        <v>5</v>
      </c>
      <c r="AB140" s="7">
        <v>0</v>
      </c>
      <c r="AC140" s="7"/>
    </row>
    <row r="141" spans="1:29">
      <c r="A141" s="6">
        <v>46143</v>
      </c>
      <c r="B141" s="7" t="s">
        <v>553</v>
      </c>
      <c r="C141" s="62">
        <v>0.80208333333333337</v>
      </c>
      <c r="D141" s="88" t="s">
        <v>1383</v>
      </c>
      <c r="E141" s="88" t="s">
        <v>27</v>
      </c>
      <c r="F141" s="88" t="s">
        <v>582</v>
      </c>
      <c r="G141" s="77" t="s">
        <v>85</v>
      </c>
      <c r="H141" s="7" t="s">
        <v>210</v>
      </c>
      <c r="I141" s="14"/>
      <c r="J141" s="77" t="s">
        <v>27</v>
      </c>
      <c r="K141" s="173" t="s">
        <v>210</v>
      </c>
      <c r="L141" s="7">
        <v>1687</v>
      </c>
      <c r="M141" s="7">
        <v>432</v>
      </c>
      <c r="N141" s="7">
        <v>312</v>
      </c>
      <c r="O141" s="7">
        <v>2</v>
      </c>
      <c r="P141" s="7">
        <v>0</v>
      </c>
      <c r="Q141" s="69">
        <f t="shared" si="23"/>
        <v>0.25607587433313572</v>
      </c>
      <c r="R141" s="69">
        <f t="shared" si="23"/>
        <v>0.72222222222222221</v>
      </c>
      <c r="S141" s="7"/>
      <c r="T141" s="7"/>
      <c r="U141" s="7"/>
      <c r="V141" s="7"/>
      <c r="W141" s="7"/>
      <c r="Y141">
        <f>SUM(Y135:Y140)</f>
        <v>16727</v>
      </c>
      <c r="Z141">
        <f>SUM(Z135:Z140)</f>
        <v>500</v>
      </c>
      <c r="AA141">
        <f>SUM(AA135:AA140)</f>
        <v>341</v>
      </c>
    </row>
    <row r="142" spans="1:29" ht="16.8">
      <c r="A142" s="6">
        <v>46143</v>
      </c>
      <c r="B142" s="7" t="s">
        <v>553</v>
      </c>
      <c r="C142" s="62">
        <v>0.83333333333333337</v>
      </c>
      <c r="D142" s="77" t="s">
        <v>1384</v>
      </c>
      <c r="E142" s="7" t="s">
        <v>27</v>
      </c>
      <c r="F142" s="77" t="s">
        <v>375</v>
      </c>
      <c r="G142" s="77" t="s">
        <v>85</v>
      </c>
      <c r="H142" s="52" t="s">
        <v>157</v>
      </c>
      <c r="I142" s="14"/>
      <c r="J142" s="77" t="s">
        <v>27</v>
      </c>
      <c r="K142" s="174" t="s">
        <v>157</v>
      </c>
      <c r="L142" s="7">
        <v>1717</v>
      </c>
      <c r="M142" s="7">
        <v>60</v>
      </c>
      <c r="N142" s="7">
        <v>1</v>
      </c>
      <c r="O142" s="7">
        <v>0</v>
      </c>
      <c r="P142" s="7">
        <v>1</v>
      </c>
      <c r="Q142" s="69">
        <f t="shared" si="23"/>
        <v>3.4944670937682006E-2</v>
      </c>
      <c r="R142" s="69">
        <f t="shared" si="23"/>
        <v>1.6666666666666666E-2</v>
      </c>
      <c r="S142" s="7"/>
      <c r="T142" s="7"/>
      <c r="U142" s="7"/>
      <c r="V142" s="7"/>
      <c r="W142" s="7"/>
    </row>
    <row r="143" spans="1:29" ht="16.8">
      <c r="A143" s="6">
        <v>46143</v>
      </c>
      <c r="B143" s="7" t="s">
        <v>553</v>
      </c>
      <c r="C143" s="62">
        <v>0.99652777777777779</v>
      </c>
      <c r="D143" s="77" t="s">
        <v>1385</v>
      </c>
      <c r="E143" s="77" t="s">
        <v>27</v>
      </c>
      <c r="F143" s="77" t="s">
        <v>377</v>
      </c>
      <c r="G143" s="7" t="s">
        <v>85</v>
      </c>
      <c r="H143" s="7" t="s">
        <v>149</v>
      </c>
      <c r="I143" s="113"/>
      <c r="J143" s="77" t="s">
        <v>27</v>
      </c>
      <c r="K143" s="174" t="s">
        <v>157</v>
      </c>
      <c r="L143" s="7">
        <v>907</v>
      </c>
      <c r="M143" s="7">
        <v>254</v>
      </c>
      <c r="N143" s="7">
        <v>69</v>
      </c>
      <c r="O143" s="7">
        <v>2</v>
      </c>
      <c r="P143" s="7">
        <v>0</v>
      </c>
      <c r="Q143" s="69">
        <f t="shared" si="23"/>
        <v>0.28004410143329656</v>
      </c>
      <c r="R143" s="69">
        <f t="shared" si="23"/>
        <v>0.27165354330708663</v>
      </c>
      <c r="S143" s="7"/>
      <c r="T143" s="7"/>
      <c r="U143" s="7"/>
      <c r="V143" s="7"/>
      <c r="W143" s="7"/>
    </row>
    <row r="144" spans="1:29" ht="6.6" customHeight="1">
      <c r="A144" s="22"/>
      <c r="B144" s="23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5"/>
      <c r="R144" s="25"/>
      <c r="S144" s="24"/>
      <c r="T144" s="24"/>
      <c r="U144" s="24"/>
      <c r="V144" s="25"/>
      <c r="W144" s="26"/>
    </row>
    <row r="145" spans="1:27">
      <c r="A145" s="6">
        <v>46144</v>
      </c>
      <c r="B145" s="7" t="s">
        <v>577</v>
      </c>
      <c r="C145" s="18" t="s">
        <v>596</v>
      </c>
      <c r="D145" s="18" t="s">
        <v>595</v>
      </c>
      <c r="E145" s="18" t="s">
        <v>27</v>
      </c>
      <c r="F145" s="18" t="s">
        <v>303</v>
      </c>
      <c r="G145" s="18" t="s">
        <v>85</v>
      </c>
      <c r="H145" s="18" t="s">
        <v>186</v>
      </c>
      <c r="I145" s="47"/>
      <c r="J145" s="18" t="s">
        <v>27</v>
      </c>
      <c r="K145" s="172" t="s">
        <v>186</v>
      </c>
      <c r="L145" s="7">
        <v>1876</v>
      </c>
      <c r="M145" s="7">
        <v>9</v>
      </c>
      <c r="N145" s="7">
        <v>1</v>
      </c>
      <c r="O145" s="7">
        <v>0</v>
      </c>
      <c r="P145" s="7">
        <v>1</v>
      </c>
      <c r="Q145" s="69">
        <f t="shared" ref="Q145:R148" si="24">M145/L145</f>
        <v>4.7974413646055441E-3</v>
      </c>
      <c r="R145" s="69">
        <f t="shared" si="24"/>
        <v>0.1111111111111111</v>
      </c>
      <c r="S145" s="7"/>
      <c r="T145" s="7"/>
      <c r="U145" s="7"/>
      <c r="V145" s="7"/>
      <c r="W145" s="7"/>
      <c r="Y145" s="7"/>
      <c r="Z145" s="7"/>
      <c r="AA145" s="7"/>
    </row>
    <row r="146" spans="1:27">
      <c r="A146" s="6">
        <v>46144</v>
      </c>
      <c r="B146" s="7" t="s">
        <v>577</v>
      </c>
      <c r="C146" s="18" t="s">
        <v>597</v>
      </c>
      <c r="D146" s="18" t="s">
        <v>594</v>
      </c>
      <c r="E146" s="18" t="s">
        <v>27</v>
      </c>
      <c r="F146" s="18" t="s">
        <v>593</v>
      </c>
      <c r="G146" s="18" t="s">
        <v>85</v>
      </c>
      <c r="H146" s="18"/>
      <c r="I146" s="29"/>
      <c r="J146" s="18" t="s">
        <v>27</v>
      </c>
      <c r="K146" s="172" t="s">
        <v>186</v>
      </c>
      <c r="L146" s="7"/>
      <c r="M146" s="7"/>
      <c r="N146" s="7"/>
      <c r="O146" s="7"/>
      <c r="P146" s="7"/>
      <c r="Q146" s="69" t="e">
        <f t="shared" si="24"/>
        <v>#DIV/0!</v>
      </c>
      <c r="R146" s="69" t="e">
        <f t="shared" si="24"/>
        <v>#DIV/0!</v>
      </c>
      <c r="S146" s="7"/>
      <c r="T146" s="7"/>
      <c r="U146" s="7"/>
      <c r="V146" s="7"/>
      <c r="W146" s="7"/>
      <c r="Y146" s="7"/>
      <c r="Z146" s="7"/>
      <c r="AA146" s="7"/>
    </row>
    <row r="147" spans="1:27">
      <c r="A147" s="6">
        <v>46144</v>
      </c>
      <c r="B147" s="7" t="s">
        <v>577</v>
      </c>
      <c r="C147" s="18" t="s">
        <v>347</v>
      </c>
      <c r="D147" s="18" t="s">
        <v>345</v>
      </c>
      <c r="E147" s="18" t="s">
        <v>27</v>
      </c>
      <c r="F147" s="18" t="s">
        <v>346</v>
      </c>
      <c r="G147" s="18" t="s">
        <v>85</v>
      </c>
      <c r="H147" s="18" t="s">
        <v>313</v>
      </c>
      <c r="I147" s="47"/>
      <c r="J147" s="18" t="s">
        <v>27</v>
      </c>
      <c r="K147" s="172" t="s">
        <v>313</v>
      </c>
      <c r="L147" s="7"/>
      <c r="M147" s="7"/>
      <c r="N147" s="7"/>
      <c r="O147" s="7"/>
      <c r="P147" s="7"/>
      <c r="Q147" s="69" t="e">
        <f t="shared" si="24"/>
        <v>#DIV/0!</v>
      </c>
      <c r="R147" s="69" t="e">
        <f t="shared" si="24"/>
        <v>#DIV/0!</v>
      </c>
      <c r="S147" s="7"/>
      <c r="T147" s="7"/>
      <c r="U147" s="7"/>
      <c r="V147" s="7"/>
      <c r="W147" s="7"/>
      <c r="Y147" s="7"/>
      <c r="Z147" s="7"/>
      <c r="AA147" s="7"/>
    </row>
    <row r="148" spans="1:27">
      <c r="A148" s="6">
        <v>46144</v>
      </c>
      <c r="B148" s="7" t="s">
        <v>577</v>
      </c>
      <c r="C148" s="18" t="s">
        <v>308</v>
      </c>
      <c r="D148" s="18" t="s">
        <v>503</v>
      </c>
      <c r="E148" s="18" t="s">
        <v>27</v>
      </c>
      <c r="F148" s="18" t="s">
        <v>502</v>
      </c>
      <c r="G148" s="18" t="s">
        <v>85</v>
      </c>
      <c r="H148" s="18" t="s">
        <v>106</v>
      </c>
      <c r="I148" s="47"/>
      <c r="J148" s="18" t="s">
        <v>27</v>
      </c>
      <c r="K148" s="172" t="s">
        <v>106</v>
      </c>
      <c r="L148" s="7">
        <v>902</v>
      </c>
      <c r="M148" s="7">
        <v>15</v>
      </c>
      <c r="N148" s="7">
        <v>2</v>
      </c>
      <c r="O148" s="7">
        <v>2</v>
      </c>
      <c r="P148" s="7">
        <v>5</v>
      </c>
      <c r="Q148" s="69">
        <f t="shared" si="24"/>
        <v>1.662971175166297E-2</v>
      </c>
      <c r="R148" s="69">
        <f t="shared" si="24"/>
        <v>0.13333333333333333</v>
      </c>
      <c r="S148" s="7"/>
      <c r="T148" s="7"/>
      <c r="U148" s="7"/>
      <c r="V148" s="7"/>
      <c r="W148" s="7"/>
      <c r="Y148" s="7"/>
      <c r="Z148" s="7"/>
      <c r="AA148" s="7"/>
    </row>
    <row r="149" spans="1:27">
      <c r="A149" s="6">
        <v>46144</v>
      </c>
      <c r="B149" s="7" t="s">
        <v>577</v>
      </c>
      <c r="C149" s="18" t="s">
        <v>598</v>
      </c>
      <c r="D149" s="18" t="s">
        <v>594</v>
      </c>
      <c r="E149" s="18" t="s">
        <v>27</v>
      </c>
      <c r="F149" s="18" t="s">
        <v>593</v>
      </c>
      <c r="G149" s="18" t="s">
        <v>85</v>
      </c>
      <c r="H149" s="18"/>
      <c r="I149" s="29"/>
      <c r="J149" s="18" t="s">
        <v>27</v>
      </c>
      <c r="K149" s="172" t="s">
        <v>106</v>
      </c>
      <c r="L149" s="7"/>
      <c r="M149" s="7"/>
      <c r="N149" s="7"/>
      <c r="O149" s="7"/>
      <c r="P149" s="7"/>
      <c r="Q149" s="69">
        <f t="shared" ref="Q149:R149" si="25">M148/L148</f>
        <v>1.662971175166297E-2</v>
      </c>
      <c r="R149" s="69">
        <f t="shared" si="25"/>
        <v>0.13333333333333333</v>
      </c>
      <c r="S149" s="7"/>
      <c r="T149" s="7"/>
      <c r="U149" s="7"/>
      <c r="V149" s="7"/>
      <c r="W149" s="7"/>
      <c r="Y149" s="7"/>
      <c r="Z149" s="7"/>
      <c r="AA149" s="7"/>
    </row>
    <row r="150" spans="1:27">
      <c r="A150" s="6">
        <v>46144</v>
      </c>
      <c r="B150" s="7" t="s">
        <v>577</v>
      </c>
      <c r="C150" s="181"/>
      <c r="D150" s="18" t="s">
        <v>503</v>
      </c>
      <c r="E150" s="18" t="s">
        <v>27</v>
      </c>
      <c r="F150" s="18" t="s">
        <v>502</v>
      </c>
      <c r="G150" s="181"/>
      <c r="H150" s="18"/>
      <c r="I150" s="182" t="s">
        <v>1132</v>
      </c>
      <c r="J150" s="18"/>
      <c r="K150" s="181"/>
      <c r="L150" s="7"/>
      <c r="M150" s="7"/>
      <c r="N150" s="7"/>
      <c r="O150" s="7"/>
      <c r="P150" s="7">
        <v>5</v>
      </c>
      <c r="Q150" s="69" t="e">
        <f>M149/L149</f>
        <v>#DIV/0!</v>
      </c>
      <c r="R150" s="69" t="e">
        <f>N149/M149</f>
        <v>#DIV/0!</v>
      </c>
      <c r="S150" s="7"/>
      <c r="T150" s="7"/>
      <c r="U150" s="7"/>
      <c r="V150" s="7"/>
      <c r="W150" s="7"/>
      <c r="Y150" s="7"/>
      <c r="Z150" s="7"/>
      <c r="AA150" s="7"/>
    </row>
    <row r="151" spans="1:27">
      <c r="A151" s="6">
        <v>46144</v>
      </c>
      <c r="B151" s="7" t="s">
        <v>577</v>
      </c>
      <c r="C151" s="181"/>
      <c r="D151" s="18" t="s">
        <v>594</v>
      </c>
      <c r="E151" s="18" t="s">
        <v>27</v>
      </c>
      <c r="F151" s="18" t="s">
        <v>593</v>
      </c>
      <c r="G151" s="181"/>
      <c r="H151" s="18"/>
      <c r="I151" s="182" t="s">
        <v>1133</v>
      </c>
      <c r="J151" s="18"/>
      <c r="K151" s="181"/>
      <c r="L151" s="7"/>
      <c r="M151" s="7"/>
      <c r="N151" s="7"/>
      <c r="O151" s="7"/>
      <c r="P151" s="7"/>
      <c r="Q151" s="69" t="e">
        <f t="shared" ref="Q151:R151" si="26">M150/L150</f>
        <v>#DIV/0!</v>
      </c>
      <c r="R151" s="69" t="e">
        <f t="shared" si="26"/>
        <v>#DIV/0!</v>
      </c>
      <c r="S151" s="7"/>
      <c r="T151" s="7"/>
      <c r="U151" s="7"/>
      <c r="V151" s="7"/>
      <c r="W151" s="7"/>
    </row>
    <row r="152" spans="1:27" ht="18" customHeight="1">
      <c r="A152" s="6">
        <v>46144</v>
      </c>
      <c r="B152" s="7" t="s">
        <v>577</v>
      </c>
      <c r="C152" s="91"/>
      <c r="D152" s="77" t="s">
        <v>1386</v>
      </c>
      <c r="E152" s="77" t="s">
        <v>27</v>
      </c>
      <c r="F152" s="97" t="s">
        <v>724</v>
      </c>
      <c r="G152" s="97"/>
      <c r="H152" s="77" t="s">
        <v>683</v>
      </c>
      <c r="I152" s="113"/>
      <c r="J152" s="77" t="s">
        <v>27</v>
      </c>
      <c r="K152" s="93" t="s">
        <v>683</v>
      </c>
      <c r="L152" s="7">
        <v>1499</v>
      </c>
      <c r="M152" s="7">
        <v>1460</v>
      </c>
      <c r="N152" s="7">
        <v>1063</v>
      </c>
      <c r="O152" s="7">
        <v>0</v>
      </c>
      <c r="P152" s="7">
        <v>1</v>
      </c>
      <c r="Q152" s="69">
        <f t="shared" ref="Q152:R164" si="27">M152/L152</f>
        <v>0.97398265510340232</v>
      </c>
      <c r="R152" s="69">
        <f t="shared" si="27"/>
        <v>0.7280821917808219</v>
      </c>
      <c r="S152" s="7"/>
      <c r="T152" s="7"/>
      <c r="U152" s="7"/>
      <c r="V152" s="7"/>
      <c r="W152" s="7"/>
    </row>
    <row r="153" spans="1:27" ht="18" customHeight="1">
      <c r="A153" s="6">
        <v>46144</v>
      </c>
      <c r="B153" s="7" t="s">
        <v>577</v>
      </c>
      <c r="C153" s="91"/>
      <c r="D153" s="77" t="s">
        <v>1387</v>
      </c>
      <c r="E153" s="77" t="s">
        <v>27</v>
      </c>
      <c r="F153" s="97" t="s">
        <v>724</v>
      </c>
      <c r="G153" s="97"/>
      <c r="H153" s="77" t="s">
        <v>683</v>
      </c>
      <c r="I153" s="113"/>
      <c r="J153" s="77" t="s">
        <v>27</v>
      </c>
      <c r="K153" s="93" t="s">
        <v>683</v>
      </c>
      <c r="L153" s="7">
        <v>1499</v>
      </c>
      <c r="M153" s="7">
        <v>1462</v>
      </c>
      <c r="N153" s="7">
        <v>1094</v>
      </c>
      <c r="O153" s="7">
        <v>0</v>
      </c>
      <c r="P153" s="7">
        <v>1</v>
      </c>
      <c r="Q153" s="69">
        <f t="shared" si="27"/>
        <v>0.97531687791861243</v>
      </c>
      <c r="R153" s="69">
        <f t="shared" si="27"/>
        <v>0.74829001367989056</v>
      </c>
      <c r="S153" s="7"/>
      <c r="T153" s="7"/>
      <c r="U153" s="7"/>
      <c r="V153" s="7"/>
      <c r="W153" s="7"/>
    </row>
    <row r="154" spans="1:27" ht="18" customHeight="1">
      <c r="A154" s="6">
        <v>46144</v>
      </c>
      <c r="B154" s="7" t="s">
        <v>577</v>
      </c>
      <c r="C154" s="91"/>
      <c r="D154" s="77" t="s">
        <v>1388</v>
      </c>
      <c r="E154" s="77" t="s">
        <v>27</v>
      </c>
      <c r="F154" s="97" t="s">
        <v>724</v>
      </c>
      <c r="G154" s="97"/>
      <c r="H154" s="77" t="s">
        <v>946</v>
      </c>
      <c r="I154" s="113"/>
      <c r="J154" s="77" t="s">
        <v>27</v>
      </c>
      <c r="K154" s="93" t="s">
        <v>946</v>
      </c>
      <c r="L154" s="7">
        <v>397</v>
      </c>
      <c r="M154" s="7">
        <v>353</v>
      </c>
      <c r="N154" s="7">
        <v>260</v>
      </c>
      <c r="O154" s="7">
        <v>0</v>
      </c>
      <c r="P154" s="7">
        <v>0</v>
      </c>
      <c r="Q154" s="69">
        <f t="shared" si="27"/>
        <v>0.88916876574307302</v>
      </c>
      <c r="R154" s="69">
        <f t="shared" si="27"/>
        <v>0.73654390934844194</v>
      </c>
      <c r="S154" s="7"/>
      <c r="T154" s="7"/>
      <c r="U154" s="7"/>
      <c r="V154" s="7"/>
      <c r="W154" s="7"/>
    </row>
    <row r="155" spans="1:27" ht="18" customHeight="1">
      <c r="A155" s="6">
        <v>46144</v>
      </c>
      <c r="B155" s="7" t="s">
        <v>577</v>
      </c>
      <c r="C155" s="91"/>
      <c r="D155" s="77" t="s">
        <v>1389</v>
      </c>
      <c r="E155" s="77" t="s">
        <v>27</v>
      </c>
      <c r="F155" s="97" t="s">
        <v>724</v>
      </c>
      <c r="G155" s="97"/>
      <c r="H155" s="77" t="s">
        <v>946</v>
      </c>
      <c r="I155" s="113"/>
      <c r="J155" s="77" t="s">
        <v>27</v>
      </c>
      <c r="K155" s="93" t="s">
        <v>946</v>
      </c>
      <c r="L155" s="7">
        <v>397</v>
      </c>
      <c r="M155" s="7">
        <v>354</v>
      </c>
      <c r="N155" s="7">
        <v>251</v>
      </c>
      <c r="O155" s="7">
        <v>0</v>
      </c>
      <c r="P155" s="7">
        <v>0</v>
      </c>
      <c r="Q155" s="69">
        <f t="shared" si="27"/>
        <v>0.89168765743073053</v>
      </c>
      <c r="R155" s="69">
        <f t="shared" si="27"/>
        <v>0.70903954802259883</v>
      </c>
      <c r="S155" s="7"/>
      <c r="T155" s="7"/>
      <c r="U155" s="7"/>
      <c r="V155" s="7"/>
      <c r="W155" s="7"/>
    </row>
    <row r="156" spans="1:27" ht="18" customHeight="1">
      <c r="A156" s="6">
        <v>46144</v>
      </c>
      <c r="B156" s="7" t="s">
        <v>577</v>
      </c>
      <c r="C156" s="91"/>
      <c r="D156" s="77" t="s">
        <v>1390</v>
      </c>
      <c r="E156" s="77"/>
      <c r="F156" s="97"/>
      <c r="G156" s="97"/>
      <c r="H156" s="77" t="s">
        <v>946</v>
      </c>
      <c r="I156" s="113"/>
      <c r="J156" s="77" t="s">
        <v>27</v>
      </c>
      <c r="K156" s="93" t="s">
        <v>946</v>
      </c>
      <c r="L156" s="7">
        <v>397</v>
      </c>
      <c r="M156" s="7">
        <v>353</v>
      </c>
      <c r="N156" s="7">
        <v>260</v>
      </c>
      <c r="O156" s="7">
        <v>0</v>
      </c>
      <c r="P156" s="7">
        <v>0</v>
      </c>
      <c r="Q156" s="69">
        <f t="shared" si="27"/>
        <v>0.88916876574307302</v>
      </c>
      <c r="R156" s="69">
        <f t="shared" si="27"/>
        <v>0.73654390934844194</v>
      </c>
      <c r="S156" s="7"/>
      <c r="T156" s="7"/>
      <c r="U156" s="7"/>
      <c r="V156" s="7"/>
      <c r="W156" s="7"/>
    </row>
    <row r="157" spans="1:27" ht="18" customHeight="1">
      <c r="A157" s="6">
        <v>46144</v>
      </c>
      <c r="B157" s="7" t="s">
        <v>577</v>
      </c>
      <c r="C157" s="91"/>
      <c r="D157" s="77" t="s">
        <v>1391</v>
      </c>
      <c r="E157" s="77"/>
      <c r="F157" s="97"/>
      <c r="G157" s="97"/>
      <c r="H157" s="77" t="s">
        <v>946</v>
      </c>
      <c r="I157" s="113"/>
      <c r="J157" s="77" t="s">
        <v>27</v>
      </c>
      <c r="K157" s="93" t="s">
        <v>946</v>
      </c>
      <c r="L157" s="7">
        <v>397</v>
      </c>
      <c r="M157" s="7">
        <v>353</v>
      </c>
      <c r="N157" s="7">
        <v>261</v>
      </c>
      <c r="O157" s="7">
        <v>0</v>
      </c>
      <c r="P157" s="7">
        <v>0</v>
      </c>
      <c r="Q157" s="69">
        <f t="shared" si="27"/>
        <v>0.88916876574307302</v>
      </c>
      <c r="R157" s="69">
        <f t="shared" si="27"/>
        <v>0.73937677053824358</v>
      </c>
      <c r="S157" s="7"/>
      <c r="T157" s="7"/>
      <c r="U157" s="7"/>
      <c r="V157" s="7"/>
      <c r="W157" s="7"/>
    </row>
    <row r="158" spans="1:27">
      <c r="A158" s="6">
        <v>46144</v>
      </c>
      <c r="B158" s="7" t="s">
        <v>577</v>
      </c>
      <c r="C158" s="62">
        <v>0.75</v>
      </c>
      <c r="D158" s="77" t="s">
        <v>1392</v>
      </c>
      <c r="E158" s="77" t="s">
        <v>27</v>
      </c>
      <c r="F158" s="77" t="s">
        <v>371</v>
      </c>
      <c r="G158" s="77" t="s">
        <v>85</v>
      </c>
      <c r="H158" s="77" t="s">
        <v>348</v>
      </c>
      <c r="I158" s="14"/>
      <c r="J158" s="77" t="s">
        <v>27</v>
      </c>
      <c r="K158" s="111" t="s">
        <v>348</v>
      </c>
      <c r="L158" s="7">
        <v>3068</v>
      </c>
      <c r="M158" s="7">
        <v>17</v>
      </c>
      <c r="N158" s="7">
        <v>3</v>
      </c>
      <c r="O158" s="7">
        <v>1</v>
      </c>
      <c r="P158" s="7">
        <v>2</v>
      </c>
      <c r="Q158" s="69">
        <f t="shared" si="27"/>
        <v>5.5410691003911347E-3</v>
      </c>
      <c r="R158" s="69">
        <f t="shared" si="27"/>
        <v>0.17647058823529413</v>
      </c>
      <c r="S158" s="7"/>
      <c r="T158" s="7"/>
      <c r="U158" s="7"/>
      <c r="V158" s="7"/>
      <c r="W158" s="7"/>
    </row>
    <row r="159" spans="1:27">
      <c r="A159" s="6">
        <v>46144</v>
      </c>
      <c r="B159" s="7" t="s">
        <v>577</v>
      </c>
      <c r="C159" s="62">
        <v>0.76041666666666663</v>
      </c>
      <c r="D159" s="77" t="s">
        <v>1393</v>
      </c>
      <c r="E159" s="77" t="s">
        <v>27</v>
      </c>
      <c r="F159" s="77" t="s">
        <v>373</v>
      </c>
      <c r="G159" s="77" t="s">
        <v>85</v>
      </c>
      <c r="H159" s="77" t="s">
        <v>349</v>
      </c>
      <c r="I159" s="14"/>
      <c r="J159" s="77" t="s">
        <v>27</v>
      </c>
      <c r="K159" s="111" t="s">
        <v>349</v>
      </c>
      <c r="L159" s="7">
        <v>1208</v>
      </c>
      <c r="M159" s="7">
        <v>3</v>
      </c>
      <c r="N159" s="7">
        <v>0</v>
      </c>
      <c r="O159" s="7">
        <v>0</v>
      </c>
      <c r="P159" s="7">
        <v>1</v>
      </c>
      <c r="Q159" s="69">
        <f t="shared" si="27"/>
        <v>2.4834437086092716E-3</v>
      </c>
      <c r="R159" s="69">
        <f t="shared" si="27"/>
        <v>0</v>
      </c>
      <c r="S159" s="7"/>
      <c r="T159" s="7"/>
      <c r="U159" s="7"/>
      <c r="V159" s="7"/>
      <c r="W159" s="7"/>
    </row>
    <row r="160" spans="1:27">
      <c r="A160" s="6">
        <v>46144</v>
      </c>
      <c r="B160" s="7" t="s">
        <v>577</v>
      </c>
      <c r="C160" s="62">
        <v>0.70833333333333337</v>
      </c>
      <c r="D160" s="77" t="s">
        <v>1394</v>
      </c>
      <c r="E160" s="77" t="s">
        <v>27</v>
      </c>
      <c r="F160" s="77" t="s">
        <v>375</v>
      </c>
      <c r="G160" s="77" t="s">
        <v>85</v>
      </c>
      <c r="H160" s="77" t="s">
        <v>350</v>
      </c>
      <c r="I160" s="14"/>
      <c r="J160" s="77" t="s">
        <v>27</v>
      </c>
      <c r="K160" s="111" t="s">
        <v>350</v>
      </c>
      <c r="L160" s="7">
        <v>5536</v>
      </c>
      <c r="M160" s="7">
        <v>17</v>
      </c>
      <c r="N160" s="7">
        <v>6</v>
      </c>
      <c r="O160" s="7">
        <v>0</v>
      </c>
      <c r="P160" s="7">
        <v>1</v>
      </c>
      <c r="Q160" s="69">
        <f t="shared" si="27"/>
        <v>3.0708092485549135E-3</v>
      </c>
      <c r="R160" s="69">
        <f t="shared" si="27"/>
        <v>0.35294117647058826</v>
      </c>
      <c r="S160" s="7"/>
      <c r="T160" s="7"/>
      <c r="U160" s="7"/>
      <c r="V160" s="7"/>
      <c r="W160" s="7"/>
    </row>
    <row r="161" spans="1:27">
      <c r="A161" s="6">
        <v>46144</v>
      </c>
      <c r="B161" s="7" t="s">
        <v>577</v>
      </c>
      <c r="C161" s="62">
        <v>0.78125</v>
      </c>
      <c r="D161" s="77" t="s">
        <v>1395</v>
      </c>
      <c r="E161" s="77" t="s">
        <v>27</v>
      </c>
      <c r="F161" s="77" t="s">
        <v>377</v>
      </c>
      <c r="G161" s="77" t="s">
        <v>85</v>
      </c>
      <c r="H161" s="77" t="s">
        <v>351</v>
      </c>
      <c r="I161" s="14"/>
      <c r="J161" s="77" t="s">
        <v>27</v>
      </c>
      <c r="K161" s="111" t="s">
        <v>351</v>
      </c>
      <c r="L161" s="7">
        <v>3248</v>
      </c>
      <c r="M161" s="7">
        <v>11</v>
      </c>
      <c r="N161" s="7">
        <v>7</v>
      </c>
      <c r="O161" s="7">
        <v>0</v>
      </c>
      <c r="P161" s="7">
        <v>1</v>
      </c>
      <c r="Q161" s="69">
        <f t="shared" si="27"/>
        <v>3.3866995073891628E-3</v>
      </c>
      <c r="R161" s="69">
        <f t="shared" si="27"/>
        <v>0.63636363636363635</v>
      </c>
      <c r="S161" s="7"/>
      <c r="T161" s="7"/>
      <c r="U161" s="7"/>
      <c r="V161" s="7"/>
      <c r="W161" s="7"/>
    </row>
    <row r="162" spans="1:27">
      <c r="A162" s="6">
        <v>46144</v>
      </c>
      <c r="B162" s="7" t="s">
        <v>577</v>
      </c>
      <c r="C162" s="62">
        <v>0.80208333333333337</v>
      </c>
      <c r="D162" s="88" t="s">
        <v>1396</v>
      </c>
      <c r="E162" s="88" t="s">
        <v>27</v>
      </c>
      <c r="F162" s="88" t="s">
        <v>582</v>
      </c>
      <c r="G162" s="77" t="s">
        <v>85</v>
      </c>
      <c r="H162" s="7" t="s">
        <v>210</v>
      </c>
      <c r="I162" s="14"/>
      <c r="J162" s="77" t="s">
        <v>27</v>
      </c>
      <c r="K162" s="173" t="s">
        <v>210</v>
      </c>
      <c r="L162" s="7">
        <v>1750</v>
      </c>
      <c r="M162" s="7">
        <v>517</v>
      </c>
      <c r="N162" s="7">
        <v>382</v>
      </c>
      <c r="O162" s="7">
        <v>0</v>
      </c>
      <c r="P162" s="7">
        <v>0</v>
      </c>
      <c r="Q162" s="69">
        <f t="shared" si="27"/>
        <v>0.29542857142857143</v>
      </c>
      <c r="R162" s="69">
        <f t="shared" si="27"/>
        <v>0.73887814313346223</v>
      </c>
      <c r="S162" s="7"/>
      <c r="T162" s="7"/>
      <c r="U162" s="7"/>
      <c r="V162" s="7"/>
      <c r="W162" s="7"/>
    </row>
    <row r="163" spans="1:27" ht="16.8">
      <c r="A163" s="6">
        <v>46144</v>
      </c>
      <c r="B163" s="7" t="s">
        <v>577</v>
      </c>
      <c r="C163" s="62">
        <v>0.83333333333333337</v>
      </c>
      <c r="D163" s="77" t="s">
        <v>1397</v>
      </c>
      <c r="E163" s="7" t="s">
        <v>27</v>
      </c>
      <c r="F163" s="77" t="s">
        <v>375</v>
      </c>
      <c r="G163" s="77" t="s">
        <v>85</v>
      </c>
      <c r="H163" s="52" t="s">
        <v>157</v>
      </c>
      <c r="I163" s="14"/>
      <c r="J163" s="77" t="s">
        <v>27</v>
      </c>
      <c r="K163" s="174" t="s">
        <v>157</v>
      </c>
      <c r="L163" s="7">
        <v>2051</v>
      </c>
      <c r="M163" s="7">
        <v>72</v>
      </c>
      <c r="N163" s="7">
        <v>12</v>
      </c>
      <c r="O163" s="7">
        <v>1</v>
      </c>
      <c r="P163" s="7">
        <v>0</v>
      </c>
      <c r="Q163" s="69">
        <f t="shared" si="27"/>
        <v>3.5104826913700635E-2</v>
      </c>
      <c r="R163" s="69">
        <f t="shared" si="27"/>
        <v>0.16666666666666666</v>
      </c>
      <c r="S163" s="7"/>
      <c r="T163" s="7"/>
      <c r="U163" s="7"/>
      <c r="V163" s="7"/>
      <c r="W163" s="7"/>
    </row>
    <row r="164" spans="1:27" ht="16.8">
      <c r="A164" s="6">
        <v>46144</v>
      </c>
      <c r="B164" s="7" t="s">
        <v>577</v>
      </c>
      <c r="C164" s="62">
        <v>0.99652777777777779</v>
      </c>
      <c r="D164" s="77" t="s">
        <v>1398</v>
      </c>
      <c r="E164" s="77" t="s">
        <v>27</v>
      </c>
      <c r="F164" s="77" t="s">
        <v>428</v>
      </c>
      <c r="G164" s="7" t="s">
        <v>85</v>
      </c>
      <c r="H164" s="7" t="s">
        <v>149</v>
      </c>
      <c r="I164" s="113"/>
      <c r="J164" s="77" t="s">
        <v>27</v>
      </c>
      <c r="K164" s="174" t="s">
        <v>157</v>
      </c>
      <c r="L164" s="7">
        <v>1107</v>
      </c>
      <c r="M164" s="7">
        <v>107</v>
      </c>
      <c r="N164" s="7">
        <v>18</v>
      </c>
      <c r="O164" s="7">
        <v>2</v>
      </c>
      <c r="P164" s="7">
        <v>0</v>
      </c>
      <c r="Q164" s="69">
        <f t="shared" si="27"/>
        <v>9.66576332429991E-2</v>
      </c>
      <c r="R164" s="69">
        <f t="shared" si="27"/>
        <v>0.16822429906542055</v>
      </c>
      <c r="S164" s="7"/>
      <c r="T164" s="7"/>
      <c r="U164" s="7"/>
      <c r="V164" s="7"/>
      <c r="W164" s="7"/>
    </row>
    <row r="165" spans="1:27" ht="6.6" customHeight="1">
      <c r="A165" s="22"/>
      <c r="B165" s="23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5"/>
      <c r="R165" s="25"/>
      <c r="S165" s="24"/>
      <c r="T165" s="24"/>
      <c r="U165" s="24"/>
      <c r="V165" s="25"/>
      <c r="W165" s="26"/>
    </row>
    <row r="166" spans="1:27">
      <c r="A166" s="6">
        <v>46145</v>
      </c>
      <c r="B166" s="7" t="s">
        <v>578</v>
      </c>
      <c r="C166" s="18" t="s">
        <v>596</v>
      </c>
      <c r="D166" s="18" t="s">
        <v>595</v>
      </c>
      <c r="E166" s="18" t="s">
        <v>27</v>
      </c>
      <c r="F166" s="18" t="s">
        <v>303</v>
      </c>
      <c r="G166" s="18" t="s">
        <v>85</v>
      </c>
      <c r="H166" s="18" t="s">
        <v>186</v>
      </c>
      <c r="I166" s="47"/>
      <c r="J166" s="18" t="s">
        <v>27</v>
      </c>
      <c r="K166" s="172" t="s">
        <v>186</v>
      </c>
      <c r="L166" s="7">
        <v>1838</v>
      </c>
      <c r="M166" s="7">
        <v>9</v>
      </c>
      <c r="N166" s="7">
        <v>1</v>
      </c>
      <c r="O166" s="7">
        <v>0</v>
      </c>
      <c r="P166" s="7">
        <v>4</v>
      </c>
      <c r="Q166" s="69">
        <f t="shared" ref="Q166:R169" si="28">M166/L166</f>
        <v>4.8966267682263327E-3</v>
      </c>
      <c r="R166" s="69">
        <f t="shared" si="28"/>
        <v>0.1111111111111111</v>
      </c>
      <c r="S166" s="7"/>
      <c r="T166" s="7"/>
      <c r="U166" s="7"/>
      <c r="V166" s="7"/>
      <c r="W166" s="7"/>
      <c r="Y166" s="7"/>
      <c r="Z166" s="7"/>
      <c r="AA166" s="7"/>
    </row>
    <row r="167" spans="1:27">
      <c r="A167" s="6">
        <v>46145</v>
      </c>
      <c r="B167" s="7" t="s">
        <v>578</v>
      </c>
      <c r="C167" s="18" t="s">
        <v>597</v>
      </c>
      <c r="D167" s="18" t="s">
        <v>594</v>
      </c>
      <c r="E167" s="18" t="s">
        <v>27</v>
      </c>
      <c r="F167" s="18" t="s">
        <v>593</v>
      </c>
      <c r="G167" s="18" t="s">
        <v>85</v>
      </c>
      <c r="H167" s="18"/>
      <c r="I167" s="29"/>
      <c r="J167" s="18" t="s">
        <v>27</v>
      </c>
      <c r="K167" s="172" t="s">
        <v>186</v>
      </c>
      <c r="L167" s="7"/>
      <c r="M167" s="7"/>
      <c r="N167" s="7"/>
      <c r="O167" s="7"/>
      <c r="P167" s="7"/>
      <c r="Q167" s="69" t="e">
        <f t="shared" si="28"/>
        <v>#DIV/0!</v>
      </c>
      <c r="R167" s="69" t="e">
        <f t="shared" si="28"/>
        <v>#DIV/0!</v>
      </c>
      <c r="S167" s="7"/>
      <c r="T167" s="7"/>
      <c r="U167" s="7"/>
      <c r="V167" s="7"/>
      <c r="W167" s="7"/>
      <c r="Y167" s="7"/>
      <c r="Z167" s="7"/>
      <c r="AA167" s="7"/>
    </row>
    <row r="168" spans="1:27">
      <c r="A168" s="6">
        <v>46145</v>
      </c>
      <c r="B168" s="7" t="s">
        <v>578</v>
      </c>
      <c r="C168" s="18" t="s">
        <v>347</v>
      </c>
      <c r="D168" s="18" t="s">
        <v>345</v>
      </c>
      <c r="E168" s="18" t="s">
        <v>27</v>
      </c>
      <c r="F168" s="18" t="s">
        <v>346</v>
      </c>
      <c r="G168" s="18" t="s">
        <v>85</v>
      </c>
      <c r="H168" s="18" t="s">
        <v>313</v>
      </c>
      <c r="I168" s="47"/>
      <c r="J168" s="18" t="s">
        <v>27</v>
      </c>
      <c r="K168" s="172" t="s">
        <v>313</v>
      </c>
      <c r="L168" s="7"/>
      <c r="M168" s="7"/>
      <c r="N168" s="7"/>
      <c r="O168" s="7"/>
      <c r="P168" s="7"/>
      <c r="Q168" s="69" t="e">
        <f t="shared" si="28"/>
        <v>#DIV/0!</v>
      </c>
      <c r="R168" s="69" t="e">
        <f t="shared" si="28"/>
        <v>#DIV/0!</v>
      </c>
      <c r="S168" s="7"/>
      <c r="T168" s="7"/>
      <c r="U168" s="7"/>
      <c r="V168" s="7"/>
      <c r="W168" s="7"/>
      <c r="Y168" s="7"/>
      <c r="Z168" s="7"/>
      <c r="AA168" s="7"/>
    </row>
    <row r="169" spans="1:27">
      <c r="A169" s="6">
        <v>46145</v>
      </c>
      <c r="B169" s="7" t="s">
        <v>578</v>
      </c>
      <c r="C169" s="18" t="s">
        <v>308</v>
      </c>
      <c r="D169" s="18" t="s">
        <v>503</v>
      </c>
      <c r="E169" s="18" t="s">
        <v>27</v>
      </c>
      <c r="F169" s="18" t="s">
        <v>502</v>
      </c>
      <c r="G169" s="18" t="s">
        <v>85</v>
      </c>
      <c r="H169" s="18" t="s">
        <v>106</v>
      </c>
      <c r="I169" s="47"/>
      <c r="J169" s="18" t="s">
        <v>27</v>
      </c>
      <c r="K169" s="172" t="s">
        <v>106</v>
      </c>
      <c r="L169" s="7">
        <v>898</v>
      </c>
      <c r="M169" s="7">
        <v>16</v>
      </c>
      <c r="N169" s="7">
        <v>6</v>
      </c>
      <c r="O169" s="7">
        <v>0</v>
      </c>
      <c r="P169" s="7">
        <v>2</v>
      </c>
      <c r="Q169" s="69">
        <f t="shared" si="28"/>
        <v>1.7817371937639197E-2</v>
      </c>
      <c r="R169" s="69">
        <f t="shared" si="28"/>
        <v>0.375</v>
      </c>
      <c r="S169" s="7"/>
      <c r="T169" s="7"/>
      <c r="U169" s="7"/>
      <c r="V169" s="7"/>
      <c r="W169" s="7"/>
      <c r="Y169" s="7"/>
      <c r="Z169" s="7"/>
      <c r="AA169" s="7"/>
    </row>
    <row r="170" spans="1:27">
      <c r="A170" s="6">
        <v>46145</v>
      </c>
      <c r="B170" s="7" t="s">
        <v>578</v>
      </c>
      <c r="C170" s="18" t="s">
        <v>598</v>
      </c>
      <c r="D170" s="18" t="s">
        <v>594</v>
      </c>
      <c r="E170" s="18" t="s">
        <v>27</v>
      </c>
      <c r="F170" s="18" t="s">
        <v>593</v>
      </c>
      <c r="G170" s="18" t="s">
        <v>85</v>
      </c>
      <c r="H170" s="18"/>
      <c r="I170" s="29"/>
      <c r="J170" s="18" t="s">
        <v>27</v>
      </c>
      <c r="K170" s="172" t="s">
        <v>106</v>
      </c>
      <c r="L170" s="7"/>
      <c r="M170" s="7"/>
      <c r="N170" s="7"/>
      <c r="O170" s="7"/>
      <c r="P170" s="7"/>
      <c r="Q170" s="69">
        <f t="shared" ref="Q170:R170" si="29">M169/L169</f>
        <v>1.7817371937639197E-2</v>
      </c>
      <c r="R170" s="69">
        <f t="shared" si="29"/>
        <v>0.375</v>
      </c>
      <c r="S170" s="7"/>
      <c r="T170" s="7"/>
      <c r="U170" s="7"/>
      <c r="V170" s="7"/>
      <c r="W170" s="7"/>
      <c r="Y170" s="7"/>
      <c r="Z170" s="7"/>
      <c r="AA170" s="7"/>
    </row>
    <row r="171" spans="1:27">
      <c r="A171" s="6">
        <v>46145</v>
      </c>
      <c r="B171" s="7" t="s">
        <v>578</v>
      </c>
      <c r="C171" s="181"/>
      <c r="D171" s="18"/>
      <c r="E171" s="18"/>
      <c r="F171" s="181"/>
      <c r="G171" s="181"/>
      <c r="H171" s="18" t="s">
        <v>1134</v>
      </c>
      <c r="I171" s="182" t="s">
        <v>1132</v>
      </c>
      <c r="J171" s="18"/>
      <c r="K171" s="181"/>
      <c r="L171" s="7"/>
      <c r="M171" s="7"/>
      <c r="N171" s="7"/>
      <c r="O171" s="7"/>
      <c r="P171" s="7"/>
      <c r="Q171" s="69" t="e">
        <f>M170/L170</f>
        <v>#DIV/0!</v>
      </c>
      <c r="R171" s="69" t="e">
        <f>N170/M170</f>
        <v>#DIV/0!</v>
      </c>
      <c r="S171" s="7"/>
      <c r="T171" s="7"/>
      <c r="U171" s="7"/>
      <c r="V171" s="7"/>
      <c r="W171" s="7"/>
      <c r="Y171" s="7"/>
      <c r="Z171" s="7"/>
      <c r="AA171" s="7"/>
    </row>
    <row r="172" spans="1:27">
      <c r="A172" s="6">
        <v>46145</v>
      </c>
      <c r="B172" s="7" t="s">
        <v>578</v>
      </c>
      <c r="C172" s="181"/>
      <c r="D172" s="18"/>
      <c r="E172" s="18"/>
      <c r="F172" s="181"/>
      <c r="G172" s="181"/>
      <c r="H172" s="18" t="s">
        <v>1135</v>
      </c>
      <c r="I172" s="182" t="s">
        <v>1133</v>
      </c>
      <c r="J172" s="18"/>
      <c r="K172" s="181"/>
      <c r="L172" s="7"/>
      <c r="M172" s="7"/>
      <c r="N172" s="7"/>
      <c r="O172" s="7"/>
      <c r="P172" s="7"/>
      <c r="Q172" s="69" t="e">
        <f t="shared" ref="Q172:R172" si="30">M171/L171</f>
        <v>#DIV/0!</v>
      </c>
      <c r="R172" s="69" t="e">
        <f t="shared" si="30"/>
        <v>#DIV/0!</v>
      </c>
      <c r="S172" s="7"/>
      <c r="T172" s="7"/>
      <c r="U172" s="7"/>
      <c r="V172" s="7"/>
      <c r="W172" s="7"/>
    </row>
    <row r="173" spans="1:27" ht="18" customHeight="1">
      <c r="A173" s="6">
        <v>46145</v>
      </c>
      <c r="B173" s="7" t="s">
        <v>578</v>
      </c>
      <c r="C173" s="91"/>
      <c r="D173" s="77" t="s">
        <v>1399</v>
      </c>
      <c r="E173" s="77" t="s">
        <v>27</v>
      </c>
      <c r="F173" s="97" t="s">
        <v>724</v>
      </c>
      <c r="G173" s="97"/>
      <c r="H173" s="77" t="s">
        <v>683</v>
      </c>
      <c r="I173" s="113"/>
      <c r="J173" s="77" t="s">
        <v>27</v>
      </c>
      <c r="K173" s="93" t="s">
        <v>683</v>
      </c>
      <c r="L173" s="7">
        <v>1499</v>
      </c>
      <c r="M173" s="7">
        <v>1456</v>
      </c>
      <c r="N173" s="7">
        <v>1077</v>
      </c>
      <c r="O173" s="7">
        <v>0</v>
      </c>
      <c r="P173" s="7">
        <v>1</v>
      </c>
      <c r="Q173" s="69">
        <f t="shared" ref="Q173:R186" si="31">M173/L173</f>
        <v>0.97131420947298197</v>
      </c>
      <c r="R173" s="69">
        <f t="shared" si="31"/>
        <v>0.73969780219780223</v>
      </c>
      <c r="S173" s="7"/>
      <c r="T173" s="7"/>
      <c r="U173" s="7"/>
      <c r="V173" s="7"/>
      <c r="W173" s="7"/>
    </row>
    <row r="174" spans="1:27" ht="18" customHeight="1">
      <c r="A174" s="6">
        <v>46145</v>
      </c>
      <c r="B174" s="7" t="s">
        <v>578</v>
      </c>
      <c r="C174" s="91"/>
      <c r="D174" s="77" t="s">
        <v>1400</v>
      </c>
      <c r="E174" s="77" t="s">
        <v>27</v>
      </c>
      <c r="F174" s="97" t="s">
        <v>724</v>
      </c>
      <c r="G174" s="97"/>
      <c r="H174" s="77" t="s">
        <v>683</v>
      </c>
      <c r="I174" s="113"/>
      <c r="J174" s="77" t="s">
        <v>27</v>
      </c>
      <c r="K174" s="93" t="s">
        <v>683</v>
      </c>
      <c r="L174" s="7">
        <v>1499</v>
      </c>
      <c r="M174" s="7">
        <v>1456</v>
      </c>
      <c r="N174" s="7">
        <v>1011</v>
      </c>
      <c r="O174" s="7">
        <v>0</v>
      </c>
      <c r="P174" s="7">
        <v>1</v>
      </c>
      <c r="Q174" s="69">
        <f t="shared" si="31"/>
        <v>0.97131420947298197</v>
      </c>
      <c r="R174" s="69">
        <f t="shared" si="31"/>
        <v>0.69436813186813184</v>
      </c>
      <c r="S174" s="7"/>
      <c r="T174" s="7"/>
      <c r="U174" s="7"/>
      <c r="V174" s="7"/>
      <c r="W174" s="7"/>
    </row>
    <row r="175" spans="1:27" ht="18" customHeight="1">
      <c r="A175" s="6">
        <v>46145</v>
      </c>
      <c r="B175" s="7" t="s">
        <v>578</v>
      </c>
      <c r="C175" s="91"/>
      <c r="D175" s="77" t="s">
        <v>1401</v>
      </c>
      <c r="E175" s="77" t="s">
        <v>27</v>
      </c>
      <c r="F175" s="97" t="s">
        <v>724</v>
      </c>
      <c r="G175" s="97"/>
      <c r="H175" s="77" t="s">
        <v>946</v>
      </c>
      <c r="I175" s="113"/>
      <c r="J175" s="77" t="s">
        <v>27</v>
      </c>
      <c r="K175" s="93" t="s">
        <v>946</v>
      </c>
      <c r="L175" s="7">
        <v>397</v>
      </c>
      <c r="M175" s="7">
        <v>346</v>
      </c>
      <c r="N175" s="7">
        <v>255</v>
      </c>
      <c r="O175" s="7">
        <v>0</v>
      </c>
      <c r="P175" s="7">
        <v>0</v>
      </c>
      <c r="Q175" s="69">
        <f t="shared" si="31"/>
        <v>0.87153652392947101</v>
      </c>
      <c r="R175" s="69">
        <f t="shared" si="31"/>
        <v>0.73699421965317924</v>
      </c>
      <c r="S175" s="7"/>
      <c r="T175" s="7"/>
      <c r="U175" s="7"/>
      <c r="V175" s="7"/>
      <c r="W175" s="7"/>
    </row>
    <row r="176" spans="1:27" ht="18" customHeight="1">
      <c r="A176" s="6">
        <v>46145</v>
      </c>
      <c r="B176" s="7" t="s">
        <v>578</v>
      </c>
      <c r="C176" s="91"/>
      <c r="D176" s="77" t="s">
        <v>1402</v>
      </c>
      <c r="E176" s="77" t="s">
        <v>27</v>
      </c>
      <c r="F176" s="97" t="s">
        <v>724</v>
      </c>
      <c r="G176" s="97"/>
      <c r="H176" s="77" t="s">
        <v>946</v>
      </c>
      <c r="I176" s="113"/>
      <c r="J176" s="77" t="s">
        <v>27</v>
      </c>
      <c r="K176" s="93" t="s">
        <v>946</v>
      </c>
      <c r="L176" s="7">
        <v>397</v>
      </c>
      <c r="M176" s="7">
        <v>344</v>
      </c>
      <c r="N176" s="7">
        <v>264</v>
      </c>
      <c r="O176" s="7">
        <v>0</v>
      </c>
      <c r="P176" s="7">
        <v>0</v>
      </c>
      <c r="Q176" s="69">
        <f t="shared" si="31"/>
        <v>0.86649874055415621</v>
      </c>
      <c r="R176" s="69">
        <f t="shared" si="31"/>
        <v>0.76744186046511631</v>
      </c>
      <c r="S176" s="7"/>
      <c r="T176" s="7"/>
      <c r="U176" s="7"/>
      <c r="V176" s="7"/>
      <c r="W176" s="7"/>
    </row>
    <row r="177" spans="1:27" ht="18" customHeight="1">
      <c r="A177" s="6">
        <v>46145</v>
      </c>
      <c r="B177" s="7" t="s">
        <v>578</v>
      </c>
      <c r="C177" s="91"/>
      <c r="D177" s="77" t="s">
        <v>1403</v>
      </c>
      <c r="E177" s="77" t="s">
        <v>27</v>
      </c>
      <c r="F177" s="97"/>
      <c r="G177" s="97"/>
      <c r="H177" s="77" t="s">
        <v>946</v>
      </c>
      <c r="I177" s="113"/>
      <c r="J177" s="77" t="s">
        <v>27</v>
      </c>
      <c r="K177" s="93" t="s">
        <v>946</v>
      </c>
      <c r="L177" s="7">
        <v>397</v>
      </c>
      <c r="M177" s="7">
        <v>345</v>
      </c>
      <c r="N177" s="7">
        <v>250</v>
      </c>
      <c r="O177" s="7">
        <v>0</v>
      </c>
      <c r="P177" s="7">
        <v>0</v>
      </c>
      <c r="Q177" s="69">
        <f t="shared" si="31"/>
        <v>0.86901763224181361</v>
      </c>
      <c r="R177" s="69">
        <f t="shared" si="31"/>
        <v>0.72463768115942029</v>
      </c>
      <c r="S177" s="7"/>
      <c r="T177" s="7"/>
      <c r="U177" s="7"/>
      <c r="V177" s="7"/>
      <c r="W177" s="7"/>
    </row>
    <row r="178" spans="1:27" ht="18" customHeight="1">
      <c r="A178" s="6">
        <v>46145</v>
      </c>
      <c r="B178" s="7" t="s">
        <v>578</v>
      </c>
      <c r="C178" s="91"/>
      <c r="D178" s="77" t="s">
        <v>1404</v>
      </c>
      <c r="E178" s="77" t="s">
        <v>27</v>
      </c>
      <c r="F178" s="97"/>
      <c r="G178" s="97"/>
      <c r="H178" s="77" t="s">
        <v>946</v>
      </c>
      <c r="I178" s="113"/>
      <c r="J178" s="77" t="s">
        <v>27</v>
      </c>
      <c r="K178" s="93" t="s">
        <v>946</v>
      </c>
      <c r="L178" s="7">
        <v>397</v>
      </c>
      <c r="M178" s="7">
        <v>347</v>
      </c>
      <c r="N178" s="7">
        <v>264</v>
      </c>
      <c r="O178" s="7">
        <v>0</v>
      </c>
      <c r="P178" s="7">
        <v>0</v>
      </c>
      <c r="Q178" s="69">
        <f t="shared" si="31"/>
        <v>0.87405541561712852</v>
      </c>
      <c r="R178" s="69">
        <f t="shared" si="31"/>
        <v>0.76080691642651299</v>
      </c>
      <c r="S178" s="7"/>
      <c r="T178" s="7"/>
      <c r="U178" s="7"/>
      <c r="V178" s="7"/>
      <c r="W178" s="7"/>
    </row>
    <row r="179" spans="1:27" ht="18" customHeight="1">
      <c r="A179" s="6">
        <v>46145</v>
      </c>
      <c r="B179" s="7" t="s">
        <v>578</v>
      </c>
      <c r="C179" s="91"/>
      <c r="D179" s="77" t="s">
        <v>1405</v>
      </c>
      <c r="E179" s="77" t="s">
        <v>27</v>
      </c>
      <c r="F179" s="97"/>
      <c r="G179" s="97"/>
      <c r="H179" s="77" t="s">
        <v>946</v>
      </c>
      <c r="I179" s="113"/>
      <c r="J179" s="77" t="s">
        <v>27</v>
      </c>
      <c r="K179" s="93" t="s">
        <v>946</v>
      </c>
      <c r="L179" s="7">
        <v>397</v>
      </c>
      <c r="M179" s="7">
        <v>344</v>
      </c>
      <c r="N179" s="7">
        <v>255</v>
      </c>
      <c r="O179" s="7">
        <v>0</v>
      </c>
      <c r="P179" s="7">
        <v>0</v>
      </c>
      <c r="Q179" s="69">
        <f t="shared" si="31"/>
        <v>0.86649874055415621</v>
      </c>
      <c r="R179" s="69">
        <f t="shared" si="31"/>
        <v>0.74127906976744184</v>
      </c>
      <c r="S179" s="7"/>
      <c r="T179" s="7"/>
      <c r="U179" s="7"/>
      <c r="V179" s="7"/>
      <c r="W179" s="7"/>
    </row>
    <row r="180" spans="1:27">
      <c r="A180" s="6">
        <v>46145</v>
      </c>
      <c r="B180" s="7" t="s">
        <v>578</v>
      </c>
      <c r="C180" s="62">
        <v>0.75</v>
      </c>
      <c r="D180" s="77" t="s">
        <v>1406</v>
      </c>
      <c r="E180" s="77" t="s">
        <v>27</v>
      </c>
      <c r="F180" s="77" t="s">
        <v>371</v>
      </c>
      <c r="G180" s="77" t="s">
        <v>85</v>
      </c>
      <c r="H180" s="77" t="s">
        <v>348</v>
      </c>
      <c r="I180" s="14"/>
      <c r="J180" s="77" t="s">
        <v>27</v>
      </c>
      <c r="K180" s="111" t="s">
        <v>348</v>
      </c>
      <c r="L180" s="7">
        <v>3065</v>
      </c>
      <c r="M180" s="7">
        <v>17</v>
      </c>
      <c r="N180" s="7">
        <v>2</v>
      </c>
      <c r="O180" s="7">
        <v>1</v>
      </c>
      <c r="P180" s="7">
        <v>2</v>
      </c>
      <c r="Q180" s="69">
        <f t="shared" si="31"/>
        <v>5.5464926590538333E-3</v>
      </c>
      <c r="R180" s="69">
        <f t="shared" si="31"/>
        <v>0.11764705882352941</v>
      </c>
      <c r="S180" s="7"/>
      <c r="T180" s="7"/>
      <c r="U180" s="7"/>
      <c r="V180" s="7"/>
      <c r="W180" s="7"/>
    </row>
    <row r="181" spans="1:27">
      <c r="A181" s="6">
        <v>46145</v>
      </c>
      <c r="B181" s="7" t="s">
        <v>578</v>
      </c>
      <c r="C181" s="62">
        <v>0.76041666666666663</v>
      </c>
      <c r="D181" s="77" t="s">
        <v>1407</v>
      </c>
      <c r="E181" s="77" t="s">
        <v>27</v>
      </c>
      <c r="F181" s="77" t="s">
        <v>373</v>
      </c>
      <c r="G181" s="77" t="s">
        <v>85</v>
      </c>
      <c r="H181" s="77" t="s">
        <v>349</v>
      </c>
      <c r="I181" s="14"/>
      <c r="J181" s="77" t="s">
        <v>27</v>
      </c>
      <c r="K181" s="111" t="s">
        <v>349</v>
      </c>
      <c r="L181" s="7">
        <v>1206</v>
      </c>
      <c r="M181" s="7">
        <v>6</v>
      </c>
      <c r="N181" s="7">
        <v>3</v>
      </c>
      <c r="O181" s="7">
        <v>0</v>
      </c>
      <c r="P181" s="7">
        <v>1</v>
      </c>
      <c r="Q181" s="69">
        <f t="shared" si="31"/>
        <v>4.9751243781094526E-3</v>
      </c>
      <c r="R181" s="69">
        <f t="shared" si="31"/>
        <v>0.5</v>
      </c>
      <c r="S181" s="7"/>
      <c r="T181" s="7"/>
      <c r="U181" s="7"/>
      <c r="V181" s="7"/>
      <c r="W181" s="7"/>
    </row>
    <row r="182" spans="1:27">
      <c r="A182" s="6">
        <v>46145</v>
      </c>
      <c r="B182" s="7" t="s">
        <v>578</v>
      </c>
      <c r="C182" s="62">
        <v>0.70833333333333337</v>
      </c>
      <c r="D182" s="77" t="s">
        <v>1408</v>
      </c>
      <c r="E182" s="77" t="s">
        <v>27</v>
      </c>
      <c r="F182" s="77" t="s">
        <v>375</v>
      </c>
      <c r="G182" s="77" t="s">
        <v>85</v>
      </c>
      <c r="H182" s="77" t="s">
        <v>350</v>
      </c>
      <c r="I182" s="14"/>
      <c r="J182" s="77" t="s">
        <v>27</v>
      </c>
      <c r="K182" s="111" t="s">
        <v>350</v>
      </c>
      <c r="L182" s="7">
        <v>5531</v>
      </c>
      <c r="M182" s="7">
        <v>22</v>
      </c>
      <c r="N182" s="7">
        <v>8</v>
      </c>
      <c r="O182" s="7">
        <v>1</v>
      </c>
      <c r="P182" s="7">
        <v>1</v>
      </c>
      <c r="Q182" s="69">
        <f t="shared" si="31"/>
        <v>3.9775809076116435E-3</v>
      </c>
      <c r="R182" s="69">
        <f t="shared" si="31"/>
        <v>0.36363636363636365</v>
      </c>
      <c r="S182" s="7"/>
      <c r="T182" s="7"/>
      <c r="U182" s="7"/>
      <c r="V182" s="7"/>
      <c r="W182" s="7"/>
    </row>
    <row r="183" spans="1:27">
      <c r="A183" s="6">
        <v>46145</v>
      </c>
      <c r="B183" s="7" t="s">
        <v>578</v>
      </c>
      <c r="C183" s="62">
        <v>0.78125</v>
      </c>
      <c r="D183" s="77" t="s">
        <v>1409</v>
      </c>
      <c r="E183" s="77" t="s">
        <v>27</v>
      </c>
      <c r="F183" s="77" t="s">
        <v>377</v>
      </c>
      <c r="G183" s="77" t="s">
        <v>85</v>
      </c>
      <c r="H183" s="77" t="s">
        <v>351</v>
      </c>
      <c r="I183" s="14"/>
      <c r="J183" s="77" t="s">
        <v>27</v>
      </c>
      <c r="K183" s="111" t="s">
        <v>351</v>
      </c>
      <c r="L183" s="7">
        <v>3245</v>
      </c>
      <c r="M183" s="7">
        <v>10</v>
      </c>
      <c r="N183" s="7">
        <v>3</v>
      </c>
      <c r="O183" s="7">
        <v>0</v>
      </c>
      <c r="P183" s="7">
        <v>0</v>
      </c>
      <c r="Q183" s="69">
        <f t="shared" si="31"/>
        <v>3.0816640986132513E-3</v>
      </c>
      <c r="R183" s="69">
        <f t="shared" si="31"/>
        <v>0.3</v>
      </c>
      <c r="S183" s="7"/>
      <c r="T183" s="7"/>
      <c r="U183" s="7"/>
      <c r="V183" s="7"/>
      <c r="W183" s="7"/>
    </row>
    <row r="184" spans="1:27">
      <c r="A184" s="6">
        <v>46145</v>
      </c>
      <c r="B184" s="7" t="s">
        <v>578</v>
      </c>
      <c r="C184" s="62">
        <v>0.80208333333333337</v>
      </c>
      <c r="D184" s="88" t="s">
        <v>1410</v>
      </c>
      <c r="E184" s="88" t="s">
        <v>27</v>
      </c>
      <c r="F184" s="88" t="s">
        <v>582</v>
      </c>
      <c r="G184" s="77" t="s">
        <v>85</v>
      </c>
      <c r="H184" s="7" t="s">
        <v>210</v>
      </c>
      <c r="I184" s="14"/>
      <c r="J184" s="77" t="s">
        <v>27</v>
      </c>
      <c r="K184" s="173" t="s">
        <v>210</v>
      </c>
      <c r="L184" s="7">
        <v>1794</v>
      </c>
      <c r="M184" s="7">
        <v>503</v>
      </c>
      <c r="N184" s="7">
        <v>366</v>
      </c>
      <c r="O184" s="7">
        <v>0</v>
      </c>
      <c r="P184" s="7">
        <v>0</v>
      </c>
      <c r="Q184" s="69">
        <f t="shared" si="31"/>
        <v>0.28037904124860646</v>
      </c>
      <c r="R184" s="69">
        <f t="shared" si="31"/>
        <v>0.72763419483101388</v>
      </c>
      <c r="S184" s="7"/>
      <c r="T184" s="7"/>
      <c r="U184" s="7"/>
      <c r="V184" s="7"/>
      <c r="W184" s="7"/>
    </row>
    <row r="185" spans="1:27" ht="16.8">
      <c r="A185" s="6">
        <v>46145</v>
      </c>
      <c r="B185" s="7" t="s">
        <v>578</v>
      </c>
      <c r="C185" s="62">
        <v>0.83333333333333337</v>
      </c>
      <c r="D185" s="77" t="s">
        <v>1411</v>
      </c>
      <c r="E185" s="7" t="s">
        <v>27</v>
      </c>
      <c r="F185" s="77" t="s">
        <v>375</v>
      </c>
      <c r="G185" s="77" t="s">
        <v>85</v>
      </c>
      <c r="H185" s="52" t="s">
        <v>157</v>
      </c>
      <c r="I185" s="14"/>
      <c r="J185" s="77" t="s">
        <v>27</v>
      </c>
      <c r="K185" s="174" t="s">
        <v>157</v>
      </c>
      <c r="L185" s="7">
        <v>2327</v>
      </c>
      <c r="M185" s="7">
        <v>67</v>
      </c>
      <c r="N185" s="7">
        <v>5</v>
      </c>
      <c r="O185" s="7">
        <v>2</v>
      </c>
      <c r="P185" s="7">
        <v>1</v>
      </c>
      <c r="Q185" s="69">
        <f t="shared" si="31"/>
        <v>2.8792436613665665E-2</v>
      </c>
      <c r="R185" s="69">
        <f t="shared" si="31"/>
        <v>7.4626865671641784E-2</v>
      </c>
      <c r="S185" s="7"/>
      <c r="T185" s="7"/>
      <c r="U185" s="7"/>
      <c r="V185" s="7"/>
      <c r="W185" s="7"/>
    </row>
    <row r="186" spans="1:27" ht="16.8">
      <c r="A186" s="6">
        <v>46145</v>
      </c>
      <c r="B186" s="7" t="s">
        <v>578</v>
      </c>
      <c r="C186" s="62">
        <v>0.99652777777777779</v>
      </c>
      <c r="D186" s="77" t="s">
        <v>1412</v>
      </c>
      <c r="E186" s="77" t="s">
        <v>27</v>
      </c>
      <c r="F186" s="77" t="s">
        <v>377</v>
      </c>
      <c r="G186" s="7" t="s">
        <v>85</v>
      </c>
      <c r="H186" s="7" t="s">
        <v>149</v>
      </c>
      <c r="I186" s="113"/>
      <c r="J186" s="77" t="s">
        <v>27</v>
      </c>
      <c r="K186" s="174" t="s">
        <v>157</v>
      </c>
      <c r="L186" s="7">
        <v>1278</v>
      </c>
      <c r="M186" s="7">
        <v>354</v>
      </c>
      <c r="N186" s="7">
        <v>86</v>
      </c>
      <c r="O186" s="7">
        <v>5</v>
      </c>
      <c r="P186" s="7">
        <v>0</v>
      </c>
      <c r="Q186" s="69">
        <f t="shared" si="31"/>
        <v>0.27699530516431925</v>
      </c>
      <c r="R186" s="69">
        <f t="shared" si="31"/>
        <v>0.24293785310734464</v>
      </c>
      <c r="S186" s="7"/>
      <c r="T186" s="7"/>
      <c r="U186" s="7"/>
      <c r="V186" s="7"/>
      <c r="W186" s="7"/>
    </row>
    <row r="187" spans="1:27" ht="6.6" customHeight="1">
      <c r="A187" s="22"/>
      <c r="B187" s="23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5"/>
      <c r="R187" s="25"/>
      <c r="S187" s="24"/>
      <c r="T187" s="24"/>
      <c r="U187" s="24"/>
      <c r="V187" s="25"/>
      <c r="W187" s="26"/>
    </row>
    <row r="188" spans="1:27">
      <c r="A188" s="6">
        <v>46146</v>
      </c>
      <c r="B188" s="7" t="s">
        <v>301</v>
      </c>
      <c r="C188" s="18" t="s">
        <v>596</v>
      </c>
      <c r="D188" s="18" t="s">
        <v>595</v>
      </c>
      <c r="E188" s="18" t="s">
        <v>27</v>
      </c>
      <c r="F188" s="18" t="s">
        <v>303</v>
      </c>
      <c r="G188" s="18" t="s">
        <v>85</v>
      </c>
      <c r="H188" s="18" t="s">
        <v>186</v>
      </c>
      <c r="I188" s="47"/>
      <c r="J188" s="18" t="s">
        <v>27</v>
      </c>
      <c r="K188" s="172" t="s">
        <v>186</v>
      </c>
      <c r="L188" s="7"/>
      <c r="M188" s="7"/>
      <c r="N188" s="7"/>
      <c r="O188" s="7"/>
      <c r="P188" s="7"/>
      <c r="Q188" s="69" t="e">
        <f t="shared" ref="Q188:Q191" si="32">M188/L188</f>
        <v>#DIV/0!</v>
      </c>
      <c r="R188" s="69" t="e">
        <f t="shared" ref="R188:R191" si="33">N188/M188</f>
        <v>#DIV/0!</v>
      </c>
      <c r="S188" s="7"/>
      <c r="T188" s="7"/>
      <c r="U188" s="7"/>
      <c r="V188" s="7"/>
      <c r="W188" s="7"/>
      <c r="Y188" s="7"/>
      <c r="Z188" s="7"/>
      <c r="AA188" s="7"/>
    </row>
    <row r="189" spans="1:27">
      <c r="A189" s="6">
        <v>46146</v>
      </c>
      <c r="B189" s="7" t="s">
        <v>301</v>
      </c>
      <c r="C189" s="18" t="s">
        <v>597</v>
      </c>
      <c r="D189" s="18" t="s">
        <v>594</v>
      </c>
      <c r="E189" s="18" t="s">
        <v>27</v>
      </c>
      <c r="F189" s="18" t="s">
        <v>593</v>
      </c>
      <c r="G189" s="18" t="s">
        <v>85</v>
      </c>
      <c r="H189" s="18"/>
      <c r="I189" s="29"/>
      <c r="J189" s="18" t="s">
        <v>27</v>
      </c>
      <c r="K189" s="172" t="s">
        <v>186</v>
      </c>
      <c r="L189" s="7"/>
      <c r="M189" s="7"/>
      <c r="N189" s="7"/>
      <c r="O189" s="7"/>
      <c r="P189" s="7"/>
      <c r="Q189" s="69" t="e">
        <f t="shared" si="32"/>
        <v>#DIV/0!</v>
      </c>
      <c r="R189" s="69" t="e">
        <f t="shared" si="33"/>
        <v>#DIV/0!</v>
      </c>
      <c r="S189" s="7"/>
      <c r="T189" s="7"/>
      <c r="U189" s="7"/>
      <c r="V189" s="7"/>
      <c r="W189" s="7"/>
      <c r="Y189" s="7"/>
      <c r="Z189" s="7"/>
      <c r="AA189" s="7"/>
    </row>
    <row r="190" spans="1:27">
      <c r="A190" s="6">
        <v>46146</v>
      </c>
      <c r="B190" s="7" t="s">
        <v>301</v>
      </c>
      <c r="C190" s="18" t="s">
        <v>347</v>
      </c>
      <c r="D190" s="18" t="s">
        <v>345</v>
      </c>
      <c r="E190" s="18" t="s">
        <v>27</v>
      </c>
      <c r="F190" s="18" t="s">
        <v>346</v>
      </c>
      <c r="G190" s="18" t="s">
        <v>85</v>
      </c>
      <c r="H190" s="18" t="s">
        <v>313</v>
      </c>
      <c r="I190" s="188" t="s">
        <v>1496</v>
      </c>
      <c r="J190" s="18" t="s">
        <v>27</v>
      </c>
      <c r="K190" s="172" t="s">
        <v>313</v>
      </c>
      <c r="L190" s="7"/>
      <c r="M190" s="7"/>
      <c r="N190" s="7"/>
      <c r="O190" s="7"/>
      <c r="P190" s="7"/>
      <c r="Q190" s="69" t="e">
        <f t="shared" si="32"/>
        <v>#DIV/0!</v>
      </c>
      <c r="R190" s="69" t="e">
        <f t="shared" si="33"/>
        <v>#DIV/0!</v>
      </c>
      <c r="S190" s="7"/>
      <c r="T190" s="7"/>
      <c r="U190" s="7"/>
      <c r="V190" s="7"/>
      <c r="W190" s="7"/>
      <c r="Y190" s="7"/>
      <c r="Z190" s="7"/>
      <c r="AA190" s="7"/>
    </row>
    <row r="191" spans="1:27">
      <c r="A191" s="6">
        <v>46146</v>
      </c>
      <c r="B191" s="7" t="s">
        <v>301</v>
      </c>
      <c r="C191" s="18" t="s">
        <v>308</v>
      </c>
      <c r="D191" s="18" t="s">
        <v>503</v>
      </c>
      <c r="E191" s="18" t="s">
        <v>27</v>
      </c>
      <c r="F191" s="18" t="s">
        <v>502</v>
      </c>
      <c r="G191" s="18" t="s">
        <v>85</v>
      </c>
      <c r="H191" s="18" t="s">
        <v>106</v>
      </c>
      <c r="I191" s="47"/>
      <c r="J191" s="18" t="s">
        <v>27</v>
      </c>
      <c r="K191" s="172" t="s">
        <v>106</v>
      </c>
      <c r="L191" s="7"/>
      <c r="M191" s="7"/>
      <c r="N191" s="7"/>
      <c r="O191" s="7"/>
      <c r="P191" s="7"/>
      <c r="Q191" s="69" t="e">
        <f t="shared" si="32"/>
        <v>#DIV/0!</v>
      </c>
      <c r="R191" s="69" t="e">
        <f t="shared" si="33"/>
        <v>#DIV/0!</v>
      </c>
      <c r="S191" s="7"/>
      <c r="T191" s="7"/>
      <c r="U191" s="7"/>
      <c r="V191" s="7"/>
      <c r="W191" s="7"/>
      <c r="Y191" s="7"/>
      <c r="Z191" s="7"/>
      <c r="AA191" s="7"/>
    </row>
    <row r="192" spans="1:27">
      <c r="A192" s="6">
        <v>46146</v>
      </c>
      <c r="B192" s="7" t="s">
        <v>301</v>
      </c>
      <c r="C192" s="18" t="s">
        <v>598</v>
      </c>
      <c r="D192" s="18" t="s">
        <v>594</v>
      </c>
      <c r="E192" s="18" t="s">
        <v>27</v>
      </c>
      <c r="F192" s="18" t="s">
        <v>593</v>
      </c>
      <c r="G192" s="18" t="s">
        <v>85</v>
      </c>
      <c r="H192" s="18"/>
      <c r="I192" s="29"/>
      <c r="J192" s="18" t="s">
        <v>27</v>
      </c>
      <c r="K192" s="172" t="s">
        <v>106</v>
      </c>
      <c r="L192" s="7"/>
      <c r="M192" s="7"/>
      <c r="N192" s="7"/>
      <c r="O192" s="7"/>
      <c r="P192" s="7"/>
      <c r="Q192" s="69" t="e">
        <f t="shared" ref="Q192" si="34">M191/L191</f>
        <v>#DIV/0!</v>
      </c>
      <c r="R192" s="69" t="e">
        <f t="shared" ref="R192" si="35">N191/M191</f>
        <v>#DIV/0!</v>
      </c>
      <c r="S192" s="7"/>
      <c r="T192" s="7"/>
      <c r="U192" s="7"/>
      <c r="V192" s="7"/>
      <c r="W192" s="7"/>
      <c r="Y192" s="7"/>
      <c r="Z192" s="7"/>
      <c r="AA192" s="7"/>
    </row>
    <row r="193" spans="1:27">
      <c r="A193" s="6">
        <v>46146</v>
      </c>
      <c r="B193" s="7" t="s">
        <v>301</v>
      </c>
      <c r="C193" s="181" t="s">
        <v>599</v>
      </c>
      <c r="D193" s="18" t="s">
        <v>1497</v>
      </c>
      <c r="E193" s="18" t="s">
        <v>27</v>
      </c>
      <c r="F193" s="21" t="s">
        <v>1498</v>
      </c>
      <c r="G193" s="181"/>
      <c r="H193" s="18" t="s">
        <v>1134</v>
      </c>
      <c r="I193" s="182" t="s">
        <v>1132</v>
      </c>
      <c r="J193" s="18"/>
      <c r="K193" s="181"/>
      <c r="L193" s="7"/>
      <c r="M193" s="7"/>
      <c r="N193" s="7"/>
      <c r="O193" s="7"/>
      <c r="P193" s="7"/>
      <c r="Q193" s="69" t="e">
        <f>M192/L192</f>
        <v>#DIV/0!</v>
      </c>
      <c r="R193" s="69" t="e">
        <f>N192/M192</f>
        <v>#DIV/0!</v>
      </c>
      <c r="S193" s="7"/>
      <c r="T193" s="7"/>
      <c r="U193" s="7"/>
      <c r="V193" s="7"/>
      <c r="W193" s="7"/>
      <c r="Y193" s="7"/>
      <c r="Z193" s="7"/>
      <c r="AA193" s="7"/>
    </row>
    <row r="194" spans="1:27">
      <c r="A194" s="6">
        <v>46146</v>
      </c>
      <c r="B194" s="7" t="s">
        <v>301</v>
      </c>
      <c r="C194" s="181" t="s">
        <v>598</v>
      </c>
      <c r="D194" s="18" t="s">
        <v>1499</v>
      </c>
      <c r="E194" s="18" t="s">
        <v>27</v>
      </c>
      <c r="F194" s="21" t="s">
        <v>1498</v>
      </c>
      <c r="G194" s="181"/>
      <c r="H194" s="18" t="s">
        <v>1135</v>
      </c>
      <c r="I194" s="182" t="s">
        <v>1133</v>
      </c>
      <c r="J194" s="18"/>
      <c r="K194" s="181"/>
      <c r="L194" s="7"/>
      <c r="M194" s="7"/>
      <c r="N194" s="7"/>
      <c r="O194" s="7"/>
      <c r="P194" s="7"/>
      <c r="Q194" s="69" t="e">
        <f t="shared" ref="Q194" si="36">M193/L193</f>
        <v>#DIV/0!</v>
      </c>
      <c r="R194" s="69" t="e">
        <f t="shared" ref="R194" si="37">N193/M193</f>
        <v>#DIV/0!</v>
      </c>
      <c r="S194" s="7"/>
      <c r="T194" s="7"/>
      <c r="U194" s="7"/>
      <c r="V194" s="7"/>
      <c r="W194" s="7"/>
    </row>
    <row r="195" spans="1:27" ht="18" customHeight="1">
      <c r="A195" s="6">
        <v>46146</v>
      </c>
      <c r="B195" s="7" t="s">
        <v>301</v>
      </c>
      <c r="C195" s="91"/>
      <c r="D195" s="77" t="s">
        <v>1524</v>
      </c>
      <c r="E195" s="77" t="s">
        <v>27</v>
      </c>
      <c r="F195" s="97" t="s">
        <v>724</v>
      </c>
      <c r="G195" s="97"/>
      <c r="H195" s="77" t="s">
        <v>683</v>
      </c>
      <c r="I195" s="113"/>
      <c r="J195" s="77" t="s">
        <v>27</v>
      </c>
      <c r="K195" s="93" t="s">
        <v>683</v>
      </c>
      <c r="L195" s="7"/>
      <c r="M195" s="7"/>
      <c r="N195" s="7"/>
      <c r="O195" s="7"/>
      <c r="P195" s="7"/>
      <c r="Q195" s="69" t="e">
        <f t="shared" ref="Q195:Q207" si="38">M195/L195</f>
        <v>#DIV/0!</v>
      </c>
      <c r="R195" s="69" t="e">
        <f t="shared" ref="R195:R207" si="39">N195/M195</f>
        <v>#DIV/0!</v>
      </c>
      <c r="S195" s="7"/>
      <c r="T195" s="7"/>
      <c r="U195" s="7"/>
      <c r="V195" s="7"/>
      <c r="W195" s="7"/>
    </row>
    <row r="196" spans="1:27" ht="18" customHeight="1">
      <c r="A196" s="6">
        <v>46146</v>
      </c>
      <c r="B196" s="7" t="s">
        <v>301</v>
      </c>
      <c r="C196" s="91"/>
      <c r="D196" s="77" t="s">
        <v>1523</v>
      </c>
      <c r="E196" s="77" t="s">
        <v>27</v>
      </c>
      <c r="F196" s="97" t="s">
        <v>724</v>
      </c>
      <c r="G196" s="97"/>
      <c r="H196" s="77" t="s">
        <v>683</v>
      </c>
      <c r="I196" s="113"/>
      <c r="J196" s="77" t="s">
        <v>27</v>
      </c>
      <c r="K196" s="93" t="s">
        <v>683</v>
      </c>
      <c r="L196" s="7"/>
      <c r="M196" s="7"/>
      <c r="N196" s="7"/>
      <c r="O196" s="7"/>
      <c r="P196" s="7"/>
      <c r="Q196" s="69" t="e">
        <f t="shared" si="38"/>
        <v>#DIV/0!</v>
      </c>
      <c r="R196" s="69" t="e">
        <f t="shared" si="39"/>
        <v>#DIV/0!</v>
      </c>
      <c r="S196" s="7"/>
      <c r="T196" s="7"/>
      <c r="U196" s="7"/>
      <c r="V196" s="7"/>
      <c r="W196" s="7"/>
    </row>
    <row r="197" spans="1:27" ht="18" customHeight="1">
      <c r="A197" s="6">
        <v>46146</v>
      </c>
      <c r="B197" s="7" t="s">
        <v>301</v>
      </c>
      <c r="C197" s="91"/>
      <c r="D197" s="77" t="s">
        <v>1525</v>
      </c>
      <c r="E197" s="77" t="s">
        <v>27</v>
      </c>
      <c r="F197" s="97" t="s">
        <v>724</v>
      </c>
      <c r="G197" s="97"/>
      <c r="H197" s="77" t="s">
        <v>946</v>
      </c>
      <c r="I197" s="113"/>
      <c r="J197" s="77" t="s">
        <v>27</v>
      </c>
      <c r="K197" s="93" t="s">
        <v>946</v>
      </c>
      <c r="L197" s="7"/>
      <c r="M197" s="7"/>
      <c r="N197" s="7"/>
      <c r="O197" s="7"/>
      <c r="P197" s="7"/>
      <c r="Q197" s="69" t="e">
        <f t="shared" si="38"/>
        <v>#DIV/0!</v>
      </c>
      <c r="R197" s="69" t="e">
        <f t="shared" si="39"/>
        <v>#DIV/0!</v>
      </c>
      <c r="S197" s="7"/>
      <c r="T197" s="7"/>
      <c r="U197" s="7"/>
      <c r="V197" s="7"/>
      <c r="W197" s="7"/>
    </row>
    <row r="198" spans="1:27" ht="18" customHeight="1">
      <c r="A198" s="6">
        <v>46146</v>
      </c>
      <c r="B198" s="7" t="s">
        <v>301</v>
      </c>
      <c r="C198" s="91"/>
      <c r="D198" s="77" t="s">
        <v>1526</v>
      </c>
      <c r="E198" s="77" t="s">
        <v>27</v>
      </c>
      <c r="F198" s="97" t="s">
        <v>724</v>
      </c>
      <c r="G198" s="97"/>
      <c r="H198" s="77" t="s">
        <v>946</v>
      </c>
      <c r="I198" s="113"/>
      <c r="J198" s="77" t="s">
        <v>27</v>
      </c>
      <c r="K198" s="93" t="s">
        <v>946</v>
      </c>
      <c r="L198" s="7"/>
      <c r="M198" s="7"/>
      <c r="N198" s="7"/>
      <c r="O198" s="7"/>
      <c r="P198" s="7"/>
      <c r="Q198" s="69" t="e">
        <f t="shared" si="38"/>
        <v>#DIV/0!</v>
      </c>
      <c r="R198" s="69" t="e">
        <f t="shared" si="39"/>
        <v>#DIV/0!</v>
      </c>
      <c r="S198" s="7"/>
      <c r="T198" s="7"/>
      <c r="U198" s="7"/>
      <c r="V198" s="7"/>
      <c r="W198" s="7"/>
    </row>
    <row r="199" spans="1:27" ht="18" customHeight="1">
      <c r="A199" s="6">
        <v>46146</v>
      </c>
      <c r="B199" s="7" t="s">
        <v>301</v>
      </c>
      <c r="C199" s="91"/>
      <c r="D199" s="77" t="s">
        <v>1527</v>
      </c>
      <c r="E199" s="77" t="s">
        <v>27</v>
      </c>
      <c r="F199" s="97"/>
      <c r="G199" s="97"/>
      <c r="H199" s="77" t="s">
        <v>946</v>
      </c>
      <c r="I199" s="113"/>
      <c r="J199" s="77" t="s">
        <v>27</v>
      </c>
      <c r="K199" s="93" t="s">
        <v>946</v>
      </c>
      <c r="L199" s="7"/>
      <c r="M199" s="7"/>
      <c r="N199" s="7"/>
      <c r="O199" s="7"/>
      <c r="P199" s="7"/>
      <c r="Q199" s="69" t="e">
        <f t="shared" si="38"/>
        <v>#DIV/0!</v>
      </c>
      <c r="R199" s="69" t="e">
        <f t="shared" si="39"/>
        <v>#DIV/0!</v>
      </c>
      <c r="S199" s="7"/>
      <c r="T199" s="7"/>
      <c r="U199" s="7"/>
      <c r="V199" s="7"/>
      <c r="W199" s="7"/>
    </row>
    <row r="200" spans="1:27" ht="18" customHeight="1">
      <c r="A200" s="6">
        <v>46146</v>
      </c>
      <c r="B200" s="7" t="s">
        <v>301</v>
      </c>
      <c r="C200" s="91"/>
      <c r="D200" s="77" t="s">
        <v>1528</v>
      </c>
      <c r="E200" s="77" t="s">
        <v>27</v>
      </c>
      <c r="F200" s="97"/>
      <c r="G200" s="97"/>
      <c r="H200" s="77" t="s">
        <v>946</v>
      </c>
      <c r="I200" s="113"/>
      <c r="J200" s="77" t="s">
        <v>27</v>
      </c>
      <c r="K200" s="93" t="s">
        <v>946</v>
      </c>
      <c r="L200" s="7"/>
      <c r="M200" s="7"/>
      <c r="N200" s="7"/>
      <c r="O200" s="7"/>
      <c r="P200" s="7"/>
      <c r="Q200" s="69" t="e">
        <f t="shared" si="38"/>
        <v>#DIV/0!</v>
      </c>
      <c r="R200" s="69" t="e">
        <f t="shared" si="39"/>
        <v>#DIV/0!</v>
      </c>
      <c r="S200" s="7"/>
      <c r="T200" s="7"/>
      <c r="U200" s="7"/>
      <c r="V200" s="7"/>
      <c r="W200" s="7"/>
    </row>
    <row r="201" spans="1:27" ht="18" customHeight="1">
      <c r="A201" s="6">
        <v>46146</v>
      </c>
      <c r="B201" s="7" t="s">
        <v>301</v>
      </c>
      <c r="C201" s="91"/>
      <c r="D201" s="77" t="s">
        <v>1529</v>
      </c>
      <c r="E201" s="77" t="s">
        <v>27</v>
      </c>
      <c r="F201" s="97"/>
      <c r="G201" s="97"/>
      <c r="H201" s="77" t="s">
        <v>946</v>
      </c>
      <c r="I201" s="113"/>
      <c r="J201" s="77" t="s">
        <v>27</v>
      </c>
      <c r="K201" s="93" t="s">
        <v>946</v>
      </c>
      <c r="L201" s="7"/>
      <c r="M201" s="7"/>
      <c r="N201" s="7"/>
      <c r="O201" s="7"/>
      <c r="P201" s="7"/>
      <c r="Q201" s="69" t="e">
        <f t="shared" si="38"/>
        <v>#DIV/0!</v>
      </c>
      <c r="R201" s="69" t="e">
        <f t="shared" si="39"/>
        <v>#DIV/0!</v>
      </c>
      <c r="S201" s="7"/>
      <c r="T201" s="7"/>
      <c r="U201" s="7"/>
      <c r="V201" s="7"/>
      <c r="W201" s="7"/>
    </row>
    <row r="202" spans="1:27" ht="18" customHeight="1">
      <c r="A202" s="6"/>
      <c r="B202" s="7"/>
      <c r="C202" s="91">
        <v>0.40625</v>
      </c>
      <c r="D202" s="77" t="s">
        <v>1574</v>
      </c>
      <c r="E202" s="77" t="s">
        <v>27</v>
      </c>
      <c r="F202" s="77" t="s">
        <v>377</v>
      </c>
      <c r="G202" s="77" t="s">
        <v>85</v>
      </c>
      <c r="H202" s="7" t="s">
        <v>121</v>
      </c>
      <c r="I202" s="182" t="s">
        <v>1494</v>
      </c>
      <c r="J202" s="77" t="s">
        <v>27</v>
      </c>
      <c r="K202" s="7" t="s">
        <v>121</v>
      </c>
      <c r="L202" s="7"/>
      <c r="M202" s="7"/>
      <c r="N202" s="7"/>
      <c r="O202" s="7"/>
      <c r="P202" s="7"/>
      <c r="Q202" s="69"/>
      <c r="R202" s="69"/>
      <c r="S202" s="7"/>
      <c r="T202" s="7"/>
      <c r="U202" s="7"/>
      <c r="V202" s="7"/>
      <c r="W202" s="7"/>
    </row>
    <row r="203" spans="1:27">
      <c r="A203" s="6">
        <v>46146</v>
      </c>
      <c r="B203" s="7" t="s">
        <v>301</v>
      </c>
      <c r="C203" s="62">
        <v>0.80208333333333337</v>
      </c>
      <c r="D203" s="88" t="s">
        <v>1573</v>
      </c>
      <c r="E203" s="88" t="s">
        <v>27</v>
      </c>
      <c r="F203" t="s">
        <v>1572</v>
      </c>
      <c r="G203" s="77" t="s">
        <v>85</v>
      </c>
      <c r="H203" s="173" t="s">
        <v>210</v>
      </c>
      <c r="I203" s="29" t="s">
        <v>1490</v>
      </c>
      <c r="J203" s="77" t="s">
        <v>27</v>
      </c>
      <c r="K203" s="173" t="s">
        <v>210</v>
      </c>
      <c r="L203" s="7"/>
      <c r="M203" s="7"/>
      <c r="N203" s="7"/>
      <c r="O203" s="7"/>
      <c r="P203" s="7"/>
      <c r="Q203" s="69" t="e">
        <f t="shared" si="38"/>
        <v>#DIV/0!</v>
      </c>
      <c r="R203" s="69" t="e">
        <f t="shared" si="39"/>
        <v>#DIV/0!</v>
      </c>
      <c r="S203" s="7"/>
      <c r="T203" s="7"/>
      <c r="U203" s="7"/>
      <c r="V203" s="7"/>
      <c r="W203" s="7"/>
    </row>
    <row r="204" spans="1:27">
      <c r="A204" s="6"/>
      <c r="B204" s="7"/>
      <c r="C204" s="62">
        <v>0.44791666666666669</v>
      </c>
      <c r="D204" s="77" t="s">
        <v>1575</v>
      </c>
      <c r="E204" s="121" t="s">
        <v>27</v>
      </c>
      <c r="F204" s="77" t="s">
        <v>375</v>
      </c>
      <c r="G204" s="77" t="s">
        <v>85</v>
      </c>
      <c r="H204" s="173" t="s">
        <v>210</v>
      </c>
      <c r="I204" s="182" t="s">
        <v>1494</v>
      </c>
      <c r="J204" s="77" t="s">
        <v>27</v>
      </c>
      <c r="K204" s="173" t="s">
        <v>210</v>
      </c>
      <c r="L204" s="7"/>
      <c r="M204" s="7"/>
      <c r="N204" s="7"/>
      <c r="O204" s="7"/>
      <c r="P204" s="7"/>
      <c r="Q204" s="69"/>
      <c r="R204" s="69"/>
      <c r="S204" s="7"/>
      <c r="T204" s="7"/>
      <c r="U204" s="7"/>
      <c r="V204" s="7"/>
      <c r="W204" s="7"/>
    </row>
    <row r="205" spans="1:27">
      <c r="A205" s="6"/>
      <c r="B205" s="7"/>
      <c r="C205" s="62">
        <v>0.38541666666666669</v>
      </c>
      <c r="D205" s="77" t="s">
        <v>1576</v>
      </c>
      <c r="E205" s="7" t="s">
        <v>27</v>
      </c>
      <c r="F205" s="77" t="s">
        <v>377</v>
      </c>
      <c r="G205" s="77" t="s">
        <v>85</v>
      </c>
      <c r="H205" s="7" t="s">
        <v>149</v>
      </c>
      <c r="I205" s="29" t="s">
        <v>1493</v>
      </c>
      <c r="J205" s="77" t="s">
        <v>27</v>
      </c>
      <c r="K205" s="7" t="s">
        <v>149</v>
      </c>
      <c r="L205" s="7"/>
      <c r="M205" s="7"/>
      <c r="N205" s="7"/>
      <c r="O205" s="7"/>
      <c r="P205" s="7"/>
      <c r="Q205" s="69"/>
      <c r="R205" s="69"/>
      <c r="S205" s="7"/>
      <c r="T205" s="7"/>
      <c r="U205" s="7"/>
      <c r="V205" s="7"/>
      <c r="W205" s="7"/>
    </row>
    <row r="206" spans="1:27" ht="16.8">
      <c r="A206" s="6">
        <v>46146</v>
      </c>
      <c r="B206" s="7" t="s">
        <v>301</v>
      </c>
      <c r="C206" s="62">
        <v>0.83333333333333337</v>
      </c>
      <c r="D206" s="88" t="s">
        <v>1577</v>
      </c>
      <c r="E206" s="7" t="s">
        <v>27</v>
      </c>
      <c r="F206" t="s">
        <v>1572</v>
      </c>
      <c r="G206" s="77" t="s">
        <v>85</v>
      </c>
      <c r="H206" s="174" t="s">
        <v>157</v>
      </c>
      <c r="I206" s="29" t="s">
        <v>1493</v>
      </c>
      <c r="J206" s="77" t="s">
        <v>27</v>
      </c>
      <c r="K206" s="174" t="s">
        <v>157</v>
      </c>
      <c r="L206" s="7"/>
      <c r="M206" s="7"/>
      <c r="N206" s="7"/>
      <c r="O206" s="7"/>
      <c r="P206" s="7"/>
      <c r="Q206" s="69" t="e">
        <f t="shared" si="38"/>
        <v>#DIV/0!</v>
      </c>
      <c r="R206" s="69" t="e">
        <f t="shared" si="39"/>
        <v>#DIV/0!</v>
      </c>
      <c r="S206" s="7"/>
      <c r="T206" s="7"/>
      <c r="U206" s="7"/>
      <c r="V206" s="7"/>
      <c r="W206" s="7"/>
    </row>
    <row r="207" spans="1:27" ht="16.8">
      <c r="A207" s="6">
        <v>46146</v>
      </c>
      <c r="B207" s="7" t="s">
        <v>301</v>
      </c>
      <c r="C207" s="62">
        <v>0.99652777777777779</v>
      </c>
      <c r="D207" s="77" t="s">
        <v>1578</v>
      </c>
      <c r="E207" s="77" t="s">
        <v>27</v>
      </c>
      <c r="F207" s="77" t="s">
        <v>375</v>
      </c>
      <c r="G207" s="77" t="s">
        <v>85</v>
      </c>
      <c r="H207" s="174" t="s">
        <v>157</v>
      </c>
      <c r="I207" s="29" t="s">
        <v>1493</v>
      </c>
      <c r="J207" s="77" t="s">
        <v>27</v>
      </c>
      <c r="K207" s="174" t="s">
        <v>157</v>
      </c>
      <c r="L207" s="7"/>
      <c r="M207" s="7"/>
      <c r="N207" s="7"/>
      <c r="O207" s="7"/>
      <c r="P207" s="7"/>
      <c r="Q207" s="69" t="e">
        <f t="shared" si="38"/>
        <v>#DIV/0!</v>
      </c>
      <c r="R207" s="69" t="e">
        <f t="shared" si="39"/>
        <v>#DIV/0!</v>
      </c>
      <c r="S207" s="7"/>
      <c r="T207" s="7"/>
      <c r="U207" s="7"/>
      <c r="V207" s="7"/>
      <c r="W207" s="7"/>
    </row>
    <row r="208" spans="1:27" ht="6.6" customHeight="1">
      <c r="A208" s="22"/>
      <c r="B208" s="23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5"/>
      <c r="R208" s="25"/>
      <c r="S208" s="24"/>
      <c r="T208" s="24"/>
      <c r="U208" s="24"/>
      <c r="V208" s="25"/>
      <c r="W208" s="26"/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F32E1-5A01-4FE5-80C2-9D9E0D4CF18C}">
  <dimension ref="A1:AB208"/>
  <sheetViews>
    <sheetView topLeftCell="B192" workbookViewId="0">
      <selection activeCell="E203" sqref="E203:F207"/>
    </sheetView>
  </sheetViews>
  <sheetFormatPr defaultRowHeight="14.4"/>
  <cols>
    <col min="1" max="1" width="10.33203125" bestFit="1" customWidth="1"/>
    <col min="2" max="2" width="10.44140625" bestFit="1" customWidth="1"/>
    <col min="3" max="3" width="9" bestFit="1" customWidth="1"/>
    <col min="4" max="4" width="44" bestFit="1" customWidth="1"/>
    <col min="5" max="5" width="13.77734375" bestFit="1" customWidth="1"/>
    <col min="6" max="6" width="51.21875" bestFit="1" customWidth="1"/>
    <col min="7" max="7" width="3.88671875" bestFit="1" customWidth="1"/>
    <col min="8" max="8" width="24.33203125" bestFit="1" customWidth="1"/>
    <col min="9" max="9" width="34.88671875" bestFit="1" customWidth="1"/>
    <col min="10" max="10" width="13.77734375" bestFit="1" customWidth="1"/>
    <col min="11" max="11" width="30" bestFit="1" customWidth="1"/>
    <col min="12" max="12" width="6" bestFit="1" customWidth="1"/>
    <col min="13" max="14" width="5.33203125" bestFit="1" customWidth="1"/>
    <col min="15" max="15" width="6" bestFit="1" customWidth="1"/>
    <col min="16" max="16" width="7.6640625" bestFit="1" customWidth="1"/>
    <col min="17" max="18" width="7.33203125" bestFit="1" customWidth="1"/>
    <col min="19" max="19" width="4.88671875" bestFit="1" customWidth="1"/>
    <col min="20" max="20" width="7.6640625" bestFit="1" customWidth="1"/>
    <col min="21" max="21" width="8" bestFit="1" customWidth="1"/>
    <col min="22" max="22" width="5" bestFit="1" customWidth="1"/>
    <col min="23" max="23" width="5.5546875" bestFit="1" customWidth="1"/>
  </cols>
  <sheetData>
    <row r="1" spans="1:23" ht="17.399999999999999" customHeight="1">
      <c r="A1" s="1" t="s">
        <v>0</v>
      </c>
      <c r="B1" s="1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11</v>
      </c>
      <c r="K1" s="2" t="s">
        <v>12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3" t="s">
        <v>19</v>
      </c>
      <c r="R1" s="3" t="s">
        <v>20</v>
      </c>
      <c r="S1" s="2" t="s">
        <v>21</v>
      </c>
      <c r="T1" s="2" t="s">
        <v>22</v>
      </c>
      <c r="U1" s="2" t="s">
        <v>23</v>
      </c>
      <c r="V1" s="3" t="s">
        <v>24</v>
      </c>
      <c r="W1" s="3" t="s">
        <v>25</v>
      </c>
    </row>
    <row r="2" spans="1:23">
      <c r="A2" s="6">
        <v>46132</v>
      </c>
      <c r="B2" s="7" t="s">
        <v>301</v>
      </c>
      <c r="C2" s="18" t="s">
        <v>305</v>
      </c>
      <c r="D2" s="18" t="s">
        <v>306</v>
      </c>
      <c r="E2" s="18" t="s">
        <v>28</v>
      </c>
      <c r="F2" s="18" t="s">
        <v>307</v>
      </c>
      <c r="G2" s="18" t="s">
        <v>85</v>
      </c>
      <c r="H2" s="18" t="s">
        <v>186</v>
      </c>
      <c r="I2" s="67"/>
      <c r="J2" s="18" t="s">
        <v>28</v>
      </c>
      <c r="K2" s="68" t="s">
        <v>86</v>
      </c>
      <c r="L2" s="7">
        <v>22</v>
      </c>
      <c r="M2" s="7">
        <v>4</v>
      </c>
      <c r="N2" s="7">
        <v>2</v>
      </c>
      <c r="O2" s="7">
        <v>0</v>
      </c>
      <c r="P2" s="7">
        <v>0</v>
      </c>
      <c r="Q2" s="69">
        <f>M2/L2</f>
        <v>0.18181818181818182</v>
      </c>
      <c r="R2" s="69">
        <f>N2/M2</f>
        <v>0.5</v>
      </c>
      <c r="S2" s="7"/>
      <c r="T2" s="7"/>
      <c r="U2" s="7"/>
      <c r="V2" s="7"/>
      <c r="W2" s="7"/>
    </row>
    <row r="3" spans="1:23" ht="6.6" customHeight="1">
      <c r="A3" s="22"/>
      <c r="B3" s="23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5"/>
      <c r="R3" s="25"/>
      <c r="S3" s="24"/>
      <c r="T3" s="24"/>
      <c r="U3" s="24"/>
      <c r="V3" s="25"/>
      <c r="W3" s="26"/>
    </row>
    <row r="4" spans="1:23">
      <c r="A4" s="6">
        <v>46133</v>
      </c>
      <c r="B4" s="7" t="s">
        <v>316</v>
      </c>
      <c r="C4" s="18" t="s">
        <v>305</v>
      </c>
      <c r="D4" s="18" t="s">
        <v>306</v>
      </c>
      <c r="E4" s="18" t="s">
        <v>28</v>
      </c>
      <c r="F4" s="18" t="s">
        <v>307</v>
      </c>
      <c r="G4" s="18" t="s">
        <v>85</v>
      </c>
      <c r="H4" s="18" t="s">
        <v>186</v>
      </c>
      <c r="I4" s="67"/>
      <c r="J4" s="18" t="s">
        <v>28</v>
      </c>
      <c r="K4" s="68" t="s">
        <v>86</v>
      </c>
      <c r="L4" s="7">
        <v>60</v>
      </c>
      <c r="M4" s="7">
        <v>6</v>
      </c>
      <c r="N4" s="7">
        <v>1</v>
      </c>
      <c r="O4" s="7">
        <v>0</v>
      </c>
      <c r="P4" s="7">
        <v>0</v>
      </c>
      <c r="Q4" s="69">
        <f>M4/L4</f>
        <v>0.1</v>
      </c>
      <c r="R4" s="69">
        <f>N4/M4</f>
        <v>0.16666666666666666</v>
      </c>
      <c r="S4" s="7"/>
      <c r="T4" s="7"/>
      <c r="U4" s="7"/>
      <c r="V4" s="7"/>
      <c r="W4" s="7"/>
    </row>
    <row r="5" spans="1:23">
      <c r="A5" s="6">
        <v>46133</v>
      </c>
      <c r="B5" s="7" t="s">
        <v>316</v>
      </c>
      <c r="C5" s="18" t="s">
        <v>347</v>
      </c>
      <c r="D5" s="18" t="s">
        <v>352</v>
      </c>
      <c r="E5" s="18" t="s">
        <v>28</v>
      </c>
      <c r="F5" s="18" t="s">
        <v>353</v>
      </c>
      <c r="G5" s="18" t="s">
        <v>85</v>
      </c>
      <c r="H5" s="18" t="s">
        <v>186</v>
      </c>
      <c r="I5" s="74" t="s">
        <v>313</v>
      </c>
      <c r="J5" s="18" t="s">
        <v>28</v>
      </c>
      <c r="K5" s="68" t="s">
        <v>86</v>
      </c>
      <c r="L5" s="7"/>
      <c r="M5" s="7"/>
      <c r="N5" s="7"/>
      <c r="O5" s="7"/>
      <c r="P5" s="7"/>
      <c r="Q5" s="69" t="e">
        <f t="shared" ref="Q5" si="0">M5/L5</f>
        <v>#DIV/0!</v>
      </c>
      <c r="R5" s="69" t="e">
        <f t="shared" ref="R5" si="1">N5/M5</f>
        <v>#DIV/0!</v>
      </c>
      <c r="S5" s="7"/>
      <c r="T5" s="7"/>
      <c r="U5" s="7"/>
      <c r="V5" s="7"/>
      <c r="W5" s="7"/>
    </row>
    <row r="6" spans="1:23">
      <c r="A6" s="6">
        <v>46133</v>
      </c>
      <c r="B6" s="7" t="s">
        <v>316</v>
      </c>
      <c r="C6" s="62">
        <v>0.79166666666666663</v>
      </c>
      <c r="D6" s="7" t="s">
        <v>357</v>
      </c>
      <c r="E6" s="7" t="s">
        <v>28</v>
      </c>
      <c r="F6" s="7" t="s">
        <v>356</v>
      </c>
      <c r="G6" s="7" t="s">
        <v>85</v>
      </c>
      <c r="H6" s="7" t="s">
        <v>359</v>
      </c>
      <c r="I6" s="75" t="s">
        <v>315</v>
      </c>
      <c r="J6" s="7" t="s">
        <v>28</v>
      </c>
      <c r="K6" s="50" t="s">
        <v>86</v>
      </c>
      <c r="L6" s="7">
        <v>1293</v>
      </c>
      <c r="M6" s="7">
        <v>16</v>
      </c>
      <c r="N6" s="7">
        <v>1</v>
      </c>
      <c r="O6" s="7">
        <v>4</v>
      </c>
      <c r="P6" s="7">
        <v>4</v>
      </c>
      <c r="Q6" s="69">
        <f t="shared" ref="Q6:Q7" si="2">M6/L6</f>
        <v>1.237432327919567E-2</v>
      </c>
      <c r="R6" s="69">
        <f t="shared" ref="R6:R7" si="3">N6/M6</f>
        <v>6.25E-2</v>
      </c>
      <c r="S6" s="7"/>
      <c r="T6" s="7"/>
      <c r="U6" s="7"/>
      <c r="V6" s="7"/>
      <c r="W6" s="7"/>
    </row>
    <row r="7" spans="1:23">
      <c r="A7" s="6">
        <v>46133</v>
      </c>
      <c r="B7" s="7" t="s">
        <v>316</v>
      </c>
      <c r="C7" s="62">
        <v>0.80208333333333337</v>
      </c>
      <c r="D7" s="7" t="s">
        <v>360</v>
      </c>
      <c r="E7" s="7" t="s">
        <v>28</v>
      </c>
      <c r="F7" s="7" t="s">
        <v>361</v>
      </c>
      <c r="G7" s="7" t="s">
        <v>85</v>
      </c>
      <c r="H7" s="7" t="s">
        <v>358</v>
      </c>
      <c r="I7" s="76" t="s">
        <v>314</v>
      </c>
      <c r="J7" s="7" t="s">
        <v>28</v>
      </c>
      <c r="K7" s="50" t="s">
        <v>86</v>
      </c>
      <c r="L7" s="7">
        <v>3002</v>
      </c>
      <c r="M7" s="7">
        <v>31</v>
      </c>
      <c r="N7" s="7">
        <v>2</v>
      </c>
      <c r="O7" s="7">
        <v>2</v>
      </c>
      <c r="P7" s="7">
        <v>2</v>
      </c>
      <c r="Q7" s="69">
        <f t="shared" si="2"/>
        <v>1.0326449033977348E-2</v>
      </c>
      <c r="R7" s="69">
        <f t="shared" si="3"/>
        <v>6.4516129032258063E-2</v>
      </c>
      <c r="S7" s="7"/>
      <c r="T7" s="7"/>
      <c r="U7" s="7"/>
      <c r="V7" s="7"/>
      <c r="W7" s="7"/>
    </row>
    <row r="8" spans="1:23">
      <c r="A8" s="6">
        <v>46133</v>
      </c>
      <c r="B8" s="7" t="s">
        <v>316</v>
      </c>
      <c r="C8" s="62">
        <v>0.77083333333333337</v>
      </c>
      <c r="D8" s="7" t="s">
        <v>362</v>
      </c>
      <c r="E8" s="7" t="s">
        <v>28</v>
      </c>
      <c r="F8" s="7" t="s">
        <v>363</v>
      </c>
      <c r="G8" s="7" t="s">
        <v>85</v>
      </c>
      <c r="H8" s="7" t="s">
        <v>350</v>
      </c>
      <c r="I8" s="76" t="s">
        <v>329</v>
      </c>
      <c r="J8" s="7" t="s">
        <v>28</v>
      </c>
      <c r="K8" s="50" t="s">
        <v>86</v>
      </c>
      <c r="L8" s="7">
        <v>5433</v>
      </c>
      <c r="M8" s="7">
        <v>49</v>
      </c>
      <c r="N8" s="7">
        <v>4</v>
      </c>
      <c r="O8" s="7">
        <v>1</v>
      </c>
      <c r="P8" s="7">
        <v>5</v>
      </c>
      <c r="Q8" s="69">
        <f t="shared" ref="Q8:Q9" si="4">M8/L8</f>
        <v>9.0189582182956009E-3</v>
      </c>
      <c r="R8" s="69">
        <f t="shared" ref="R8:R9" si="5">N8/M8</f>
        <v>8.1632653061224483E-2</v>
      </c>
      <c r="S8" s="7"/>
      <c r="T8" s="7"/>
      <c r="U8" s="7"/>
      <c r="V8" s="7"/>
      <c r="W8" s="7"/>
    </row>
    <row r="9" spans="1:23">
      <c r="A9" s="6">
        <v>46133</v>
      </c>
      <c r="B9" s="7" t="s">
        <v>316</v>
      </c>
      <c r="C9" s="62">
        <v>0.8125</v>
      </c>
      <c r="D9" s="7" t="s">
        <v>365</v>
      </c>
      <c r="E9" s="7" t="s">
        <v>28</v>
      </c>
      <c r="F9" s="7" t="s">
        <v>364</v>
      </c>
      <c r="G9" s="7" t="s">
        <v>85</v>
      </c>
      <c r="H9" s="7" t="s">
        <v>351</v>
      </c>
      <c r="I9" s="76" t="s">
        <v>330</v>
      </c>
      <c r="J9" s="7" t="s">
        <v>28</v>
      </c>
      <c r="K9" s="50" t="s">
        <v>86</v>
      </c>
      <c r="L9" s="7">
        <v>3229</v>
      </c>
      <c r="M9" s="7">
        <v>17</v>
      </c>
      <c r="N9" s="7">
        <v>3</v>
      </c>
      <c r="O9" s="7">
        <v>0</v>
      </c>
      <c r="P9" s="7">
        <v>1</v>
      </c>
      <c r="Q9" s="69">
        <f t="shared" si="4"/>
        <v>5.2647878600185815E-3</v>
      </c>
      <c r="R9" s="69">
        <f t="shared" si="5"/>
        <v>0.17647058823529413</v>
      </c>
      <c r="S9" s="7"/>
      <c r="T9" s="7"/>
      <c r="U9" s="7"/>
      <c r="V9" s="7"/>
      <c r="W9" s="7"/>
    </row>
    <row r="10" spans="1:23" ht="6.6" customHeight="1">
      <c r="A10" s="22"/>
      <c r="B10" s="23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5"/>
      <c r="R10" s="25"/>
      <c r="S10" s="24"/>
      <c r="T10" s="24"/>
      <c r="U10" s="24"/>
      <c r="V10" s="25"/>
      <c r="W10" s="26"/>
    </row>
    <row r="11" spans="1:23">
      <c r="A11" s="6">
        <v>46134</v>
      </c>
      <c r="B11" s="7" t="s">
        <v>392</v>
      </c>
      <c r="C11" s="18" t="s">
        <v>305</v>
      </c>
      <c r="D11" s="18" t="s">
        <v>306</v>
      </c>
      <c r="E11" s="18" t="s">
        <v>28</v>
      </c>
      <c r="F11" s="18" t="s">
        <v>307</v>
      </c>
      <c r="G11" s="18" t="s">
        <v>85</v>
      </c>
      <c r="H11" s="18" t="s">
        <v>186</v>
      </c>
      <c r="I11" s="67"/>
      <c r="J11" s="18" t="s">
        <v>28</v>
      </c>
      <c r="K11" s="68" t="s">
        <v>86</v>
      </c>
      <c r="L11" s="7">
        <v>1254</v>
      </c>
      <c r="M11" s="7">
        <v>11</v>
      </c>
      <c r="N11" s="7">
        <v>2</v>
      </c>
      <c r="O11" s="7">
        <v>0</v>
      </c>
      <c r="P11" s="7">
        <v>1</v>
      </c>
      <c r="Q11" s="69">
        <f>M11/L11</f>
        <v>8.771929824561403E-3</v>
      </c>
      <c r="R11" s="69">
        <f>N11/M11</f>
        <v>0.18181818181818182</v>
      </c>
      <c r="S11" s="7"/>
      <c r="T11" s="7"/>
      <c r="U11" s="7"/>
      <c r="V11" s="7"/>
      <c r="W11" s="7"/>
    </row>
    <row r="12" spans="1:23">
      <c r="A12" s="6">
        <v>46134</v>
      </c>
      <c r="B12" s="7" t="s">
        <v>392</v>
      </c>
      <c r="C12" s="18" t="s">
        <v>347</v>
      </c>
      <c r="D12" s="18" t="s">
        <v>352</v>
      </c>
      <c r="E12" s="18" t="s">
        <v>28</v>
      </c>
      <c r="F12" s="18" t="s">
        <v>353</v>
      </c>
      <c r="G12" s="18" t="s">
        <v>85</v>
      </c>
      <c r="H12" s="18" t="s">
        <v>186</v>
      </c>
      <c r="I12" s="74"/>
      <c r="J12" s="18" t="s">
        <v>28</v>
      </c>
      <c r="K12" s="68" t="s">
        <v>86</v>
      </c>
      <c r="L12" s="7"/>
      <c r="M12" s="7"/>
      <c r="N12" s="7"/>
      <c r="O12" s="7"/>
      <c r="P12" s="7"/>
      <c r="Q12" s="69" t="e">
        <f t="shared" ref="Q12:Q16" si="6">M12/L12</f>
        <v>#DIV/0!</v>
      </c>
      <c r="R12" s="69" t="e">
        <f t="shared" ref="R12:R16" si="7">N12/M12</f>
        <v>#DIV/0!</v>
      </c>
      <c r="S12" s="7"/>
      <c r="T12" s="7"/>
      <c r="U12" s="7"/>
      <c r="V12" s="7"/>
      <c r="W12" s="7"/>
    </row>
    <row r="13" spans="1:23">
      <c r="A13" s="6">
        <v>46134</v>
      </c>
      <c r="B13" s="7" t="s">
        <v>392</v>
      </c>
      <c r="C13" s="62">
        <v>0.79166666666666663</v>
      </c>
      <c r="D13" s="88" t="s">
        <v>435</v>
      </c>
      <c r="E13" s="88" t="s">
        <v>28</v>
      </c>
      <c r="F13" s="88" t="s">
        <v>436</v>
      </c>
      <c r="G13" s="88" t="s">
        <v>85</v>
      </c>
      <c r="H13" s="88" t="s">
        <v>359</v>
      </c>
      <c r="I13" s="75"/>
      <c r="J13" s="7" t="s">
        <v>28</v>
      </c>
      <c r="K13" s="50" t="s">
        <v>86</v>
      </c>
      <c r="L13" s="7">
        <v>1283</v>
      </c>
      <c r="M13" s="7">
        <v>17</v>
      </c>
      <c r="N13" s="7">
        <v>3</v>
      </c>
      <c r="O13" s="7">
        <v>0</v>
      </c>
      <c r="P13" s="7">
        <v>4</v>
      </c>
      <c r="Q13" s="69">
        <f t="shared" si="6"/>
        <v>1.3250194855806703E-2</v>
      </c>
      <c r="R13" s="69">
        <f t="shared" si="7"/>
        <v>0.17647058823529413</v>
      </c>
      <c r="S13" s="7"/>
      <c r="T13" s="7"/>
      <c r="U13" s="7"/>
      <c r="V13" s="7"/>
      <c r="W13" s="7"/>
    </row>
    <row r="14" spans="1:23">
      <c r="A14" s="6">
        <v>46134</v>
      </c>
      <c r="B14" s="7" t="s">
        <v>392</v>
      </c>
      <c r="C14" s="62">
        <v>0.80208333333333337</v>
      </c>
      <c r="D14" s="88" t="s">
        <v>437</v>
      </c>
      <c r="E14" s="88" t="s">
        <v>28</v>
      </c>
      <c r="F14" s="88" t="s">
        <v>438</v>
      </c>
      <c r="G14" s="88" t="s">
        <v>85</v>
      </c>
      <c r="H14" s="88" t="s">
        <v>358</v>
      </c>
      <c r="I14" s="76"/>
      <c r="J14" s="7" t="s">
        <v>28</v>
      </c>
      <c r="K14" s="50" t="s">
        <v>86</v>
      </c>
      <c r="L14" s="7">
        <v>2892</v>
      </c>
      <c r="M14" s="7">
        <v>18</v>
      </c>
      <c r="N14" s="7">
        <v>3</v>
      </c>
      <c r="O14" s="7">
        <v>2</v>
      </c>
      <c r="P14" s="7">
        <v>3</v>
      </c>
      <c r="Q14" s="69">
        <f t="shared" si="6"/>
        <v>6.2240663900414933E-3</v>
      </c>
      <c r="R14" s="69">
        <f t="shared" si="7"/>
        <v>0.16666666666666666</v>
      </c>
      <c r="S14" s="7"/>
      <c r="T14" s="7"/>
      <c r="U14" s="7"/>
      <c r="V14" s="7"/>
      <c r="W14" s="7"/>
    </row>
    <row r="15" spans="1:23">
      <c r="A15" s="6">
        <v>46134</v>
      </c>
      <c r="B15" s="7" t="s">
        <v>392</v>
      </c>
      <c r="C15" s="62">
        <v>0.77083333333333337</v>
      </c>
      <c r="D15" s="88" t="s">
        <v>439</v>
      </c>
      <c r="E15" s="88" t="s">
        <v>28</v>
      </c>
      <c r="F15" s="88" t="s">
        <v>440</v>
      </c>
      <c r="G15" s="88" t="s">
        <v>85</v>
      </c>
      <c r="H15" s="88" t="s">
        <v>350</v>
      </c>
      <c r="I15" s="76"/>
      <c r="J15" s="7" t="s">
        <v>28</v>
      </c>
      <c r="K15" s="50" t="s">
        <v>86</v>
      </c>
      <c r="L15" s="7">
        <v>5423</v>
      </c>
      <c r="M15" s="7">
        <v>30</v>
      </c>
      <c r="N15" s="7">
        <v>3</v>
      </c>
      <c r="O15" s="7">
        <v>0</v>
      </c>
      <c r="P15" s="7">
        <v>4</v>
      </c>
      <c r="Q15" s="69">
        <f t="shared" si="6"/>
        <v>5.5319933616079665E-3</v>
      </c>
      <c r="R15" s="69">
        <f t="shared" si="7"/>
        <v>0.1</v>
      </c>
      <c r="S15" s="7"/>
      <c r="T15" s="7"/>
      <c r="U15" s="7"/>
      <c r="V15" s="7"/>
      <c r="W15" s="7"/>
    </row>
    <row r="16" spans="1:23">
      <c r="A16" s="6">
        <v>46134</v>
      </c>
      <c r="B16" s="7" t="s">
        <v>392</v>
      </c>
      <c r="C16" s="62">
        <v>0.8125</v>
      </c>
      <c r="D16" s="88" t="s">
        <v>441</v>
      </c>
      <c r="E16" s="88" t="s">
        <v>28</v>
      </c>
      <c r="F16" s="88" t="s">
        <v>442</v>
      </c>
      <c r="G16" s="88" t="s">
        <v>85</v>
      </c>
      <c r="H16" s="88" t="s">
        <v>351</v>
      </c>
      <c r="I16" s="76"/>
      <c r="J16" s="7" t="s">
        <v>28</v>
      </c>
      <c r="K16" s="50" t="s">
        <v>86</v>
      </c>
      <c r="L16" s="7">
        <v>3221</v>
      </c>
      <c r="M16" s="7">
        <v>15</v>
      </c>
      <c r="N16" s="7">
        <v>2</v>
      </c>
      <c r="O16" s="7">
        <v>0</v>
      </c>
      <c r="P16" s="7">
        <v>2</v>
      </c>
      <c r="Q16" s="69">
        <f t="shared" si="6"/>
        <v>4.6569388388699165E-3</v>
      </c>
      <c r="R16" s="69">
        <f t="shared" si="7"/>
        <v>0.13333333333333333</v>
      </c>
      <c r="S16" s="7"/>
      <c r="T16" s="7"/>
      <c r="U16" s="7"/>
      <c r="V16" s="7"/>
      <c r="W16" s="7"/>
    </row>
    <row r="17" spans="1:23">
      <c r="A17" s="6">
        <v>46134</v>
      </c>
      <c r="B17" s="7" t="s">
        <v>392</v>
      </c>
      <c r="C17" s="62">
        <v>0.85416666666666663</v>
      </c>
      <c r="D17" s="7" t="s">
        <v>411</v>
      </c>
      <c r="E17" s="7" t="s">
        <v>28</v>
      </c>
      <c r="F17" s="7" t="s">
        <v>412</v>
      </c>
      <c r="G17" s="7" t="s">
        <v>85</v>
      </c>
      <c r="H17" s="7" t="s">
        <v>210</v>
      </c>
      <c r="I17" s="75" t="s">
        <v>391</v>
      </c>
      <c r="J17" s="7" t="s">
        <v>28</v>
      </c>
      <c r="K17" s="50" t="s">
        <v>86</v>
      </c>
      <c r="L17" s="7">
        <v>449</v>
      </c>
      <c r="M17" s="7">
        <v>16</v>
      </c>
      <c r="N17" s="7">
        <v>5</v>
      </c>
      <c r="O17" s="7">
        <v>0</v>
      </c>
      <c r="P17" s="7">
        <v>0</v>
      </c>
      <c r="Q17" s="69">
        <f t="shared" ref="Q17" si="8">M17/L17</f>
        <v>3.5634743875278395E-2</v>
      </c>
      <c r="R17" s="69">
        <f t="shared" ref="R17" si="9">N17/M17</f>
        <v>0.3125</v>
      </c>
      <c r="S17" s="7"/>
      <c r="T17" s="7"/>
      <c r="U17" s="7"/>
      <c r="V17" s="7"/>
      <c r="W17" s="7"/>
    </row>
    <row r="18" spans="1:23" ht="6.6" customHeight="1">
      <c r="A18" s="22"/>
      <c r="B18" s="23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5"/>
      <c r="R18" s="25"/>
      <c r="S18" s="24"/>
      <c r="T18" s="24"/>
      <c r="U18" s="24"/>
      <c r="V18" s="25"/>
      <c r="W18" s="26"/>
    </row>
    <row r="19" spans="1:23">
      <c r="A19" s="6">
        <v>46135</v>
      </c>
      <c r="B19" s="7" t="s">
        <v>552</v>
      </c>
      <c r="C19" s="18" t="s">
        <v>305</v>
      </c>
      <c r="D19" s="18" t="s">
        <v>306</v>
      </c>
      <c r="E19" s="18" t="s">
        <v>28</v>
      </c>
      <c r="F19" s="18" t="s">
        <v>307</v>
      </c>
      <c r="G19" s="18" t="s">
        <v>85</v>
      </c>
      <c r="H19" s="18" t="s">
        <v>186</v>
      </c>
      <c r="I19" s="47"/>
      <c r="J19" s="18" t="s">
        <v>28</v>
      </c>
      <c r="K19" s="18" t="s">
        <v>186</v>
      </c>
      <c r="L19" s="7">
        <v>1286</v>
      </c>
      <c r="M19" s="7">
        <v>6</v>
      </c>
      <c r="N19" s="7">
        <v>0</v>
      </c>
      <c r="O19" s="7">
        <v>0</v>
      </c>
      <c r="P19" s="7">
        <v>1</v>
      </c>
      <c r="Q19" s="69">
        <f t="shared" ref="Q19:R27" si="10">M19/L19</f>
        <v>4.6656298600311046E-3</v>
      </c>
      <c r="R19" s="69">
        <f t="shared" si="10"/>
        <v>0</v>
      </c>
      <c r="S19" s="7"/>
      <c r="T19" s="7"/>
      <c r="U19" s="7"/>
      <c r="V19" s="7"/>
      <c r="W19" s="7"/>
    </row>
    <row r="20" spans="1:23">
      <c r="A20" s="6">
        <v>46135</v>
      </c>
      <c r="B20" s="7" t="s">
        <v>552</v>
      </c>
      <c r="C20" s="18" t="s">
        <v>347</v>
      </c>
      <c r="D20" s="18" t="s">
        <v>352</v>
      </c>
      <c r="E20" s="18" t="s">
        <v>28</v>
      </c>
      <c r="F20" s="18" t="s">
        <v>353</v>
      </c>
      <c r="G20" s="18" t="s">
        <v>85</v>
      </c>
      <c r="H20" s="18" t="s">
        <v>186</v>
      </c>
      <c r="I20" s="47"/>
      <c r="J20" s="18" t="s">
        <v>28</v>
      </c>
      <c r="K20" s="18" t="s">
        <v>186</v>
      </c>
      <c r="L20" s="7"/>
      <c r="M20" s="7"/>
      <c r="N20" s="7"/>
      <c r="O20" s="7"/>
      <c r="P20" s="7"/>
      <c r="Q20" s="69" t="e">
        <f t="shared" si="10"/>
        <v>#DIV/0!</v>
      </c>
      <c r="R20" s="69" t="e">
        <f t="shared" si="10"/>
        <v>#DIV/0!</v>
      </c>
      <c r="S20" s="7"/>
      <c r="T20" s="7"/>
      <c r="U20" s="7"/>
      <c r="V20" s="7"/>
      <c r="W20" s="7"/>
    </row>
    <row r="21" spans="1:23">
      <c r="A21" s="6">
        <v>46135</v>
      </c>
      <c r="B21" s="7" t="s">
        <v>552</v>
      </c>
      <c r="C21" s="18" t="s">
        <v>305</v>
      </c>
      <c r="D21" s="18" t="s">
        <v>507</v>
      </c>
      <c r="E21" s="18" t="s">
        <v>28</v>
      </c>
      <c r="F21" s="18" t="s">
        <v>506</v>
      </c>
      <c r="G21" s="18" t="s">
        <v>85</v>
      </c>
      <c r="H21" s="18" t="s">
        <v>106</v>
      </c>
      <c r="I21" s="47" t="s">
        <v>501</v>
      </c>
      <c r="J21" s="18" t="s">
        <v>28</v>
      </c>
      <c r="K21" s="18" t="s">
        <v>106</v>
      </c>
      <c r="L21" s="7">
        <v>293</v>
      </c>
      <c r="M21" s="7">
        <v>5</v>
      </c>
      <c r="N21" s="7">
        <v>2</v>
      </c>
      <c r="O21" s="7">
        <v>0</v>
      </c>
      <c r="P21" s="7">
        <v>1</v>
      </c>
      <c r="Q21" s="69">
        <f t="shared" si="10"/>
        <v>1.7064846416382253E-2</v>
      </c>
      <c r="R21" s="69">
        <f t="shared" si="10"/>
        <v>0.4</v>
      </c>
      <c r="S21" s="7"/>
      <c r="T21" s="7"/>
      <c r="U21" s="7"/>
      <c r="V21" s="7"/>
      <c r="W21" s="7"/>
    </row>
    <row r="22" spans="1:23">
      <c r="A22" s="6">
        <v>46135</v>
      </c>
      <c r="B22" s="7" t="s">
        <v>552</v>
      </c>
      <c r="C22" s="62">
        <v>0.79166666666666663</v>
      </c>
      <c r="D22" s="77" t="s">
        <v>520</v>
      </c>
      <c r="E22" s="77" t="s">
        <v>28</v>
      </c>
      <c r="F22" s="77" t="s">
        <v>438</v>
      </c>
      <c r="G22" s="77" t="s">
        <v>85</v>
      </c>
      <c r="H22" s="77" t="s">
        <v>359</v>
      </c>
      <c r="I22" s="47" t="s">
        <v>209</v>
      </c>
      <c r="J22" s="77" t="s">
        <v>28</v>
      </c>
      <c r="K22" s="77" t="s">
        <v>359</v>
      </c>
      <c r="L22" s="7">
        <v>1316</v>
      </c>
      <c r="M22" s="7">
        <v>19</v>
      </c>
      <c r="N22" s="7">
        <v>7</v>
      </c>
      <c r="O22" s="7">
        <v>1</v>
      </c>
      <c r="P22" s="7">
        <v>4</v>
      </c>
      <c r="Q22" s="69">
        <f t="shared" si="10"/>
        <v>1.4437689969604863E-2</v>
      </c>
      <c r="R22" s="69">
        <f t="shared" si="10"/>
        <v>0.36842105263157893</v>
      </c>
      <c r="S22" s="7"/>
      <c r="T22" s="7"/>
      <c r="U22" s="7"/>
      <c r="V22" s="7"/>
      <c r="W22" s="7"/>
    </row>
    <row r="23" spans="1:23">
      <c r="A23" s="6">
        <v>46135</v>
      </c>
      <c r="B23" s="7" t="s">
        <v>552</v>
      </c>
      <c r="C23" s="62">
        <v>0.80208333333333337</v>
      </c>
      <c r="D23" s="77" t="s">
        <v>521</v>
      </c>
      <c r="E23" s="77" t="s">
        <v>28</v>
      </c>
      <c r="F23" s="77" t="s">
        <v>522</v>
      </c>
      <c r="G23" s="77" t="s">
        <v>85</v>
      </c>
      <c r="H23" s="77" t="s">
        <v>358</v>
      </c>
      <c r="I23" s="47" t="s">
        <v>209</v>
      </c>
      <c r="J23" s="77" t="s">
        <v>28</v>
      </c>
      <c r="K23" s="77" t="s">
        <v>358</v>
      </c>
      <c r="L23" s="7">
        <v>2987</v>
      </c>
      <c r="M23" s="7">
        <v>32</v>
      </c>
      <c r="N23" s="7">
        <v>7</v>
      </c>
      <c r="O23" s="7">
        <v>0</v>
      </c>
      <c r="P23" s="7">
        <v>4</v>
      </c>
      <c r="Q23" s="69">
        <f t="shared" si="10"/>
        <v>1.0713090056913292E-2</v>
      </c>
      <c r="R23" s="69">
        <f t="shared" si="10"/>
        <v>0.21875</v>
      </c>
      <c r="S23" s="7"/>
      <c r="T23" s="7"/>
      <c r="U23" s="7"/>
      <c r="V23" s="7"/>
      <c r="W23" s="7"/>
    </row>
    <row r="24" spans="1:23">
      <c r="A24" s="6">
        <v>46135</v>
      </c>
      <c r="B24" s="7" t="s">
        <v>552</v>
      </c>
      <c r="C24" s="62">
        <v>0.77083333333333337</v>
      </c>
      <c r="D24" s="77" t="s">
        <v>523</v>
      </c>
      <c r="E24" s="77" t="s">
        <v>28</v>
      </c>
      <c r="F24" s="77" t="s">
        <v>524</v>
      </c>
      <c r="G24" s="77" t="s">
        <v>85</v>
      </c>
      <c r="H24" s="77" t="s">
        <v>350</v>
      </c>
      <c r="I24" s="47" t="s">
        <v>209</v>
      </c>
      <c r="J24" s="77" t="s">
        <v>28</v>
      </c>
      <c r="K24" s="77" t="s">
        <v>350</v>
      </c>
      <c r="L24" s="7">
        <v>5668</v>
      </c>
      <c r="M24" s="7">
        <v>46</v>
      </c>
      <c r="N24" s="7">
        <v>6</v>
      </c>
      <c r="O24" s="7">
        <v>1</v>
      </c>
      <c r="P24" s="7">
        <v>7</v>
      </c>
      <c r="Q24" s="69">
        <f t="shared" si="10"/>
        <v>8.1157374735356391E-3</v>
      </c>
      <c r="R24" s="69">
        <f t="shared" si="10"/>
        <v>0.13043478260869565</v>
      </c>
      <c r="S24" s="7"/>
      <c r="T24" s="7"/>
      <c r="U24" s="7"/>
      <c r="V24" s="7"/>
      <c r="W24" s="7"/>
    </row>
    <row r="25" spans="1:23">
      <c r="A25" s="6">
        <v>46135</v>
      </c>
      <c r="B25" s="7" t="s">
        <v>552</v>
      </c>
      <c r="C25" s="62">
        <v>0.8125</v>
      </c>
      <c r="D25" s="77" t="s">
        <v>525</v>
      </c>
      <c r="E25" s="77" t="s">
        <v>28</v>
      </c>
      <c r="F25" s="77" t="s">
        <v>440</v>
      </c>
      <c r="G25" s="77" t="s">
        <v>85</v>
      </c>
      <c r="H25" s="77" t="s">
        <v>351</v>
      </c>
      <c r="I25" s="47" t="s">
        <v>209</v>
      </c>
      <c r="J25" s="77" t="s">
        <v>28</v>
      </c>
      <c r="K25" s="77" t="s">
        <v>351</v>
      </c>
      <c r="L25" s="7">
        <v>3358</v>
      </c>
      <c r="M25" s="7">
        <v>24</v>
      </c>
      <c r="N25" s="7">
        <v>6</v>
      </c>
      <c r="O25" s="7">
        <v>0</v>
      </c>
      <c r="P25" s="7">
        <v>2</v>
      </c>
      <c r="Q25" s="69">
        <f t="shared" si="10"/>
        <v>7.1471113758189396E-3</v>
      </c>
      <c r="R25" s="69">
        <f t="shared" si="10"/>
        <v>0.25</v>
      </c>
      <c r="S25" s="7"/>
      <c r="T25" s="7"/>
      <c r="U25" s="7"/>
      <c r="V25" s="7"/>
      <c r="W25" s="7"/>
    </row>
    <row r="26" spans="1:23">
      <c r="A26" s="6">
        <v>46135</v>
      </c>
      <c r="B26" s="7" t="s">
        <v>552</v>
      </c>
      <c r="C26" s="62">
        <v>0.85416666666666663</v>
      </c>
      <c r="D26" s="88" t="s">
        <v>536</v>
      </c>
      <c r="E26" s="88" t="s">
        <v>28</v>
      </c>
      <c r="F26" s="88" t="s">
        <v>537</v>
      </c>
      <c r="G26" s="7" t="s">
        <v>85</v>
      </c>
      <c r="H26" s="7" t="s">
        <v>210</v>
      </c>
      <c r="I26" s="47" t="s">
        <v>209</v>
      </c>
      <c r="J26" s="7" t="s">
        <v>28</v>
      </c>
      <c r="K26" s="7" t="s">
        <v>210</v>
      </c>
      <c r="L26" s="7">
        <v>523</v>
      </c>
      <c r="M26" s="7">
        <v>29</v>
      </c>
      <c r="N26" s="7">
        <v>15</v>
      </c>
      <c r="O26" s="7">
        <v>1</v>
      </c>
      <c r="P26" s="7">
        <v>0</v>
      </c>
      <c r="Q26" s="69">
        <f t="shared" si="10"/>
        <v>5.5449330783938815E-2</v>
      </c>
      <c r="R26" s="69">
        <f t="shared" si="10"/>
        <v>0.51724137931034486</v>
      </c>
      <c r="S26" s="7"/>
      <c r="T26" s="7"/>
      <c r="U26" s="7"/>
      <c r="V26" s="7"/>
      <c r="W26" s="7"/>
    </row>
    <row r="27" spans="1:23" ht="16.8">
      <c r="A27" s="6">
        <v>46135</v>
      </c>
      <c r="B27" s="7" t="s">
        <v>552</v>
      </c>
      <c r="C27" s="91">
        <v>0.89583333333333337</v>
      </c>
      <c r="D27" s="86" t="s">
        <v>508</v>
      </c>
      <c r="E27" s="7" t="s">
        <v>28</v>
      </c>
      <c r="F27" s="86" t="s">
        <v>511</v>
      </c>
      <c r="G27" s="7" t="s">
        <v>85</v>
      </c>
      <c r="H27" s="52" t="s">
        <v>157</v>
      </c>
      <c r="I27" s="98" t="s">
        <v>500</v>
      </c>
      <c r="J27" s="7" t="s">
        <v>28</v>
      </c>
      <c r="K27" s="52" t="s">
        <v>157</v>
      </c>
      <c r="L27" s="86"/>
      <c r="M27" s="86"/>
      <c r="N27" s="86"/>
      <c r="O27" s="86"/>
      <c r="P27" s="86"/>
      <c r="Q27" s="69" t="e">
        <f t="shared" si="10"/>
        <v>#DIV/0!</v>
      </c>
      <c r="R27" s="69" t="e">
        <f t="shared" si="10"/>
        <v>#DIV/0!</v>
      </c>
      <c r="S27" s="86"/>
      <c r="T27" s="86"/>
      <c r="U27" s="86"/>
      <c r="V27" s="86"/>
      <c r="W27" s="87"/>
    </row>
    <row r="28" spans="1:23" ht="6.6" customHeight="1">
      <c r="A28" s="22"/>
      <c r="B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5"/>
      <c r="R28" s="25"/>
      <c r="S28" s="24"/>
      <c r="T28" s="24"/>
      <c r="U28" s="24"/>
      <c r="V28" s="25"/>
      <c r="W28" s="26"/>
    </row>
    <row r="29" spans="1:23">
      <c r="A29" s="6">
        <v>46136</v>
      </c>
      <c r="B29" s="7" t="s">
        <v>553</v>
      </c>
      <c r="C29" s="18" t="s">
        <v>599</v>
      </c>
      <c r="D29" s="18" t="s">
        <v>306</v>
      </c>
      <c r="E29" s="18" t="s">
        <v>28</v>
      </c>
      <c r="F29" s="18" t="s">
        <v>307</v>
      </c>
      <c r="G29" s="18" t="s">
        <v>85</v>
      </c>
      <c r="H29" s="18" t="s">
        <v>186</v>
      </c>
      <c r="I29" s="47"/>
      <c r="J29" s="18" t="s">
        <v>28</v>
      </c>
      <c r="K29" s="18" t="s">
        <v>186</v>
      </c>
      <c r="L29" s="7">
        <v>2183</v>
      </c>
      <c r="M29" s="7">
        <v>12</v>
      </c>
      <c r="N29" s="7">
        <v>1</v>
      </c>
      <c r="O29" s="7">
        <v>0</v>
      </c>
      <c r="P29" s="7">
        <v>0</v>
      </c>
      <c r="Q29" s="69">
        <f t="shared" ref="Q29:R39" si="11">M29/L29</f>
        <v>5.4970224461749883E-3</v>
      </c>
      <c r="R29" s="69">
        <f t="shared" si="11"/>
        <v>8.3333333333333329E-2</v>
      </c>
      <c r="S29" s="7"/>
      <c r="T29" s="7"/>
      <c r="U29" s="7"/>
      <c r="V29" s="7"/>
      <c r="W29" s="7"/>
    </row>
    <row r="30" spans="1:23">
      <c r="A30" s="6">
        <v>46136</v>
      </c>
      <c r="B30" s="7" t="s">
        <v>553</v>
      </c>
      <c r="C30" s="18" t="s">
        <v>600</v>
      </c>
      <c r="D30" s="18" t="s">
        <v>602</v>
      </c>
      <c r="E30" s="18" t="s">
        <v>28</v>
      </c>
      <c r="F30" s="18" t="s">
        <v>601</v>
      </c>
      <c r="G30" s="18"/>
      <c r="H30" s="18" t="s">
        <v>186</v>
      </c>
      <c r="I30" s="14" t="s">
        <v>554</v>
      </c>
      <c r="J30" s="18"/>
      <c r="K30" s="18"/>
      <c r="L30" s="7"/>
      <c r="M30" s="7"/>
      <c r="N30" s="7"/>
      <c r="O30" s="7"/>
      <c r="P30" s="7"/>
      <c r="Q30" s="69" t="e">
        <f t="shared" si="11"/>
        <v>#DIV/0!</v>
      </c>
      <c r="R30" s="69" t="e">
        <f t="shared" si="11"/>
        <v>#DIV/0!</v>
      </c>
      <c r="S30" s="7"/>
      <c r="T30" s="7"/>
      <c r="U30" s="7"/>
      <c r="V30" s="7"/>
      <c r="W30" s="7"/>
    </row>
    <row r="31" spans="1:23">
      <c r="A31" s="6">
        <v>46136</v>
      </c>
      <c r="B31" s="7" t="s">
        <v>553</v>
      </c>
      <c r="C31" s="18" t="s">
        <v>347</v>
      </c>
      <c r="D31" s="18" t="s">
        <v>352</v>
      </c>
      <c r="E31" s="18" t="s">
        <v>28</v>
      </c>
      <c r="F31" s="18" t="s">
        <v>353</v>
      </c>
      <c r="G31" s="18" t="s">
        <v>85</v>
      </c>
      <c r="H31" s="18" t="s">
        <v>186</v>
      </c>
      <c r="I31" s="47"/>
      <c r="J31" s="18" t="s">
        <v>28</v>
      </c>
      <c r="K31" s="18" t="s">
        <v>186</v>
      </c>
      <c r="L31" s="7"/>
      <c r="M31" s="7"/>
      <c r="N31" s="7"/>
      <c r="O31" s="7"/>
      <c r="P31" s="7"/>
      <c r="Q31" s="69" t="e">
        <f t="shared" si="11"/>
        <v>#DIV/0!</v>
      </c>
      <c r="R31" s="69" t="e">
        <f t="shared" si="11"/>
        <v>#DIV/0!</v>
      </c>
      <c r="S31" s="7"/>
      <c r="T31" s="7"/>
      <c r="U31" s="7"/>
      <c r="V31" s="7"/>
      <c r="W31" s="7"/>
    </row>
    <row r="32" spans="1:23">
      <c r="A32" s="6">
        <v>46136</v>
      </c>
      <c r="B32" s="7" t="s">
        <v>553</v>
      </c>
      <c r="C32" s="18" t="s">
        <v>599</v>
      </c>
      <c r="D32" s="18" t="s">
        <v>507</v>
      </c>
      <c r="E32" s="18" t="s">
        <v>28</v>
      </c>
      <c r="F32" s="18" t="s">
        <v>506</v>
      </c>
      <c r="G32" s="18" t="s">
        <v>85</v>
      </c>
      <c r="H32" s="18" t="s">
        <v>106</v>
      </c>
      <c r="I32" s="47"/>
      <c r="J32" s="18" t="s">
        <v>28</v>
      </c>
      <c r="K32" s="18" t="s">
        <v>106</v>
      </c>
      <c r="L32" s="7">
        <v>725</v>
      </c>
      <c r="M32" s="7">
        <v>12</v>
      </c>
      <c r="N32" s="7">
        <v>1</v>
      </c>
      <c r="O32" s="7"/>
      <c r="P32" s="7"/>
      <c r="Q32" s="69">
        <f t="shared" si="11"/>
        <v>1.6551724137931035E-2</v>
      </c>
      <c r="R32" s="69">
        <f t="shared" si="11"/>
        <v>8.3333333333333329E-2</v>
      </c>
      <c r="S32" s="7"/>
      <c r="T32" s="7"/>
      <c r="U32" s="7"/>
      <c r="V32" s="7"/>
      <c r="W32" s="7"/>
    </row>
    <row r="33" spans="1:23">
      <c r="A33" s="6">
        <v>46136</v>
      </c>
      <c r="B33" s="7" t="s">
        <v>553</v>
      </c>
      <c r="C33" s="18" t="s">
        <v>600</v>
      </c>
      <c r="D33" s="18" t="s">
        <v>602</v>
      </c>
      <c r="E33" s="18" t="s">
        <v>28</v>
      </c>
      <c r="F33" s="18" t="s">
        <v>601</v>
      </c>
      <c r="G33" s="18" t="s">
        <v>85</v>
      </c>
      <c r="H33" s="18" t="s">
        <v>106</v>
      </c>
      <c r="I33" s="14" t="s">
        <v>554</v>
      </c>
      <c r="J33" s="18"/>
      <c r="K33" s="18"/>
      <c r="L33" s="7"/>
      <c r="M33" s="7"/>
      <c r="N33" s="7"/>
      <c r="O33" s="7"/>
      <c r="P33" s="7"/>
      <c r="Q33" s="69" t="e">
        <f t="shared" si="11"/>
        <v>#DIV/0!</v>
      </c>
      <c r="R33" s="69" t="e">
        <f t="shared" si="11"/>
        <v>#DIV/0!</v>
      </c>
      <c r="S33" s="7"/>
      <c r="T33" s="7"/>
      <c r="U33" s="7"/>
      <c r="V33" s="7"/>
      <c r="W33" s="7"/>
    </row>
    <row r="34" spans="1:23">
      <c r="A34" s="6">
        <v>46136</v>
      </c>
      <c r="B34" s="7" t="s">
        <v>553</v>
      </c>
      <c r="C34" s="62">
        <v>0.79166666666666663</v>
      </c>
      <c r="D34" s="7" t="s">
        <v>569</v>
      </c>
      <c r="E34" s="7" t="s">
        <v>28</v>
      </c>
      <c r="F34" s="7" t="s">
        <v>356</v>
      </c>
      <c r="G34" s="7" t="s">
        <v>85</v>
      </c>
      <c r="H34" s="77" t="s">
        <v>359</v>
      </c>
      <c r="I34" s="84"/>
      <c r="J34" s="77" t="s">
        <v>28</v>
      </c>
      <c r="K34" s="77" t="s">
        <v>359</v>
      </c>
      <c r="L34" s="7">
        <v>1279</v>
      </c>
      <c r="M34" s="7">
        <v>13</v>
      </c>
      <c r="N34" s="7">
        <v>2</v>
      </c>
      <c r="O34" s="7">
        <v>1</v>
      </c>
      <c r="P34" s="7">
        <v>3</v>
      </c>
      <c r="Q34" s="69">
        <f t="shared" si="11"/>
        <v>1.0164190774042221E-2</v>
      </c>
      <c r="R34" s="69">
        <f t="shared" si="11"/>
        <v>0.15384615384615385</v>
      </c>
      <c r="S34" s="7"/>
      <c r="T34" s="7"/>
      <c r="U34" s="7"/>
      <c r="V34" s="7"/>
      <c r="W34" s="7"/>
    </row>
    <row r="35" spans="1:23">
      <c r="A35" s="6">
        <v>46136</v>
      </c>
      <c r="B35" s="7" t="s">
        <v>553</v>
      </c>
      <c r="C35" s="62">
        <v>0.80208333333333337</v>
      </c>
      <c r="D35" s="7" t="s">
        <v>570</v>
      </c>
      <c r="E35" s="7" t="s">
        <v>28</v>
      </c>
      <c r="F35" s="7" t="s">
        <v>361</v>
      </c>
      <c r="G35" s="7" t="s">
        <v>85</v>
      </c>
      <c r="H35" s="77" t="s">
        <v>358</v>
      </c>
      <c r="I35" s="84"/>
      <c r="J35" s="77" t="s">
        <v>28</v>
      </c>
      <c r="K35" s="77" t="s">
        <v>358</v>
      </c>
      <c r="L35" s="7">
        <v>2985</v>
      </c>
      <c r="M35" s="7">
        <v>31</v>
      </c>
      <c r="N35" s="7">
        <v>7</v>
      </c>
      <c r="O35" s="7">
        <v>0</v>
      </c>
      <c r="P35" s="7">
        <v>2</v>
      </c>
      <c r="Q35" s="69">
        <f t="shared" si="11"/>
        <v>1.0385259631490788E-2</v>
      </c>
      <c r="R35" s="69">
        <f t="shared" si="11"/>
        <v>0.22580645161290322</v>
      </c>
      <c r="S35" s="7"/>
      <c r="T35" s="7"/>
      <c r="U35" s="7"/>
      <c r="V35" s="7"/>
      <c r="W35" s="7"/>
    </row>
    <row r="36" spans="1:23">
      <c r="A36" s="6">
        <v>46136</v>
      </c>
      <c r="B36" s="7" t="s">
        <v>553</v>
      </c>
      <c r="C36" s="62">
        <v>0.77083333333333337</v>
      </c>
      <c r="D36" s="7" t="s">
        <v>571</v>
      </c>
      <c r="E36" s="7" t="s">
        <v>28</v>
      </c>
      <c r="F36" s="7" t="s">
        <v>363</v>
      </c>
      <c r="G36" s="7" t="s">
        <v>85</v>
      </c>
      <c r="H36" s="77" t="s">
        <v>350</v>
      </c>
      <c r="I36" s="84"/>
      <c r="J36" s="77" t="s">
        <v>28</v>
      </c>
      <c r="K36" s="77" t="s">
        <v>350</v>
      </c>
      <c r="L36" s="7">
        <v>5340</v>
      </c>
      <c r="M36" s="7">
        <v>22</v>
      </c>
      <c r="N36" s="7">
        <v>3</v>
      </c>
      <c r="O36" s="7">
        <v>0</v>
      </c>
      <c r="P36" s="7">
        <v>0</v>
      </c>
      <c r="Q36" s="69">
        <f t="shared" si="11"/>
        <v>4.1198501872659176E-3</v>
      </c>
      <c r="R36" s="69">
        <f t="shared" si="11"/>
        <v>0.13636363636363635</v>
      </c>
      <c r="S36" s="7"/>
      <c r="T36" s="7"/>
      <c r="U36" s="7"/>
      <c r="V36" s="7"/>
      <c r="W36" s="7"/>
    </row>
    <row r="37" spans="1:23">
      <c r="A37" s="6">
        <v>46136</v>
      </c>
      <c r="B37" s="7" t="s">
        <v>553</v>
      </c>
      <c r="C37" s="62">
        <v>0.8125</v>
      </c>
      <c r="D37" s="7" t="s">
        <v>572</v>
      </c>
      <c r="E37" s="7" t="s">
        <v>28</v>
      </c>
      <c r="F37" s="7" t="s">
        <v>364</v>
      </c>
      <c r="G37" s="7" t="s">
        <v>85</v>
      </c>
      <c r="H37" s="77" t="s">
        <v>351</v>
      </c>
      <c r="I37" s="84"/>
      <c r="J37" s="77" t="s">
        <v>28</v>
      </c>
      <c r="K37" s="77" t="s">
        <v>351</v>
      </c>
      <c r="L37" s="7">
        <v>3160</v>
      </c>
      <c r="M37" s="7">
        <v>17</v>
      </c>
      <c r="N37" s="7">
        <v>5</v>
      </c>
      <c r="O37" s="7">
        <v>0</v>
      </c>
      <c r="P37" s="7">
        <v>0</v>
      </c>
      <c r="Q37" s="69">
        <f t="shared" si="11"/>
        <v>5.379746835443038E-3</v>
      </c>
      <c r="R37" s="69">
        <f t="shared" si="11"/>
        <v>0.29411764705882354</v>
      </c>
      <c r="S37" s="7"/>
      <c r="T37" s="7"/>
      <c r="U37" s="7"/>
      <c r="V37" s="7"/>
      <c r="W37" s="7"/>
    </row>
    <row r="38" spans="1:23">
      <c r="A38" s="6">
        <v>46136</v>
      </c>
      <c r="B38" s="7" t="s">
        <v>553</v>
      </c>
      <c r="C38" s="62">
        <v>0.85416666666666663</v>
      </c>
      <c r="D38" s="88" t="s">
        <v>583</v>
      </c>
      <c r="E38" s="88" t="s">
        <v>28</v>
      </c>
      <c r="F38" s="88" t="s">
        <v>584</v>
      </c>
      <c r="G38" s="7" t="s">
        <v>85</v>
      </c>
      <c r="H38" s="7" t="s">
        <v>210</v>
      </c>
      <c r="I38" s="14" t="s">
        <v>209</v>
      </c>
      <c r="J38" s="7" t="s">
        <v>28</v>
      </c>
      <c r="K38" s="7" t="s">
        <v>210</v>
      </c>
      <c r="L38" s="7">
        <v>625</v>
      </c>
      <c r="M38" s="7">
        <v>29</v>
      </c>
      <c r="N38" s="7">
        <v>15</v>
      </c>
      <c r="O38" s="7">
        <v>0</v>
      </c>
      <c r="P38" s="7">
        <v>0</v>
      </c>
      <c r="Q38" s="69">
        <f t="shared" si="11"/>
        <v>4.6399999999999997E-2</v>
      </c>
      <c r="R38" s="69">
        <f t="shared" si="11"/>
        <v>0.51724137931034486</v>
      </c>
      <c r="S38" s="7"/>
      <c r="T38" s="7"/>
      <c r="U38" s="7"/>
      <c r="V38" s="7"/>
      <c r="W38" s="7"/>
    </row>
    <row r="39" spans="1:23" ht="16.8">
      <c r="A39" s="6">
        <v>46136</v>
      </c>
      <c r="B39" s="7" t="s">
        <v>553</v>
      </c>
      <c r="C39" s="91">
        <v>0.89583333333333337</v>
      </c>
      <c r="D39" s="7" t="s">
        <v>606</v>
      </c>
      <c r="E39" s="7" t="s">
        <v>28</v>
      </c>
      <c r="F39" s="7" t="s">
        <v>363</v>
      </c>
      <c r="G39" s="7" t="s">
        <v>85</v>
      </c>
      <c r="H39" s="52" t="s">
        <v>157</v>
      </c>
      <c r="I39" s="98"/>
      <c r="J39" s="7" t="s">
        <v>28</v>
      </c>
      <c r="K39" s="52" t="s">
        <v>157</v>
      </c>
      <c r="L39" s="86">
        <v>492</v>
      </c>
      <c r="M39" s="86">
        <v>13</v>
      </c>
      <c r="N39" s="86">
        <v>2</v>
      </c>
      <c r="O39" s="86"/>
      <c r="P39" s="86"/>
      <c r="Q39" s="69">
        <f t="shared" si="11"/>
        <v>2.6422764227642278E-2</v>
      </c>
      <c r="R39" s="69">
        <f t="shared" si="11"/>
        <v>0.15384615384615385</v>
      </c>
      <c r="S39" s="86"/>
      <c r="T39" s="86"/>
      <c r="U39" s="86"/>
      <c r="V39" s="86"/>
      <c r="W39" s="87"/>
    </row>
    <row r="40" spans="1:23" ht="6.6" customHeight="1">
      <c r="A40" s="22"/>
      <c r="B40" s="23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5"/>
      <c r="R40" s="25"/>
      <c r="S40" s="24"/>
      <c r="T40" s="24"/>
      <c r="U40" s="24"/>
      <c r="V40" s="25"/>
      <c r="W40" s="26"/>
    </row>
    <row r="41" spans="1:23">
      <c r="A41" s="6">
        <v>46137</v>
      </c>
      <c r="B41" s="7" t="s">
        <v>577</v>
      </c>
      <c r="C41" s="18" t="s">
        <v>599</v>
      </c>
      <c r="D41" s="18" t="s">
        <v>306</v>
      </c>
      <c r="E41" s="18" t="s">
        <v>28</v>
      </c>
      <c r="F41" s="18" t="s">
        <v>307</v>
      </c>
      <c r="G41" s="18" t="s">
        <v>85</v>
      </c>
      <c r="H41" s="18" t="s">
        <v>186</v>
      </c>
      <c r="I41" s="47"/>
      <c r="J41" s="18" t="s">
        <v>28</v>
      </c>
      <c r="K41" s="18" t="s">
        <v>186</v>
      </c>
      <c r="L41" s="7">
        <v>2205</v>
      </c>
      <c r="M41" s="7">
        <v>19</v>
      </c>
      <c r="N41" s="7">
        <v>3</v>
      </c>
      <c r="O41" s="7">
        <v>1</v>
      </c>
      <c r="P41" s="7">
        <v>4</v>
      </c>
      <c r="Q41" s="69">
        <f t="shared" ref="Q41:R41" si="12">M41/L41</f>
        <v>8.6167800453514735E-3</v>
      </c>
      <c r="R41" s="69">
        <f t="shared" si="12"/>
        <v>0.15789473684210525</v>
      </c>
      <c r="S41" s="7"/>
      <c r="T41" s="7"/>
      <c r="U41" s="7"/>
      <c r="V41" s="7"/>
      <c r="W41" s="7"/>
    </row>
    <row r="42" spans="1:23">
      <c r="A42" s="6">
        <v>46137</v>
      </c>
      <c r="B42" s="7" t="s">
        <v>577</v>
      </c>
      <c r="C42" s="18" t="s">
        <v>600</v>
      </c>
      <c r="D42" s="18" t="s">
        <v>602</v>
      </c>
      <c r="E42" s="18" t="s">
        <v>28</v>
      </c>
      <c r="F42" s="18" t="s">
        <v>601</v>
      </c>
      <c r="G42" s="18"/>
      <c r="H42" s="18" t="s">
        <v>186</v>
      </c>
      <c r="I42" s="29"/>
      <c r="J42" s="18"/>
      <c r="K42" s="18"/>
      <c r="L42" s="7"/>
      <c r="M42" s="7"/>
      <c r="N42" s="7"/>
      <c r="O42" s="7"/>
      <c r="P42" s="7"/>
      <c r="Q42" s="69"/>
      <c r="R42" s="69"/>
      <c r="S42" s="7"/>
      <c r="T42" s="7"/>
      <c r="U42" s="7"/>
      <c r="V42" s="7"/>
      <c r="W42" s="7"/>
    </row>
    <row r="43" spans="1:23">
      <c r="A43" s="6">
        <v>46137</v>
      </c>
      <c r="B43" s="7" t="s">
        <v>577</v>
      </c>
      <c r="C43" s="18" t="s">
        <v>347</v>
      </c>
      <c r="D43" s="18" t="s">
        <v>352</v>
      </c>
      <c r="E43" s="18" t="s">
        <v>28</v>
      </c>
      <c r="F43" s="18" t="s">
        <v>353</v>
      </c>
      <c r="G43" s="18" t="s">
        <v>85</v>
      </c>
      <c r="H43" s="18" t="s">
        <v>186</v>
      </c>
      <c r="I43" s="47"/>
      <c r="J43" s="18" t="s">
        <v>28</v>
      </c>
      <c r="K43" s="18" t="s">
        <v>186</v>
      </c>
      <c r="L43" s="7"/>
      <c r="M43" s="7"/>
      <c r="N43" s="7"/>
      <c r="O43" s="7"/>
      <c r="P43" s="7"/>
      <c r="Q43" s="69" t="e">
        <f t="shared" ref="Q43:R44" si="13">M43/L43</f>
        <v>#DIV/0!</v>
      </c>
      <c r="R43" s="69" t="e">
        <f t="shared" si="13"/>
        <v>#DIV/0!</v>
      </c>
      <c r="S43" s="7"/>
      <c r="T43" s="86"/>
      <c r="U43" s="86"/>
      <c r="V43" s="86"/>
      <c r="W43" s="7"/>
    </row>
    <row r="44" spans="1:23">
      <c r="A44" s="6">
        <v>46137</v>
      </c>
      <c r="B44" s="7" t="s">
        <v>577</v>
      </c>
      <c r="C44" s="18" t="s">
        <v>599</v>
      </c>
      <c r="D44" s="18" t="s">
        <v>507</v>
      </c>
      <c r="E44" s="18" t="s">
        <v>28</v>
      </c>
      <c r="F44" s="18" t="s">
        <v>506</v>
      </c>
      <c r="G44" s="18" t="s">
        <v>85</v>
      </c>
      <c r="H44" s="18" t="s">
        <v>106</v>
      </c>
      <c r="I44" s="47"/>
      <c r="J44" s="18" t="s">
        <v>28</v>
      </c>
      <c r="K44" s="18" t="s">
        <v>106</v>
      </c>
      <c r="L44" s="7">
        <v>790</v>
      </c>
      <c r="M44" s="7">
        <v>5</v>
      </c>
      <c r="N44" s="7">
        <v>2</v>
      </c>
      <c r="O44" s="7">
        <v>0</v>
      </c>
      <c r="P44" s="7">
        <v>2</v>
      </c>
      <c r="Q44" s="69">
        <f t="shared" si="13"/>
        <v>6.3291139240506328E-3</v>
      </c>
      <c r="R44" s="69">
        <f t="shared" si="13"/>
        <v>0.4</v>
      </c>
      <c r="S44" s="7"/>
      <c r="T44" s="7"/>
      <c r="U44" s="7"/>
      <c r="V44" s="7"/>
      <c r="W44" s="7"/>
    </row>
    <row r="45" spans="1:23">
      <c r="A45" s="6">
        <v>46137</v>
      </c>
      <c r="B45" s="7" t="s">
        <v>577</v>
      </c>
      <c r="C45" s="18" t="s">
        <v>600</v>
      </c>
      <c r="D45" s="18" t="s">
        <v>602</v>
      </c>
      <c r="E45" s="18" t="s">
        <v>28</v>
      </c>
      <c r="F45" s="18" t="s">
        <v>601</v>
      </c>
      <c r="G45" s="18" t="s">
        <v>85</v>
      </c>
      <c r="H45" s="18" t="s">
        <v>106</v>
      </c>
      <c r="I45" s="29"/>
      <c r="J45" s="18"/>
      <c r="K45" s="18"/>
      <c r="L45" s="7"/>
      <c r="M45" s="7"/>
      <c r="N45" s="7"/>
      <c r="O45" s="7"/>
      <c r="P45" s="7"/>
      <c r="Q45" s="69"/>
      <c r="R45" s="69"/>
      <c r="S45" s="7"/>
      <c r="T45" s="7"/>
      <c r="U45" s="7"/>
      <c r="V45" s="7"/>
      <c r="W45" s="7"/>
    </row>
    <row r="46" spans="1:23">
      <c r="A46" s="6">
        <v>46137</v>
      </c>
      <c r="B46" s="7" t="s">
        <v>577</v>
      </c>
      <c r="C46" s="62">
        <v>0.79166666666666663</v>
      </c>
      <c r="D46" s="77" t="s">
        <v>634</v>
      </c>
      <c r="E46" s="77" t="s">
        <v>28</v>
      </c>
      <c r="F46" s="77" t="s">
        <v>436</v>
      </c>
      <c r="G46" s="7" t="s">
        <v>85</v>
      </c>
      <c r="H46" s="77" t="s">
        <v>359</v>
      </c>
      <c r="I46" s="84"/>
      <c r="J46" s="77" t="s">
        <v>28</v>
      </c>
      <c r="K46" s="77" t="s">
        <v>359</v>
      </c>
      <c r="L46" s="7">
        <v>1310</v>
      </c>
      <c r="M46" s="7">
        <v>18</v>
      </c>
      <c r="N46" s="7">
        <v>5</v>
      </c>
      <c r="O46" s="7">
        <v>2</v>
      </c>
      <c r="P46" s="7">
        <v>3</v>
      </c>
      <c r="Q46" s="69">
        <f t="shared" ref="Q46:R51" si="14">M46/L46</f>
        <v>1.3740458015267175E-2</v>
      </c>
      <c r="R46" s="69">
        <f t="shared" si="14"/>
        <v>0.27777777777777779</v>
      </c>
      <c r="S46" s="7"/>
      <c r="T46" s="7"/>
      <c r="U46" s="7"/>
      <c r="V46" s="7"/>
      <c r="W46" s="7"/>
    </row>
    <row r="47" spans="1:23">
      <c r="A47" s="6">
        <v>46137</v>
      </c>
      <c r="B47" s="7" t="s">
        <v>577</v>
      </c>
      <c r="C47" s="62">
        <v>0.80208333333333337</v>
      </c>
      <c r="D47" s="77" t="s">
        <v>635</v>
      </c>
      <c r="E47" s="77" t="s">
        <v>28</v>
      </c>
      <c r="F47" s="77" t="s">
        <v>438</v>
      </c>
      <c r="G47" s="7" t="s">
        <v>85</v>
      </c>
      <c r="H47" s="77" t="s">
        <v>358</v>
      </c>
      <c r="I47" s="84"/>
      <c r="J47" s="77" t="s">
        <v>28</v>
      </c>
      <c r="K47" s="77" t="s">
        <v>358</v>
      </c>
      <c r="L47" s="7">
        <v>2980</v>
      </c>
      <c r="M47" s="7">
        <v>30</v>
      </c>
      <c r="N47" s="7">
        <v>9</v>
      </c>
      <c r="O47" s="7">
        <v>1</v>
      </c>
      <c r="P47" s="7">
        <v>3</v>
      </c>
      <c r="Q47" s="69">
        <f t="shared" si="14"/>
        <v>1.0067114093959731E-2</v>
      </c>
      <c r="R47" s="69">
        <f t="shared" si="14"/>
        <v>0.3</v>
      </c>
      <c r="S47" s="7"/>
      <c r="T47" s="7"/>
      <c r="U47" s="7"/>
      <c r="V47" s="7"/>
      <c r="W47" s="7"/>
    </row>
    <row r="48" spans="1:23">
      <c r="A48" s="6">
        <v>46137</v>
      </c>
      <c r="B48" s="7" t="s">
        <v>577</v>
      </c>
      <c r="C48" s="62">
        <v>0.77083333333333337</v>
      </c>
      <c r="D48" s="77" t="s">
        <v>636</v>
      </c>
      <c r="E48" s="77" t="s">
        <v>28</v>
      </c>
      <c r="F48" s="77" t="s">
        <v>440</v>
      </c>
      <c r="G48" s="7" t="s">
        <v>85</v>
      </c>
      <c r="H48" s="77" t="s">
        <v>350</v>
      </c>
      <c r="I48" s="84"/>
      <c r="J48" s="77" t="s">
        <v>28</v>
      </c>
      <c r="K48" s="77" t="s">
        <v>350</v>
      </c>
      <c r="L48" s="7">
        <v>5588</v>
      </c>
      <c r="M48" s="7">
        <v>24</v>
      </c>
      <c r="N48" s="7">
        <v>8</v>
      </c>
      <c r="O48" s="7">
        <v>2</v>
      </c>
      <c r="P48" s="7">
        <v>1</v>
      </c>
      <c r="Q48" s="69">
        <f t="shared" si="14"/>
        <v>4.2949176807444527E-3</v>
      </c>
      <c r="R48" s="69">
        <f t="shared" si="14"/>
        <v>0.33333333333333331</v>
      </c>
      <c r="S48" s="7"/>
      <c r="T48" s="7"/>
      <c r="U48" s="7"/>
      <c r="V48" s="7"/>
      <c r="W48" s="7"/>
    </row>
    <row r="49" spans="1:23">
      <c r="A49" s="6">
        <v>46137</v>
      </c>
      <c r="B49" s="7" t="s">
        <v>577</v>
      </c>
      <c r="C49" s="62">
        <v>0.8125</v>
      </c>
      <c r="D49" s="77" t="s">
        <v>637</v>
      </c>
      <c r="E49" s="77" t="s">
        <v>28</v>
      </c>
      <c r="F49" s="77" t="s">
        <v>442</v>
      </c>
      <c r="G49" s="7" t="s">
        <v>85</v>
      </c>
      <c r="H49" s="77" t="s">
        <v>351</v>
      </c>
      <c r="I49" s="84"/>
      <c r="J49" s="77" t="s">
        <v>28</v>
      </c>
      <c r="K49" s="77" t="s">
        <v>351</v>
      </c>
      <c r="L49" s="7">
        <v>3288</v>
      </c>
      <c r="M49" s="7">
        <v>24</v>
      </c>
      <c r="N49" s="7">
        <v>11</v>
      </c>
      <c r="O49" s="7">
        <v>0</v>
      </c>
      <c r="P49" s="7">
        <v>0</v>
      </c>
      <c r="Q49" s="69">
        <f t="shared" si="14"/>
        <v>7.2992700729927005E-3</v>
      </c>
      <c r="R49" s="69">
        <f t="shared" si="14"/>
        <v>0.45833333333333331</v>
      </c>
      <c r="S49" s="7"/>
      <c r="T49" s="7"/>
      <c r="U49" s="7"/>
      <c r="V49" s="7"/>
      <c r="W49" s="7"/>
    </row>
    <row r="50" spans="1:23">
      <c r="A50" s="6">
        <v>46137</v>
      </c>
      <c r="B50" s="7" t="s">
        <v>577</v>
      </c>
      <c r="C50" s="62">
        <v>0.85416666666666663</v>
      </c>
      <c r="D50" s="7" t="s">
        <v>638</v>
      </c>
      <c r="E50" s="7" t="s">
        <v>28</v>
      </c>
      <c r="F50" s="7" t="s">
        <v>412</v>
      </c>
      <c r="G50" s="7" t="s">
        <v>85</v>
      </c>
      <c r="H50" s="7" t="s">
        <v>210</v>
      </c>
      <c r="I50" s="29"/>
      <c r="J50" s="7" t="s">
        <v>28</v>
      </c>
      <c r="K50" s="7" t="s">
        <v>210</v>
      </c>
      <c r="L50" s="7">
        <v>733</v>
      </c>
      <c r="M50" s="7">
        <v>33</v>
      </c>
      <c r="N50" s="7">
        <v>17</v>
      </c>
      <c r="O50" s="7">
        <v>0</v>
      </c>
      <c r="P50" s="7">
        <v>0</v>
      </c>
      <c r="Q50" s="69">
        <f t="shared" si="14"/>
        <v>4.5020463847203276E-2</v>
      </c>
      <c r="R50" s="69">
        <f t="shared" si="14"/>
        <v>0.51515151515151514</v>
      </c>
      <c r="S50" s="7"/>
      <c r="T50" s="7"/>
      <c r="U50" s="7"/>
      <c r="V50" s="7"/>
      <c r="W50" s="7"/>
    </row>
    <row r="51" spans="1:23" ht="16.8">
      <c r="A51" s="6">
        <v>46137</v>
      </c>
      <c r="B51" s="7" t="s">
        <v>577</v>
      </c>
      <c r="C51" s="91">
        <v>0.89583333333333337</v>
      </c>
      <c r="D51" s="77" t="s">
        <v>663</v>
      </c>
      <c r="E51" s="7" t="s">
        <v>28</v>
      </c>
      <c r="F51" s="77" t="s">
        <v>440</v>
      </c>
      <c r="G51" s="7" t="s">
        <v>85</v>
      </c>
      <c r="H51" s="52" t="s">
        <v>157</v>
      </c>
      <c r="I51" s="98"/>
      <c r="J51" s="7" t="s">
        <v>28</v>
      </c>
      <c r="K51" s="52" t="s">
        <v>157</v>
      </c>
      <c r="L51" s="86">
        <v>615</v>
      </c>
      <c r="M51" s="86">
        <v>2</v>
      </c>
      <c r="N51" s="86">
        <v>0</v>
      </c>
      <c r="O51" s="86">
        <v>0</v>
      </c>
      <c r="P51" s="86">
        <v>0</v>
      </c>
      <c r="Q51" s="69">
        <f t="shared" si="14"/>
        <v>3.2520325203252032E-3</v>
      </c>
      <c r="R51" s="69">
        <f t="shared" si="14"/>
        <v>0</v>
      </c>
      <c r="S51" s="86"/>
      <c r="T51" s="86"/>
      <c r="U51" s="86"/>
      <c r="V51" s="86"/>
      <c r="W51" s="87"/>
    </row>
    <row r="52" spans="1:23" ht="6.6" customHeight="1">
      <c r="A52" s="22"/>
      <c r="B52" s="23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5"/>
      <c r="R52" s="25"/>
      <c r="S52" s="24"/>
      <c r="T52" s="24"/>
      <c r="U52" s="24"/>
      <c r="V52" s="25"/>
      <c r="W52" s="26"/>
    </row>
    <row r="53" spans="1:23">
      <c r="A53" s="6">
        <v>46138</v>
      </c>
      <c r="B53" s="7" t="s">
        <v>578</v>
      </c>
      <c r="C53" s="18" t="s">
        <v>599</v>
      </c>
      <c r="D53" s="18" t="s">
        <v>306</v>
      </c>
      <c r="E53" s="18" t="s">
        <v>28</v>
      </c>
      <c r="F53" s="18" t="s">
        <v>307</v>
      </c>
      <c r="G53" s="18" t="s">
        <v>85</v>
      </c>
      <c r="H53" s="18" t="s">
        <v>186</v>
      </c>
      <c r="I53" s="47"/>
      <c r="J53" s="18" t="s">
        <v>28</v>
      </c>
      <c r="K53" s="18" t="s">
        <v>186</v>
      </c>
      <c r="L53" s="7">
        <v>1877</v>
      </c>
      <c r="M53" s="7">
        <v>13</v>
      </c>
      <c r="N53" s="7">
        <v>4</v>
      </c>
      <c r="O53" s="7">
        <v>0</v>
      </c>
      <c r="P53" s="7">
        <v>0</v>
      </c>
      <c r="Q53" s="69">
        <f t="shared" ref="Q53:R53" si="15">M53/L53</f>
        <v>6.9259456579648373E-3</v>
      </c>
      <c r="R53" s="69">
        <f t="shared" si="15"/>
        <v>0.30769230769230771</v>
      </c>
      <c r="S53" s="7"/>
      <c r="T53" s="7"/>
      <c r="U53" s="7"/>
      <c r="V53" s="7"/>
      <c r="W53" s="7"/>
    </row>
    <row r="54" spans="1:23">
      <c r="A54" s="6">
        <v>46138</v>
      </c>
      <c r="B54" s="7" t="s">
        <v>578</v>
      </c>
      <c r="C54" s="18" t="s">
        <v>600</v>
      </c>
      <c r="D54" s="18" t="s">
        <v>602</v>
      </c>
      <c r="E54" s="18" t="s">
        <v>28</v>
      </c>
      <c r="F54" s="18" t="s">
        <v>601</v>
      </c>
      <c r="G54" s="18"/>
      <c r="H54" s="18" t="s">
        <v>186</v>
      </c>
      <c r="I54" s="29"/>
      <c r="J54" s="18"/>
      <c r="K54" s="18"/>
      <c r="L54" s="7"/>
      <c r="M54" s="7"/>
      <c r="N54" s="7"/>
      <c r="O54" s="7"/>
      <c r="P54" s="7"/>
      <c r="Q54" s="69"/>
      <c r="R54" s="69"/>
      <c r="S54" s="7"/>
      <c r="T54" s="7"/>
      <c r="U54" s="7"/>
      <c r="V54" s="7"/>
      <c r="W54" s="7"/>
    </row>
    <row r="55" spans="1:23">
      <c r="A55" s="6">
        <v>46138</v>
      </c>
      <c r="B55" s="7" t="s">
        <v>578</v>
      </c>
      <c r="C55" s="18" t="s">
        <v>347</v>
      </c>
      <c r="D55" s="18" t="s">
        <v>352</v>
      </c>
      <c r="E55" s="18" t="s">
        <v>28</v>
      </c>
      <c r="F55" s="18" t="s">
        <v>353</v>
      </c>
      <c r="G55" s="18" t="s">
        <v>85</v>
      </c>
      <c r="H55" s="18" t="s">
        <v>186</v>
      </c>
      <c r="I55" s="47"/>
      <c r="J55" s="18" t="s">
        <v>28</v>
      </c>
      <c r="K55" s="18" t="s">
        <v>186</v>
      </c>
      <c r="L55" s="7"/>
      <c r="M55" s="7"/>
      <c r="N55" s="7"/>
      <c r="O55" s="7"/>
      <c r="P55" s="7"/>
      <c r="Q55" s="69" t="e">
        <f t="shared" ref="Q55:R56" si="16">M55/L55</f>
        <v>#DIV/0!</v>
      </c>
      <c r="R55" s="69" t="e">
        <f t="shared" si="16"/>
        <v>#DIV/0!</v>
      </c>
      <c r="S55" s="7"/>
      <c r="T55" s="7"/>
      <c r="U55" s="7"/>
      <c r="V55" s="7"/>
      <c r="W55" s="7"/>
    </row>
    <row r="56" spans="1:23">
      <c r="A56" s="6">
        <v>46138</v>
      </c>
      <c r="B56" s="7" t="s">
        <v>578</v>
      </c>
      <c r="C56" s="18" t="s">
        <v>599</v>
      </c>
      <c r="D56" s="18" t="s">
        <v>507</v>
      </c>
      <c r="E56" s="18" t="s">
        <v>28</v>
      </c>
      <c r="F56" s="18" t="s">
        <v>506</v>
      </c>
      <c r="G56" s="18" t="s">
        <v>85</v>
      </c>
      <c r="H56" s="18" t="s">
        <v>106</v>
      </c>
      <c r="I56" s="47"/>
      <c r="J56" s="18" t="s">
        <v>28</v>
      </c>
      <c r="K56" s="18" t="s">
        <v>106</v>
      </c>
      <c r="L56" s="7">
        <v>752</v>
      </c>
      <c r="M56" s="7">
        <v>5</v>
      </c>
      <c r="N56" s="7">
        <v>1</v>
      </c>
      <c r="O56" s="7">
        <v>0</v>
      </c>
      <c r="P56" s="7">
        <v>4</v>
      </c>
      <c r="Q56" s="69">
        <f t="shared" si="16"/>
        <v>6.648936170212766E-3</v>
      </c>
      <c r="R56" s="69">
        <f t="shared" si="16"/>
        <v>0.2</v>
      </c>
      <c r="S56" s="7"/>
      <c r="T56" s="7"/>
      <c r="U56" s="7"/>
      <c r="V56" s="7"/>
      <c r="W56" s="7"/>
    </row>
    <row r="57" spans="1:23">
      <c r="A57" s="6">
        <v>46138</v>
      </c>
      <c r="B57" s="7" t="s">
        <v>578</v>
      </c>
      <c r="C57" s="18" t="s">
        <v>600</v>
      </c>
      <c r="D57" s="18" t="s">
        <v>602</v>
      </c>
      <c r="E57" s="18" t="s">
        <v>28</v>
      </c>
      <c r="F57" s="18" t="s">
        <v>601</v>
      </c>
      <c r="G57" s="18" t="s">
        <v>85</v>
      </c>
      <c r="H57" s="18" t="s">
        <v>106</v>
      </c>
      <c r="I57" s="29"/>
      <c r="J57" s="18"/>
      <c r="K57" s="18"/>
      <c r="L57" s="7"/>
      <c r="M57" s="7"/>
      <c r="N57" s="7"/>
      <c r="O57" s="7"/>
      <c r="P57" s="7"/>
      <c r="Q57" s="69"/>
      <c r="R57" s="69"/>
      <c r="S57" s="7"/>
      <c r="T57" s="86"/>
      <c r="U57" s="86"/>
      <c r="V57" s="86"/>
      <c r="W57" s="7"/>
    </row>
    <row r="58" spans="1:23">
      <c r="A58" s="6">
        <v>46138</v>
      </c>
      <c r="B58" s="7" t="s">
        <v>578</v>
      </c>
      <c r="C58" s="62">
        <v>0.79166666666666663</v>
      </c>
      <c r="D58" s="77" t="s">
        <v>650</v>
      </c>
      <c r="E58" s="77" t="s">
        <v>28</v>
      </c>
      <c r="F58" s="77" t="s">
        <v>438</v>
      </c>
      <c r="G58" s="77" t="s">
        <v>85</v>
      </c>
      <c r="H58" s="77" t="s">
        <v>359</v>
      </c>
      <c r="I58" s="84"/>
      <c r="J58" s="77" t="s">
        <v>28</v>
      </c>
      <c r="K58" s="77" t="s">
        <v>359</v>
      </c>
      <c r="L58" s="7">
        <v>1306</v>
      </c>
      <c r="M58" s="7">
        <v>12</v>
      </c>
      <c r="N58" s="7">
        <v>2</v>
      </c>
      <c r="O58" s="7">
        <v>1</v>
      </c>
      <c r="P58" s="7">
        <v>3</v>
      </c>
      <c r="Q58" s="69">
        <f t="shared" ref="Q58:R63" si="17">M58/L58</f>
        <v>9.1883614088820835E-3</v>
      </c>
      <c r="R58" s="69">
        <f t="shared" si="17"/>
        <v>0.16666666666666666</v>
      </c>
      <c r="S58" s="7"/>
      <c r="T58" s="7"/>
      <c r="U58" s="7"/>
      <c r="V58" s="7"/>
      <c r="W58" s="7"/>
    </row>
    <row r="59" spans="1:23">
      <c r="A59" s="6">
        <v>46138</v>
      </c>
      <c r="B59" s="7" t="s">
        <v>578</v>
      </c>
      <c r="C59" s="62">
        <v>0.80208333333333337</v>
      </c>
      <c r="D59" s="77" t="s">
        <v>651</v>
      </c>
      <c r="E59" s="77" t="s">
        <v>28</v>
      </c>
      <c r="F59" s="77" t="s">
        <v>522</v>
      </c>
      <c r="G59" s="77" t="s">
        <v>85</v>
      </c>
      <c r="H59" s="77" t="s">
        <v>358</v>
      </c>
      <c r="I59" s="84"/>
      <c r="J59" s="77" t="s">
        <v>28</v>
      </c>
      <c r="K59" s="77" t="s">
        <v>358</v>
      </c>
      <c r="L59" s="7">
        <v>2974</v>
      </c>
      <c r="M59" s="7">
        <v>22</v>
      </c>
      <c r="N59" s="7">
        <v>6</v>
      </c>
      <c r="O59" s="7">
        <v>1</v>
      </c>
      <c r="P59" s="7">
        <v>5</v>
      </c>
      <c r="Q59" s="69">
        <f t="shared" si="17"/>
        <v>7.3974445191661064E-3</v>
      </c>
      <c r="R59" s="69">
        <f t="shared" si="17"/>
        <v>0.27272727272727271</v>
      </c>
      <c r="S59" s="7"/>
      <c r="T59" s="7"/>
      <c r="U59" s="7"/>
      <c r="V59" s="7"/>
      <c r="W59" s="7"/>
    </row>
    <row r="60" spans="1:23">
      <c r="A60" s="6">
        <v>46138</v>
      </c>
      <c r="B60" s="7" t="s">
        <v>578</v>
      </c>
      <c r="C60" s="62">
        <v>0.77083333333333337</v>
      </c>
      <c r="D60" s="77" t="s">
        <v>652</v>
      </c>
      <c r="E60" s="77" t="s">
        <v>28</v>
      </c>
      <c r="F60" s="77" t="s">
        <v>524</v>
      </c>
      <c r="G60" s="77" t="s">
        <v>85</v>
      </c>
      <c r="H60" s="77" t="s">
        <v>350</v>
      </c>
      <c r="I60" s="84"/>
      <c r="J60" s="77" t="s">
        <v>28</v>
      </c>
      <c r="K60" s="77" t="s">
        <v>350</v>
      </c>
      <c r="L60" s="7">
        <v>5578</v>
      </c>
      <c r="M60" s="7">
        <v>21</v>
      </c>
      <c r="N60" s="7">
        <v>4</v>
      </c>
      <c r="O60" s="7">
        <v>0</v>
      </c>
      <c r="P60" s="7">
        <v>3</v>
      </c>
      <c r="Q60" s="69">
        <f t="shared" si="17"/>
        <v>3.7647902474005021E-3</v>
      </c>
      <c r="R60" s="69">
        <f t="shared" si="17"/>
        <v>0.19047619047619047</v>
      </c>
      <c r="S60" s="7"/>
      <c r="T60" s="7"/>
      <c r="U60" s="7"/>
      <c r="V60" s="7"/>
      <c r="W60" s="7"/>
    </row>
    <row r="61" spans="1:23">
      <c r="A61" s="6">
        <v>46138</v>
      </c>
      <c r="B61" s="7" t="s">
        <v>578</v>
      </c>
      <c r="C61" s="62">
        <v>0.8125</v>
      </c>
      <c r="D61" s="77" t="s">
        <v>653</v>
      </c>
      <c r="E61" s="77" t="s">
        <v>28</v>
      </c>
      <c r="F61" s="77" t="s">
        <v>440</v>
      </c>
      <c r="G61" s="77" t="s">
        <v>85</v>
      </c>
      <c r="H61" s="77" t="s">
        <v>351</v>
      </c>
      <c r="I61" s="84"/>
      <c r="J61" s="77" t="s">
        <v>28</v>
      </c>
      <c r="K61" s="77" t="s">
        <v>351</v>
      </c>
      <c r="L61" s="7">
        <v>3282</v>
      </c>
      <c r="M61" s="7">
        <v>13</v>
      </c>
      <c r="N61" s="7">
        <v>5</v>
      </c>
      <c r="O61" s="7">
        <v>0</v>
      </c>
      <c r="P61" s="7">
        <v>0</v>
      </c>
      <c r="Q61" s="69">
        <f t="shared" si="17"/>
        <v>3.9609993906154781E-3</v>
      </c>
      <c r="R61" s="69">
        <f t="shared" si="17"/>
        <v>0.38461538461538464</v>
      </c>
      <c r="S61" s="7"/>
      <c r="T61" s="7"/>
      <c r="U61" s="7"/>
      <c r="V61" s="7"/>
      <c r="W61" s="7"/>
    </row>
    <row r="62" spans="1:23">
      <c r="A62" s="6">
        <v>46138</v>
      </c>
      <c r="B62" s="7" t="s">
        <v>578</v>
      </c>
      <c r="C62" s="62">
        <v>0.85416666666666663</v>
      </c>
      <c r="D62" s="88" t="s">
        <v>654</v>
      </c>
      <c r="E62" s="88" t="s">
        <v>28</v>
      </c>
      <c r="F62" s="88" t="s">
        <v>537</v>
      </c>
      <c r="G62" s="7" t="s">
        <v>85</v>
      </c>
      <c r="H62" s="7" t="s">
        <v>210</v>
      </c>
      <c r="I62" s="29"/>
      <c r="J62" s="7" t="s">
        <v>28</v>
      </c>
      <c r="K62" s="7" t="s">
        <v>210</v>
      </c>
      <c r="L62" s="7">
        <v>799</v>
      </c>
      <c r="M62" s="7">
        <v>27</v>
      </c>
      <c r="N62" s="7">
        <v>13</v>
      </c>
      <c r="O62" s="7">
        <v>1</v>
      </c>
      <c r="P62" s="7">
        <v>0</v>
      </c>
      <c r="Q62" s="69">
        <f t="shared" si="17"/>
        <v>3.3792240300375469E-2</v>
      </c>
      <c r="R62" s="69">
        <f t="shared" si="17"/>
        <v>0.48148148148148145</v>
      </c>
      <c r="S62" s="7"/>
      <c r="T62" s="7"/>
      <c r="U62" s="7"/>
      <c r="V62" s="7"/>
      <c r="W62" s="7"/>
    </row>
    <row r="63" spans="1:23" ht="16.8">
      <c r="A63" s="6">
        <v>46138</v>
      </c>
      <c r="B63" s="7" t="s">
        <v>578</v>
      </c>
      <c r="C63" s="91">
        <v>0.89583333333333337</v>
      </c>
      <c r="D63" s="86" t="s">
        <v>655</v>
      </c>
      <c r="E63" s="7" t="s">
        <v>28</v>
      </c>
      <c r="F63" s="86" t="s">
        <v>511</v>
      </c>
      <c r="G63" s="7" t="s">
        <v>85</v>
      </c>
      <c r="H63" s="52" t="s">
        <v>157</v>
      </c>
      <c r="I63" s="98"/>
      <c r="J63" s="7" t="s">
        <v>28</v>
      </c>
      <c r="K63" s="52" t="s">
        <v>157</v>
      </c>
      <c r="L63" s="86">
        <v>674</v>
      </c>
      <c r="M63" s="86">
        <v>1</v>
      </c>
      <c r="N63" s="86">
        <v>0</v>
      </c>
      <c r="O63" s="86">
        <v>0</v>
      </c>
      <c r="P63" s="86">
        <v>0</v>
      </c>
      <c r="Q63" s="69">
        <f t="shared" si="17"/>
        <v>1.483679525222552E-3</v>
      </c>
      <c r="R63" s="69">
        <f t="shared" si="17"/>
        <v>0</v>
      </c>
      <c r="S63" s="86"/>
      <c r="T63" s="86"/>
      <c r="U63" s="86"/>
      <c r="V63" s="86"/>
      <c r="W63" s="87"/>
    </row>
    <row r="64" spans="1:23" ht="6.6" customHeight="1">
      <c r="A64" s="22"/>
      <c r="B64" s="23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5"/>
      <c r="R64" s="25"/>
      <c r="S64" s="24"/>
      <c r="T64" s="24"/>
      <c r="U64" s="24"/>
      <c r="V64" s="25"/>
      <c r="W64" s="26"/>
    </row>
    <row r="65" spans="1:23">
      <c r="A65" s="6">
        <v>46139</v>
      </c>
      <c r="B65" s="7" t="s">
        <v>301</v>
      </c>
      <c r="C65" s="18" t="s">
        <v>596</v>
      </c>
      <c r="D65" s="18" t="s">
        <v>595</v>
      </c>
      <c r="E65" s="18" t="s">
        <v>27</v>
      </c>
      <c r="F65" s="18" t="s">
        <v>303</v>
      </c>
      <c r="G65" s="18" t="s">
        <v>85</v>
      </c>
      <c r="H65" s="18" t="s">
        <v>186</v>
      </c>
      <c r="I65" s="47"/>
      <c r="J65" s="18" t="s">
        <v>27</v>
      </c>
      <c r="K65" s="18" t="s">
        <v>186</v>
      </c>
      <c r="L65" s="7">
        <v>1941</v>
      </c>
      <c r="M65" s="7">
        <v>9</v>
      </c>
      <c r="N65" s="7">
        <v>2</v>
      </c>
      <c r="O65" s="7">
        <v>0</v>
      </c>
      <c r="P65" s="7">
        <v>0</v>
      </c>
      <c r="Q65" s="69">
        <f t="shared" ref="Q65:R77" si="18">M65/L65</f>
        <v>4.6367851622874804E-3</v>
      </c>
      <c r="R65" s="69">
        <f t="shared" si="18"/>
        <v>0.22222222222222221</v>
      </c>
      <c r="S65" s="7"/>
      <c r="T65" s="7"/>
      <c r="U65" s="7"/>
      <c r="V65" s="7"/>
      <c r="W65" s="7"/>
    </row>
    <row r="66" spans="1:23">
      <c r="A66" s="6">
        <v>46139</v>
      </c>
      <c r="B66" s="7" t="s">
        <v>301</v>
      </c>
      <c r="C66" s="18" t="s">
        <v>597</v>
      </c>
      <c r="D66" s="18" t="s">
        <v>594</v>
      </c>
      <c r="E66" s="18" t="s">
        <v>27</v>
      </c>
      <c r="F66" s="18" t="s">
        <v>593</v>
      </c>
      <c r="G66" s="18" t="s">
        <v>85</v>
      </c>
      <c r="H66" s="18"/>
      <c r="I66" s="29"/>
      <c r="J66" s="18" t="s">
        <v>27</v>
      </c>
      <c r="K66" s="18" t="s">
        <v>186</v>
      </c>
      <c r="L66" s="7"/>
      <c r="M66" s="7"/>
      <c r="N66" s="7"/>
      <c r="O66" s="7"/>
      <c r="P66" s="7"/>
      <c r="Q66" s="69" t="e">
        <f t="shared" si="18"/>
        <v>#DIV/0!</v>
      </c>
      <c r="R66" s="69" t="e">
        <f t="shared" si="18"/>
        <v>#DIV/0!</v>
      </c>
      <c r="S66" s="7"/>
      <c r="T66" s="7"/>
      <c r="U66" s="7"/>
      <c r="V66" s="7"/>
      <c r="W66" s="7"/>
    </row>
    <row r="67" spans="1:23">
      <c r="A67" s="6">
        <v>46139</v>
      </c>
      <c r="B67" s="7" t="s">
        <v>301</v>
      </c>
      <c r="C67" s="18" t="s">
        <v>347</v>
      </c>
      <c r="D67" s="18" t="s">
        <v>345</v>
      </c>
      <c r="E67" s="18" t="s">
        <v>27</v>
      </c>
      <c r="F67" s="18" t="s">
        <v>346</v>
      </c>
      <c r="G67" s="18" t="s">
        <v>85</v>
      </c>
      <c r="H67" s="18" t="s">
        <v>313</v>
      </c>
      <c r="I67" s="47"/>
      <c r="J67" s="18" t="s">
        <v>27</v>
      </c>
      <c r="K67" s="18" t="s">
        <v>313</v>
      </c>
      <c r="L67" s="7"/>
      <c r="M67" s="7"/>
      <c r="N67" s="7"/>
      <c r="O67" s="7"/>
      <c r="P67" s="7"/>
      <c r="Q67" s="69" t="e">
        <f t="shared" si="18"/>
        <v>#DIV/0!</v>
      </c>
      <c r="R67" s="69" t="e">
        <f t="shared" si="18"/>
        <v>#DIV/0!</v>
      </c>
      <c r="S67" s="7"/>
      <c r="T67" s="7"/>
      <c r="U67" s="7"/>
      <c r="V67" s="7"/>
      <c r="W67" s="7"/>
    </row>
    <row r="68" spans="1:23">
      <c r="A68" s="6">
        <v>46139</v>
      </c>
      <c r="B68" s="7" t="s">
        <v>301</v>
      </c>
      <c r="C68" s="18" t="s">
        <v>308</v>
      </c>
      <c r="D68" s="18" t="s">
        <v>503</v>
      </c>
      <c r="E68" s="18" t="s">
        <v>27</v>
      </c>
      <c r="F68" s="18" t="s">
        <v>502</v>
      </c>
      <c r="G68" s="18" t="s">
        <v>85</v>
      </c>
      <c r="H68" s="18" t="s">
        <v>106</v>
      </c>
      <c r="I68" s="47"/>
      <c r="J68" s="18" t="s">
        <v>27</v>
      </c>
      <c r="K68" s="18" t="s">
        <v>106</v>
      </c>
      <c r="L68" s="7">
        <v>771</v>
      </c>
      <c r="M68" s="7">
        <v>39</v>
      </c>
      <c r="N68" s="7">
        <v>17</v>
      </c>
      <c r="O68" s="7">
        <v>7</v>
      </c>
      <c r="P68" s="7">
        <v>0</v>
      </c>
      <c r="Q68" s="69">
        <f t="shared" si="18"/>
        <v>5.0583657587548639E-2</v>
      </c>
      <c r="R68" s="69">
        <f t="shared" si="18"/>
        <v>0.4358974358974359</v>
      </c>
      <c r="S68" s="7"/>
      <c r="T68" s="7"/>
      <c r="U68" s="7"/>
      <c r="V68" s="7"/>
      <c r="W68" s="7"/>
    </row>
    <row r="69" spans="1:23">
      <c r="A69" s="6">
        <v>46139</v>
      </c>
      <c r="B69" s="7" t="s">
        <v>301</v>
      </c>
      <c r="C69" s="18" t="s">
        <v>598</v>
      </c>
      <c r="D69" s="18" t="s">
        <v>594</v>
      </c>
      <c r="E69" s="18" t="s">
        <v>27</v>
      </c>
      <c r="F69" s="18" t="s">
        <v>593</v>
      </c>
      <c r="G69" s="18" t="s">
        <v>85</v>
      </c>
      <c r="H69" s="18"/>
      <c r="I69" s="29"/>
      <c r="J69" s="18" t="s">
        <v>27</v>
      </c>
      <c r="K69" s="18" t="s">
        <v>106</v>
      </c>
      <c r="L69" s="7"/>
      <c r="M69" s="7"/>
      <c r="N69" s="7"/>
      <c r="O69" s="7"/>
      <c r="P69" s="7"/>
      <c r="Q69" s="69" t="e">
        <f t="shared" si="18"/>
        <v>#DIV/0!</v>
      </c>
      <c r="R69" s="69" t="e">
        <f t="shared" si="18"/>
        <v>#DIV/0!</v>
      </c>
      <c r="S69" s="7"/>
      <c r="T69" s="7"/>
      <c r="U69" s="7"/>
      <c r="V69" s="7"/>
      <c r="W69" s="7"/>
    </row>
    <row r="70" spans="1:23">
      <c r="A70" s="6">
        <v>46139</v>
      </c>
      <c r="B70" s="7" t="s">
        <v>301</v>
      </c>
      <c r="C70" s="62">
        <v>0.75</v>
      </c>
      <c r="D70" s="77" t="s">
        <v>721</v>
      </c>
      <c r="E70" s="77" t="s">
        <v>27</v>
      </c>
      <c r="F70" t="s">
        <v>722</v>
      </c>
      <c r="G70" s="77" t="s">
        <v>85</v>
      </c>
      <c r="H70" s="77" t="s">
        <v>348</v>
      </c>
      <c r="I70" s="14" t="s">
        <v>209</v>
      </c>
      <c r="J70" s="77" t="s">
        <v>27</v>
      </c>
      <c r="K70" s="77" t="s">
        <v>348</v>
      </c>
      <c r="L70" s="7">
        <v>3084</v>
      </c>
      <c r="M70" s="7">
        <v>40</v>
      </c>
      <c r="N70" s="7">
        <v>12</v>
      </c>
      <c r="O70" s="7">
        <v>0</v>
      </c>
      <c r="P70" s="7">
        <v>3</v>
      </c>
      <c r="Q70" s="69">
        <f t="shared" si="18"/>
        <v>1.2970168612191959E-2</v>
      </c>
      <c r="R70" s="69">
        <f t="shared" si="18"/>
        <v>0.3</v>
      </c>
      <c r="S70" s="7"/>
      <c r="T70" s="7"/>
      <c r="U70" s="7"/>
      <c r="V70" s="7"/>
      <c r="W70" s="7"/>
    </row>
    <row r="71" spans="1:23">
      <c r="A71" s="6">
        <v>46139</v>
      </c>
      <c r="B71" s="7" t="s">
        <v>301</v>
      </c>
      <c r="C71" s="62">
        <v>0.76041666666666663</v>
      </c>
      <c r="D71" s="77" t="s">
        <v>723</v>
      </c>
      <c r="E71" s="77" t="s">
        <v>27</v>
      </c>
      <c r="F71" t="s">
        <v>724</v>
      </c>
      <c r="G71" s="77" t="s">
        <v>85</v>
      </c>
      <c r="H71" s="77" t="s">
        <v>349</v>
      </c>
      <c r="I71" s="14" t="s">
        <v>209</v>
      </c>
      <c r="J71" s="77" t="s">
        <v>27</v>
      </c>
      <c r="K71" s="77" t="s">
        <v>349</v>
      </c>
      <c r="L71" s="7">
        <v>1268</v>
      </c>
      <c r="M71" s="7">
        <v>15</v>
      </c>
      <c r="N71" s="7">
        <v>7</v>
      </c>
      <c r="O71" s="7">
        <v>0</v>
      </c>
      <c r="P71" s="7">
        <v>1</v>
      </c>
      <c r="Q71" s="69">
        <f t="shared" si="18"/>
        <v>1.1829652996845425E-2</v>
      </c>
      <c r="R71" s="69">
        <f t="shared" si="18"/>
        <v>0.46666666666666667</v>
      </c>
      <c r="S71" s="7"/>
      <c r="T71" s="7"/>
      <c r="U71" s="7"/>
      <c r="V71" s="7"/>
      <c r="W71" s="7"/>
    </row>
    <row r="72" spans="1:23">
      <c r="A72" s="6">
        <v>46139</v>
      </c>
      <c r="B72" s="7" t="s">
        <v>301</v>
      </c>
      <c r="C72" s="62">
        <v>0.70833333333333337</v>
      </c>
      <c r="D72" s="77" t="s">
        <v>725</v>
      </c>
      <c r="E72" s="77" t="s">
        <v>27</v>
      </c>
      <c r="F72" t="s">
        <v>726</v>
      </c>
      <c r="G72" s="77" t="s">
        <v>85</v>
      </c>
      <c r="H72" s="77" t="s">
        <v>350</v>
      </c>
      <c r="I72" s="14" t="s">
        <v>209</v>
      </c>
      <c r="J72" s="77" t="s">
        <v>27</v>
      </c>
      <c r="K72" s="77" t="s">
        <v>350</v>
      </c>
      <c r="L72" s="7">
        <v>5571</v>
      </c>
      <c r="M72" s="7">
        <v>38</v>
      </c>
      <c r="N72" s="7">
        <v>11</v>
      </c>
      <c r="O72" s="7">
        <v>0</v>
      </c>
      <c r="P72" s="7">
        <v>1</v>
      </c>
      <c r="Q72" s="69">
        <f t="shared" si="18"/>
        <v>6.8210375157063364E-3</v>
      </c>
      <c r="R72" s="69">
        <f t="shared" si="18"/>
        <v>0.28947368421052633</v>
      </c>
      <c r="S72" s="7"/>
      <c r="T72" s="7"/>
      <c r="U72" s="7"/>
      <c r="V72" s="7"/>
      <c r="W72" s="7"/>
    </row>
    <row r="73" spans="1:23">
      <c r="A73" s="6">
        <v>46139</v>
      </c>
      <c r="B73" s="7" t="s">
        <v>301</v>
      </c>
      <c r="C73" s="62">
        <v>0.78125</v>
      </c>
      <c r="D73" s="77" t="s">
        <v>727</v>
      </c>
      <c r="E73" s="77" t="s">
        <v>27</v>
      </c>
      <c r="F73" s="77" t="s">
        <v>728</v>
      </c>
      <c r="G73" s="77" t="s">
        <v>85</v>
      </c>
      <c r="H73" s="77" t="s">
        <v>351</v>
      </c>
      <c r="I73" s="14" t="s">
        <v>677</v>
      </c>
      <c r="J73" s="77" t="s">
        <v>27</v>
      </c>
      <c r="K73" s="77" t="s">
        <v>351</v>
      </c>
      <c r="L73" s="7">
        <v>3278</v>
      </c>
      <c r="M73" s="7">
        <v>27</v>
      </c>
      <c r="N73" s="7">
        <v>7</v>
      </c>
      <c r="O73" s="7">
        <v>0</v>
      </c>
      <c r="P73" s="7">
        <v>1</v>
      </c>
      <c r="Q73" s="69">
        <f t="shared" si="18"/>
        <v>8.2367297132397797E-3</v>
      </c>
      <c r="R73" s="69">
        <f t="shared" si="18"/>
        <v>0.25925925925925924</v>
      </c>
      <c r="S73" s="7"/>
      <c r="T73" s="7"/>
      <c r="U73" s="7"/>
      <c r="V73" s="7"/>
      <c r="W73" s="7"/>
    </row>
    <row r="74" spans="1:23">
      <c r="A74" s="6">
        <v>46139</v>
      </c>
      <c r="B74" s="7" t="s">
        <v>301</v>
      </c>
      <c r="C74" s="62">
        <v>0.80208333333333337</v>
      </c>
      <c r="D74" s="88" t="s">
        <v>729</v>
      </c>
      <c r="E74" s="77" t="s">
        <v>27</v>
      </c>
      <c r="F74" t="s">
        <v>730</v>
      </c>
      <c r="G74" s="77" t="s">
        <v>85</v>
      </c>
      <c r="H74" s="7" t="s">
        <v>210</v>
      </c>
      <c r="I74" s="14" t="s">
        <v>209</v>
      </c>
      <c r="J74" s="77" t="s">
        <v>27</v>
      </c>
      <c r="K74" s="7" t="s">
        <v>210</v>
      </c>
      <c r="L74" s="7">
        <v>855</v>
      </c>
      <c r="M74" s="7">
        <v>40</v>
      </c>
      <c r="N74" s="7">
        <v>14</v>
      </c>
      <c r="O74" s="7">
        <v>0</v>
      </c>
      <c r="P74" s="7">
        <v>0</v>
      </c>
      <c r="Q74" s="69">
        <f t="shared" si="18"/>
        <v>4.6783625730994149E-2</v>
      </c>
      <c r="R74" s="69">
        <f t="shared" si="18"/>
        <v>0.35</v>
      </c>
      <c r="S74" s="7"/>
      <c r="T74" s="7"/>
      <c r="U74" s="7"/>
      <c r="V74" s="7"/>
      <c r="W74" s="7"/>
    </row>
    <row r="75" spans="1:23" ht="16.8">
      <c r="A75" s="6">
        <v>46139</v>
      </c>
      <c r="B75" s="7" t="s">
        <v>301</v>
      </c>
      <c r="C75" s="62">
        <v>0.83333333333333337</v>
      </c>
      <c r="D75" s="77" t="s">
        <v>731</v>
      </c>
      <c r="E75" s="77" t="s">
        <v>27</v>
      </c>
      <c r="F75" t="s">
        <v>722</v>
      </c>
      <c r="G75" s="77" t="s">
        <v>85</v>
      </c>
      <c r="H75" s="52" t="s">
        <v>157</v>
      </c>
      <c r="I75" s="14"/>
      <c r="J75" s="77" t="s">
        <v>27</v>
      </c>
      <c r="K75" s="52" t="s">
        <v>157</v>
      </c>
      <c r="L75" s="7">
        <v>3084</v>
      </c>
      <c r="M75" s="7">
        <v>30</v>
      </c>
      <c r="N75" s="7">
        <v>6</v>
      </c>
      <c r="O75" s="7">
        <v>0</v>
      </c>
      <c r="P75" s="7">
        <v>3</v>
      </c>
      <c r="Q75" s="69">
        <f t="shared" si="18"/>
        <v>9.727626459143969E-3</v>
      </c>
      <c r="R75" s="69">
        <f t="shared" si="18"/>
        <v>0.2</v>
      </c>
      <c r="S75" s="86"/>
      <c r="T75" s="86"/>
      <c r="U75" s="86"/>
      <c r="V75" s="86"/>
      <c r="W75" s="87"/>
    </row>
    <row r="76" spans="1:23" ht="16.8">
      <c r="A76" s="6">
        <v>46139</v>
      </c>
      <c r="B76" s="7" t="s">
        <v>301</v>
      </c>
      <c r="C76" s="62">
        <v>0.99652777777777779</v>
      </c>
      <c r="D76" s="88" t="s">
        <v>745</v>
      </c>
      <c r="E76" s="77" t="s">
        <v>27</v>
      </c>
      <c r="F76" s="77" t="s">
        <v>716</v>
      </c>
      <c r="G76" s="7"/>
      <c r="H76" s="107" t="s">
        <v>157</v>
      </c>
      <c r="I76" s="113"/>
      <c r="J76" s="77" t="s">
        <v>27</v>
      </c>
      <c r="K76" s="52" t="s">
        <v>157</v>
      </c>
      <c r="L76" s="86">
        <v>3751</v>
      </c>
      <c r="M76" s="86">
        <v>3066</v>
      </c>
      <c r="N76" s="86">
        <v>2290</v>
      </c>
      <c r="O76" s="86">
        <v>0</v>
      </c>
      <c r="P76" s="86">
        <v>0</v>
      </c>
      <c r="Q76" s="102">
        <f t="shared" si="18"/>
        <v>0.81738203145827781</v>
      </c>
      <c r="R76" s="102">
        <f t="shared" si="18"/>
        <v>0.74690150032615787</v>
      </c>
      <c r="S76" s="86"/>
      <c r="T76" s="86"/>
      <c r="U76" s="86"/>
      <c r="V76" s="86"/>
      <c r="W76" s="87"/>
    </row>
    <row r="77" spans="1:23" ht="16.8">
      <c r="A77" s="6">
        <v>46139</v>
      </c>
      <c r="B77" s="7" t="s">
        <v>301</v>
      </c>
      <c r="C77" s="91"/>
      <c r="D77" s="77" t="s">
        <v>732</v>
      </c>
      <c r="E77" s="77" t="s">
        <v>27</v>
      </c>
      <c r="F77" s="97"/>
      <c r="G77" s="97"/>
      <c r="H77" s="93" t="s">
        <v>683</v>
      </c>
      <c r="I77" s="113" t="s">
        <v>686</v>
      </c>
      <c r="J77" s="77" t="s">
        <v>27</v>
      </c>
      <c r="K77" s="93" t="s">
        <v>683</v>
      </c>
      <c r="L77" s="86">
        <v>1499</v>
      </c>
      <c r="M77" s="86">
        <v>1434</v>
      </c>
      <c r="N77" s="86">
        <v>1164</v>
      </c>
      <c r="O77" s="86">
        <v>0</v>
      </c>
      <c r="P77" s="86">
        <v>1</v>
      </c>
      <c r="Q77" s="102">
        <f t="shared" si="18"/>
        <v>0.95663775850567045</v>
      </c>
      <c r="R77" s="102">
        <f t="shared" si="18"/>
        <v>0.81171548117154813</v>
      </c>
      <c r="S77" s="86"/>
      <c r="T77" s="86"/>
      <c r="U77" s="86"/>
      <c r="V77" s="86"/>
      <c r="W77" s="87"/>
    </row>
    <row r="78" spans="1:23" ht="6.6" customHeight="1">
      <c r="A78" s="22"/>
      <c r="B78" s="23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5"/>
      <c r="R78" s="25"/>
      <c r="S78" s="24"/>
      <c r="T78" s="24"/>
      <c r="U78" s="24"/>
      <c r="V78" s="25"/>
      <c r="W78" s="26"/>
    </row>
    <row r="79" spans="1:23">
      <c r="A79" s="6">
        <v>46140</v>
      </c>
      <c r="B79" s="7" t="s">
        <v>316</v>
      </c>
      <c r="C79" s="18" t="s">
        <v>599</v>
      </c>
      <c r="D79" s="18" t="s">
        <v>306</v>
      </c>
      <c r="E79" s="18" t="s">
        <v>28</v>
      </c>
      <c r="F79" s="18" t="s">
        <v>307</v>
      </c>
      <c r="G79" s="18" t="s">
        <v>85</v>
      </c>
      <c r="H79" s="18" t="s">
        <v>186</v>
      </c>
      <c r="I79" s="47"/>
      <c r="J79" s="18" t="s">
        <v>28</v>
      </c>
      <c r="K79" s="18" t="s">
        <v>186</v>
      </c>
      <c r="L79" s="7">
        <v>2005</v>
      </c>
      <c r="M79" s="7">
        <v>22</v>
      </c>
      <c r="N79" s="7">
        <v>9</v>
      </c>
      <c r="O79" s="7">
        <v>0</v>
      </c>
      <c r="P79" s="7">
        <v>0</v>
      </c>
      <c r="Q79" s="69">
        <f t="shared" ref="Q79:R91" si="19">M79/L79</f>
        <v>1.0972568578553617E-2</v>
      </c>
      <c r="R79" s="69">
        <f t="shared" si="19"/>
        <v>0.40909090909090912</v>
      </c>
      <c r="S79" s="7"/>
      <c r="T79" s="7"/>
      <c r="U79" s="7"/>
      <c r="V79" s="7"/>
      <c r="W79" s="7"/>
    </row>
    <row r="80" spans="1:23">
      <c r="A80" s="6">
        <v>46140</v>
      </c>
      <c r="B80" s="7" t="s">
        <v>316</v>
      </c>
      <c r="C80" s="18" t="s">
        <v>600</v>
      </c>
      <c r="D80" s="18" t="s">
        <v>602</v>
      </c>
      <c r="E80" s="18" t="s">
        <v>28</v>
      </c>
      <c r="F80" s="18" t="s">
        <v>601</v>
      </c>
      <c r="G80" s="18" t="s">
        <v>85</v>
      </c>
      <c r="H80" s="18" t="s">
        <v>186</v>
      </c>
      <c r="I80" s="29"/>
      <c r="J80" s="18" t="s">
        <v>28</v>
      </c>
      <c r="K80" s="18" t="s">
        <v>186</v>
      </c>
      <c r="L80" s="7"/>
      <c r="M80" s="7"/>
      <c r="N80" s="7"/>
      <c r="O80" s="7"/>
      <c r="P80" s="7"/>
      <c r="Q80" s="69" t="e">
        <f t="shared" si="19"/>
        <v>#DIV/0!</v>
      </c>
      <c r="R80" s="69" t="e">
        <f t="shared" si="19"/>
        <v>#DIV/0!</v>
      </c>
      <c r="S80" s="7"/>
      <c r="T80" s="86"/>
      <c r="U80" s="86"/>
      <c r="V80" s="86"/>
      <c r="W80" s="7"/>
    </row>
    <row r="81" spans="1:23">
      <c r="A81" s="6">
        <v>46140</v>
      </c>
      <c r="B81" s="7" t="s">
        <v>316</v>
      </c>
      <c r="C81" s="18" t="s">
        <v>347</v>
      </c>
      <c r="D81" s="18" t="s">
        <v>352</v>
      </c>
      <c r="E81" s="18" t="s">
        <v>28</v>
      </c>
      <c r="F81" s="18" t="s">
        <v>353</v>
      </c>
      <c r="G81" s="18" t="s">
        <v>85</v>
      </c>
      <c r="H81" s="18" t="s">
        <v>186</v>
      </c>
      <c r="I81" s="47"/>
      <c r="J81" s="18" t="s">
        <v>28</v>
      </c>
      <c r="K81" s="18" t="s">
        <v>186</v>
      </c>
      <c r="L81" s="7"/>
      <c r="M81" s="7"/>
      <c r="N81" s="7"/>
      <c r="O81" s="7"/>
      <c r="P81" s="7"/>
      <c r="Q81" s="69" t="e">
        <f t="shared" si="19"/>
        <v>#DIV/0!</v>
      </c>
      <c r="R81" s="69" t="e">
        <f t="shared" si="19"/>
        <v>#DIV/0!</v>
      </c>
      <c r="S81" s="7"/>
      <c r="T81" s="86"/>
      <c r="U81" s="86"/>
      <c r="V81" s="86"/>
      <c r="W81" s="7"/>
    </row>
    <row r="82" spans="1:23">
      <c r="A82" s="6">
        <v>46140</v>
      </c>
      <c r="B82" s="7" t="s">
        <v>316</v>
      </c>
      <c r="C82" s="18" t="s">
        <v>599</v>
      </c>
      <c r="D82" s="18" t="s">
        <v>507</v>
      </c>
      <c r="E82" s="18" t="s">
        <v>28</v>
      </c>
      <c r="F82" s="18" t="s">
        <v>506</v>
      </c>
      <c r="G82" s="18" t="s">
        <v>85</v>
      </c>
      <c r="H82" s="18" t="s">
        <v>106</v>
      </c>
      <c r="I82" s="47"/>
      <c r="J82" s="18" t="s">
        <v>28</v>
      </c>
      <c r="K82" s="18" t="s">
        <v>106</v>
      </c>
      <c r="L82" s="7">
        <v>698</v>
      </c>
      <c r="M82" s="7">
        <v>97</v>
      </c>
      <c r="N82" s="7">
        <v>21</v>
      </c>
      <c r="O82" s="7">
        <v>2</v>
      </c>
      <c r="P82" s="7">
        <v>0</v>
      </c>
      <c r="Q82" s="69">
        <f t="shared" si="19"/>
        <v>0.13896848137535817</v>
      </c>
      <c r="R82" s="69">
        <f t="shared" si="19"/>
        <v>0.21649484536082475</v>
      </c>
      <c r="S82" s="7"/>
      <c r="T82" s="86"/>
      <c r="U82" s="86"/>
      <c r="V82" s="86"/>
      <c r="W82" s="7"/>
    </row>
    <row r="83" spans="1:23">
      <c r="A83" s="6">
        <v>46140</v>
      </c>
      <c r="B83" s="7" t="s">
        <v>316</v>
      </c>
      <c r="C83" s="18" t="s">
        <v>600</v>
      </c>
      <c r="D83" s="18" t="s">
        <v>602</v>
      </c>
      <c r="E83" s="18" t="s">
        <v>28</v>
      </c>
      <c r="F83" s="18" t="s">
        <v>601</v>
      </c>
      <c r="G83" s="18" t="s">
        <v>85</v>
      </c>
      <c r="H83" s="18" t="s">
        <v>106</v>
      </c>
      <c r="I83" s="29"/>
      <c r="J83" s="18" t="s">
        <v>28</v>
      </c>
      <c r="K83" s="18" t="s">
        <v>106</v>
      </c>
      <c r="L83" s="7"/>
      <c r="M83" s="7"/>
      <c r="N83" s="7"/>
      <c r="O83" s="7"/>
      <c r="P83" s="7"/>
      <c r="Q83" s="69" t="e">
        <f t="shared" si="19"/>
        <v>#DIV/0!</v>
      </c>
      <c r="R83" s="69" t="e">
        <f t="shared" si="19"/>
        <v>#DIV/0!</v>
      </c>
      <c r="S83" s="7"/>
      <c r="T83" s="7"/>
      <c r="U83" s="7"/>
      <c r="V83" s="7"/>
      <c r="W83" s="7"/>
    </row>
    <row r="84" spans="1:23">
      <c r="A84" s="6">
        <v>46140</v>
      </c>
      <c r="B84" s="7" t="s">
        <v>316</v>
      </c>
      <c r="C84" s="62">
        <v>0.79166666666666663</v>
      </c>
      <c r="D84" s="77" t="s">
        <v>806</v>
      </c>
      <c r="E84" s="7" t="s">
        <v>28</v>
      </c>
      <c r="F84" t="s">
        <v>807</v>
      </c>
      <c r="G84" s="77" t="s">
        <v>785</v>
      </c>
      <c r="H84" s="77" t="s">
        <v>358</v>
      </c>
      <c r="I84" s="47"/>
      <c r="J84" s="77" t="s">
        <v>28</v>
      </c>
      <c r="K84" s="77" t="s">
        <v>359</v>
      </c>
      <c r="L84" s="7">
        <v>2968</v>
      </c>
      <c r="M84" s="7">
        <v>25</v>
      </c>
      <c r="N84" s="7">
        <v>3</v>
      </c>
      <c r="O84" s="7">
        <v>0</v>
      </c>
      <c r="P84" s="61">
        <v>5</v>
      </c>
      <c r="Q84" s="69">
        <f t="shared" ref="Q84" si="20">M84/L84</f>
        <v>8.4231805929919131E-3</v>
      </c>
      <c r="R84" s="69">
        <f t="shared" ref="R84" si="21">N84/M84</f>
        <v>0.12</v>
      </c>
      <c r="S84" s="7"/>
      <c r="T84" s="7"/>
      <c r="U84" s="7"/>
      <c r="V84" s="7"/>
      <c r="W84" s="7"/>
    </row>
    <row r="85" spans="1:23">
      <c r="A85" s="6">
        <v>46140</v>
      </c>
      <c r="B85" s="7" t="s">
        <v>316</v>
      </c>
      <c r="C85" s="62">
        <v>0.80208333333333337</v>
      </c>
      <c r="D85" s="7" t="s">
        <v>808</v>
      </c>
      <c r="E85" s="7" t="s">
        <v>28</v>
      </c>
      <c r="F85" s="7" t="s">
        <v>356</v>
      </c>
      <c r="G85" s="7" t="s">
        <v>85</v>
      </c>
      <c r="H85" s="77" t="s">
        <v>359</v>
      </c>
      <c r="I85" s="47"/>
      <c r="J85" s="77" t="s">
        <v>28</v>
      </c>
      <c r="K85" s="77" t="s">
        <v>358</v>
      </c>
      <c r="L85" s="7">
        <v>1298</v>
      </c>
      <c r="M85" s="7">
        <v>18</v>
      </c>
      <c r="N85" s="7">
        <v>3</v>
      </c>
      <c r="O85" s="7">
        <v>1</v>
      </c>
      <c r="P85" s="7">
        <v>5</v>
      </c>
      <c r="Q85" s="69">
        <f t="shared" si="19"/>
        <v>1.386748844375963E-2</v>
      </c>
      <c r="R85" s="69">
        <f t="shared" si="19"/>
        <v>0.16666666666666666</v>
      </c>
      <c r="S85" s="7"/>
      <c r="T85" s="7"/>
      <c r="U85" s="7"/>
      <c r="V85" s="7"/>
      <c r="W85" s="7"/>
    </row>
    <row r="86" spans="1:23">
      <c r="A86" s="6">
        <v>46140</v>
      </c>
      <c r="B86" s="7" t="s">
        <v>316</v>
      </c>
      <c r="C86" s="62">
        <v>0.77083333333333337</v>
      </c>
      <c r="D86" s="7" t="s">
        <v>809</v>
      </c>
      <c r="E86" s="7" t="s">
        <v>28</v>
      </c>
      <c r="F86" s="7" t="s">
        <v>363</v>
      </c>
      <c r="G86" s="7" t="s">
        <v>85</v>
      </c>
      <c r="H86" s="77" t="s">
        <v>350</v>
      </c>
      <c r="I86" s="47"/>
      <c r="J86" s="77" t="s">
        <v>28</v>
      </c>
      <c r="K86" s="77" t="s">
        <v>350</v>
      </c>
      <c r="L86" s="7">
        <v>5564</v>
      </c>
      <c r="M86" s="7">
        <v>34</v>
      </c>
      <c r="N86" s="7">
        <v>6</v>
      </c>
      <c r="O86" s="7">
        <v>2</v>
      </c>
      <c r="P86" s="7">
        <v>0</v>
      </c>
      <c r="Q86" s="69">
        <f t="shared" si="19"/>
        <v>6.1107117181883538E-3</v>
      </c>
      <c r="R86" s="69">
        <f t="shared" si="19"/>
        <v>0.17647058823529413</v>
      </c>
      <c r="S86" s="7"/>
      <c r="T86" s="7"/>
      <c r="U86" s="7"/>
      <c r="V86" s="7"/>
      <c r="W86" s="7"/>
    </row>
    <row r="87" spans="1:23">
      <c r="A87" s="6">
        <v>46140</v>
      </c>
      <c r="B87" s="7" t="s">
        <v>316</v>
      </c>
      <c r="C87" s="62">
        <v>0.8125</v>
      </c>
      <c r="D87" s="111" t="s">
        <v>810</v>
      </c>
      <c r="E87" s="77" t="s">
        <v>28</v>
      </c>
      <c r="F87" s="77" t="s">
        <v>715</v>
      </c>
      <c r="G87" s="141" t="s">
        <v>85</v>
      </c>
      <c r="H87" s="103" t="s">
        <v>351</v>
      </c>
      <c r="I87" s="47" t="s">
        <v>785</v>
      </c>
      <c r="J87" s="77" t="s">
        <v>28</v>
      </c>
      <c r="K87" s="77" t="s">
        <v>351</v>
      </c>
      <c r="L87" s="7">
        <v>3268</v>
      </c>
      <c r="M87" s="7">
        <v>14</v>
      </c>
      <c r="N87" s="7">
        <v>5</v>
      </c>
      <c r="O87" s="7">
        <v>0</v>
      </c>
      <c r="P87" s="7">
        <v>0</v>
      </c>
      <c r="Q87" s="69">
        <f t="shared" si="19"/>
        <v>4.2839657282741734E-3</v>
      </c>
      <c r="R87" s="69">
        <f t="shared" si="19"/>
        <v>0.35714285714285715</v>
      </c>
      <c r="S87" s="7"/>
      <c r="T87" s="7"/>
      <c r="U87" s="7"/>
      <c r="V87" s="7"/>
      <c r="W87" s="7"/>
    </row>
    <row r="88" spans="1:23">
      <c r="A88" s="6">
        <v>46140</v>
      </c>
      <c r="B88" s="7" t="s">
        <v>316</v>
      </c>
      <c r="C88" s="62">
        <v>0.85416666666666663</v>
      </c>
      <c r="D88" s="88" t="s">
        <v>811</v>
      </c>
      <c r="E88" s="88" t="s">
        <v>28</v>
      </c>
      <c r="F88" s="88" t="s">
        <v>584</v>
      </c>
      <c r="G88" s="7" t="s">
        <v>85</v>
      </c>
      <c r="H88" s="87" t="s">
        <v>210</v>
      </c>
      <c r="I88" s="47"/>
      <c r="J88" s="7" t="s">
        <v>28</v>
      </c>
      <c r="K88" s="7" t="s">
        <v>210</v>
      </c>
      <c r="L88" s="7">
        <v>942</v>
      </c>
      <c r="M88" s="7">
        <v>34</v>
      </c>
      <c r="N88" s="7">
        <v>14</v>
      </c>
      <c r="O88" s="7">
        <v>0</v>
      </c>
      <c r="P88" s="7">
        <v>0</v>
      </c>
      <c r="Q88" s="69">
        <f t="shared" si="19"/>
        <v>3.6093418259023353E-2</v>
      </c>
      <c r="R88" s="69">
        <f t="shared" si="19"/>
        <v>0.41176470588235292</v>
      </c>
      <c r="S88" s="7"/>
      <c r="T88" s="7"/>
      <c r="U88" s="7"/>
      <c r="V88" s="7"/>
      <c r="W88" s="7"/>
    </row>
    <row r="89" spans="1:23" ht="16.8">
      <c r="A89" s="6">
        <v>46140</v>
      </c>
      <c r="B89" s="7" t="s">
        <v>316</v>
      </c>
      <c r="C89" s="62">
        <v>0.89583333333333337</v>
      </c>
      <c r="D89" s="77" t="s">
        <v>812</v>
      </c>
      <c r="E89" s="88" t="s">
        <v>28</v>
      </c>
      <c r="F89" t="s">
        <v>807</v>
      </c>
      <c r="G89" s="7" t="s">
        <v>813</v>
      </c>
      <c r="H89" s="104" t="s">
        <v>157</v>
      </c>
      <c r="I89" s="29" t="s">
        <v>814</v>
      </c>
      <c r="J89" s="7" t="s">
        <v>28</v>
      </c>
      <c r="K89" s="52" t="s">
        <v>157</v>
      </c>
      <c r="L89" s="86">
        <v>1297</v>
      </c>
      <c r="M89" s="86">
        <v>595</v>
      </c>
      <c r="N89" s="86">
        <v>438</v>
      </c>
      <c r="O89" s="86">
        <v>0</v>
      </c>
      <c r="P89" s="86">
        <v>0</v>
      </c>
      <c r="Q89" s="69">
        <f t="shared" si="19"/>
        <v>0.45875096376252894</v>
      </c>
      <c r="R89" s="69">
        <f t="shared" si="19"/>
        <v>0.73613445378151265</v>
      </c>
      <c r="S89" s="86"/>
      <c r="T89" s="86"/>
      <c r="U89" s="86"/>
      <c r="V89" s="86"/>
      <c r="W89" s="87"/>
    </row>
    <row r="90" spans="1:23" ht="16.8">
      <c r="A90" s="6">
        <v>46140</v>
      </c>
      <c r="B90" s="7" t="s">
        <v>316</v>
      </c>
      <c r="C90" s="62" t="s">
        <v>719</v>
      </c>
      <c r="D90" s="88" t="s">
        <v>815</v>
      </c>
      <c r="E90" s="7" t="s">
        <v>28</v>
      </c>
      <c r="F90" t="s">
        <v>730</v>
      </c>
      <c r="G90" s="77" t="s">
        <v>85</v>
      </c>
      <c r="H90" s="110" t="s">
        <v>157</v>
      </c>
      <c r="I90" s="108" t="s">
        <v>814</v>
      </c>
      <c r="J90" s="7"/>
      <c r="K90" s="109"/>
      <c r="L90" s="86">
        <v>1312</v>
      </c>
      <c r="M90" s="86">
        <v>631</v>
      </c>
      <c r="N90" s="86">
        <v>422</v>
      </c>
      <c r="O90" s="86">
        <v>3</v>
      </c>
      <c r="P90" s="86">
        <v>0</v>
      </c>
      <c r="Q90" s="69">
        <f t="shared" si="19"/>
        <v>0.48094512195121952</v>
      </c>
      <c r="R90" s="69">
        <f t="shared" si="19"/>
        <v>0.66877971473851028</v>
      </c>
      <c r="S90" s="86"/>
      <c r="T90" s="86"/>
      <c r="U90" s="86"/>
      <c r="V90" s="86"/>
      <c r="W90" s="87"/>
    </row>
    <row r="91" spans="1:23" ht="16.8">
      <c r="A91" s="6">
        <v>46140</v>
      </c>
      <c r="B91" s="7" t="s">
        <v>316</v>
      </c>
      <c r="C91" s="62"/>
      <c r="D91" s="77" t="s">
        <v>816</v>
      </c>
      <c r="E91" s="7" t="s">
        <v>28</v>
      </c>
      <c r="F91" s="77" t="s">
        <v>713</v>
      </c>
      <c r="G91" s="7"/>
      <c r="H91" s="93" t="s">
        <v>684</v>
      </c>
      <c r="I91" s="98" t="s">
        <v>686</v>
      </c>
      <c r="J91" s="7" t="s">
        <v>28</v>
      </c>
      <c r="K91" s="93" t="s">
        <v>684</v>
      </c>
      <c r="L91" s="86">
        <v>1499</v>
      </c>
      <c r="M91" s="86">
        <v>1459</v>
      </c>
      <c r="N91" s="86">
        <v>1114</v>
      </c>
      <c r="O91" s="86">
        <v>0</v>
      </c>
      <c r="P91" s="86">
        <v>1</v>
      </c>
      <c r="Q91" s="69">
        <f t="shared" si="19"/>
        <v>0.9733155436957972</v>
      </c>
      <c r="R91" s="69">
        <f t="shared" si="19"/>
        <v>0.76353666895133654</v>
      </c>
      <c r="S91" s="86"/>
      <c r="T91" s="86"/>
      <c r="U91" s="86"/>
      <c r="V91" s="86"/>
      <c r="W91" s="87"/>
    </row>
    <row r="92" spans="1:23" ht="6.6" customHeight="1">
      <c r="A92" s="22"/>
      <c r="B92" s="23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5"/>
      <c r="R92" s="25"/>
      <c r="S92" s="24"/>
      <c r="T92" s="24"/>
      <c r="U92" s="24"/>
      <c r="V92" s="25"/>
      <c r="W92" s="26"/>
    </row>
    <row r="93" spans="1:23">
      <c r="A93" s="6">
        <v>46141</v>
      </c>
      <c r="B93" s="7" t="s">
        <v>392</v>
      </c>
      <c r="C93" s="18" t="s">
        <v>599</v>
      </c>
      <c r="D93" s="18" t="s">
        <v>306</v>
      </c>
      <c r="E93" s="18" t="s">
        <v>28</v>
      </c>
      <c r="F93" s="18" t="s">
        <v>307</v>
      </c>
      <c r="G93" s="18" t="s">
        <v>85</v>
      </c>
      <c r="H93" s="18" t="s">
        <v>186</v>
      </c>
      <c r="I93" s="47"/>
      <c r="J93" s="18" t="s">
        <v>28</v>
      </c>
      <c r="K93" s="18" t="s">
        <v>186</v>
      </c>
      <c r="L93" s="7">
        <v>1847</v>
      </c>
      <c r="M93" s="7">
        <v>13</v>
      </c>
      <c r="N93" s="7">
        <v>3</v>
      </c>
      <c r="O93" s="7">
        <v>0</v>
      </c>
      <c r="P93" s="7">
        <v>2</v>
      </c>
      <c r="Q93" s="69">
        <f t="shared" ref="Q93:R105" si="22">M93/L93</f>
        <v>7.0384407146724419E-3</v>
      </c>
      <c r="R93" s="69">
        <f t="shared" si="22"/>
        <v>0.23076923076923078</v>
      </c>
      <c r="S93" s="7"/>
      <c r="T93" s="7"/>
      <c r="U93" s="7"/>
      <c r="V93" s="7"/>
      <c r="W93" s="7"/>
    </row>
    <row r="94" spans="1:23">
      <c r="A94" s="6">
        <v>46141</v>
      </c>
      <c r="B94" s="7" t="s">
        <v>392</v>
      </c>
      <c r="C94" s="18" t="s">
        <v>600</v>
      </c>
      <c r="D94" s="18" t="s">
        <v>602</v>
      </c>
      <c r="E94" s="18" t="s">
        <v>28</v>
      </c>
      <c r="F94" s="18" t="s">
        <v>601</v>
      </c>
      <c r="G94" s="18" t="s">
        <v>85</v>
      </c>
      <c r="H94" s="18" t="s">
        <v>186</v>
      </c>
      <c r="I94" s="29"/>
      <c r="J94" s="18" t="s">
        <v>28</v>
      </c>
      <c r="K94" s="18" t="s">
        <v>186</v>
      </c>
      <c r="L94" s="7"/>
      <c r="M94" s="7"/>
      <c r="N94" s="7"/>
      <c r="O94" s="7"/>
      <c r="P94" s="7"/>
      <c r="Q94" s="69" t="e">
        <f t="shared" si="22"/>
        <v>#DIV/0!</v>
      </c>
      <c r="R94" s="69" t="e">
        <f t="shared" si="22"/>
        <v>#DIV/0!</v>
      </c>
      <c r="S94" s="7"/>
      <c r="T94" s="86"/>
      <c r="U94" s="86"/>
      <c r="V94" s="86"/>
      <c r="W94" s="7"/>
    </row>
    <row r="95" spans="1:23">
      <c r="A95" s="6">
        <v>46141</v>
      </c>
      <c r="B95" s="7" t="s">
        <v>392</v>
      </c>
      <c r="C95" s="18" t="s">
        <v>347</v>
      </c>
      <c r="D95" s="18" t="s">
        <v>352</v>
      </c>
      <c r="E95" s="18" t="s">
        <v>28</v>
      </c>
      <c r="F95" s="18" t="s">
        <v>353</v>
      </c>
      <c r="G95" s="18" t="s">
        <v>85</v>
      </c>
      <c r="H95" s="18" t="s">
        <v>186</v>
      </c>
      <c r="I95" s="47"/>
      <c r="J95" s="18" t="s">
        <v>28</v>
      </c>
      <c r="K95" s="18" t="s">
        <v>186</v>
      </c>
      <c r="L95" s="7"/>
      <c r="M95" s="7"/>
      <c r="N95" s="7"/>
      <c r="O95" s="7"/>
      <c r="P95" s="7"/>
      <c r="Q95" s="69" t="e">
        <f t="shared" si="22"/>
        <v>#DIV/0!</v>
      </c>
      <c r="R95" s="69" t="e">
        <f t="shared" si="22"/>
        <v>#DIV/0!</v>
      </c>
      <c r="S95" s="7"/>
      <c r="T95" s="86"/>
      <c r="U95" s="86"/>
      <c r="V95" s="86"/>
      <c r="W95" s="7"/>
    </row>
    <row r="96" spans="1:23">
      <c r="A96" s="6">
        <v>46141</v>
      </c>
      <c r="B96" s="7" t="s">
        <v>392</v>
      </c>
      <c r="C96" s="18" t="s">
        <v>599</v>
      </c>
      <c r="D96" s="18" t="s">
        <v>507</v>
      </c>
      <c r="E96" s="18" t="s">
        <v>28</v>
      </c>
      <c r="F96" s="18" t="s">
        <v>506</v>
      </c>
      <c r="G96" s="18" t="s">
        <v>85</v>
      </c>
      <c r="H96" s="18" t="s">
        <v>106</v>
      </c>
      <c r="I96" s="47"/>
      <c r="J96" s="18" t="s">
        <v>28</v>
      </c>
      <c r="K96" s="18" t="s">
        <v>106</v>
      </c>
      <c r="L96" s="7">
        <v>684</v>
      </c>
      <c r="M96" s="7">
        <v>94</v>
      </c>
      <c r="N96" s="7">
        <v>13</v>
      </c>
      <c r="O96" s="7">
        <v>4</v>
      </c>
      <c r="P96" s="7">
        <v>0</v>
      </c>
      <c r="Q96" s="69">
        <f t="shared" si="22"/>
        <v>0.13742690058479531</v>
      </c>
      <c r="R96" s="69">
        <f t="shared" si="22"/>
        <v>0.13829787234042554</v>
      </c>
      <c r="S96" s="7"/>
      <c r="T96" s="86"/>
      <c r="U96" s="86"/>
      <c r="V96" s="86"/>
      <c r="W96" s="7"/>
    </row>
    <row r="97" spans="1:23">
      <c r="A97" s="6">
        <v>46141</v>
      </c>
      <c r="B97" s="7" t="s">
        <v>392</v>
      </c>
      <c r="C97" s="18" t="s">
        <v>600</v>
      </c>
      <c r="D97" s="18" t="s">
        <v>602</v>
      </c>
      <c r="E97" s="18" t="s">
        <v>28</v>
      </c>
      <c r="F97" s="18" t="s">
        <v>601</v>
      </c>
      <c r="G97" s="18" t="s">
        <v>85</v>
      </c>
      <c r="H97" s="18" t="s">
        <v>106</v>
      </c>
      <c r="I97" s="29"/>
      <c r="J97" s="18" t="s">
        <v>28</v>
      </c>
      <c r="K97" s="18" t="s">
        <v>106</v>
      </c>
      <c r="L97" s="7"/>
      <c r="M97" s="7"/>
      <c r="N97" s="7"/>
      <c r="O97" s="7"/>
      <c r="P97" s="7"/>
      <c r="Q97" s="69" t="e">
        <f t="shared" si="22"/>
        <v>#DIV/0!</v>
      </c>
      <c r="R97" s="69" t="e">
        <f t="shared" si="22"/>
        <v>#DIV/0!</v>
      </c>
      <c r="S97" s="7"/>
      <c r="T97" s="7"/>
      <c r="U97" s="7"/>
      <c r="V97" s="7"/>
      <c r="W97" s="7"/>
    </row>
    <row r="98" spans="1:23">
      <c r="A98" s="6">
        <v>46141</v>
      </c>
      <c r="B98" s="7" t="s">
        <v>392</v>
      </c>
      <c r="C98" s="62">
        <v>0.79166666666666663</v>
      </c>
      <c r="D98" s="77" t="s">
        <v>947</v>
      </c>
      <c r="E98" s="88" t="s">
        <v>28</v>
      </c>
      <c r="F98" t="s">
        <v>948</v>
      </c>
      <c r="G98" s="77" t="s">
        <v>785</v>
      </c>
      <c r="H98" s="77" t="s">
        <v>358</v>
      </c>
      <c r="I98" s="47" t="s">
        <v>785</v>
      </c>
      <c r="J98" s="77" t="s">
        <v>28</v>
      </c>
      <c r="K98" s="77" t="s">
        <v>359</v>
      </c>
      <c r="L98" s="7">
        <v>2960</v>
      </c>
      <c r="M98" s="7">
        <v>27</v>
      </c>
      <c r="N98" s="7">
        <v>4</v>
      </c>
      <c r="O98" s="7">
        <v>1</v>
      </c>
      <c r="P98" s="7">
        <v>7</v>
      </c>
      <c r="Q98" s="69">
        <f t="shared" si="22"/>
        <v>9.1216216216216221E-3</v>
      </c>
      <c r="R98" s="69">
        <f t="shared" si="22"/>
        <v>0.14814814814814814</v>
      </c>
      <c r="S98" s="7"/>
      <c r="T98" s="7"/>
      <c r="U98" s="7"/>
      <c r="V98" s="7"/>
      <c r="W98" s="7"/>
    </row>
    <row r="99" spans="1:23">
      <c r="A99" s="6">
        <v>46141</v>
      </c>
      <c r="B99" s="7" t="s">
        <v>392</v>
      </c>
      <c r="C99" s="62">
        <v>0.80208333333333337</v>
      </c>
      <c r="D99" s="88" t="s">
        <v>949</v>
      </c>
      <c r="E99" s="88" t="s">
        <v>28</v>
      </c>
      <c r="F99" s="88" t="s">
        <v>436</v>
      </c>
      <c r="G99" s="7" t="s">
        <v>85</v>
      </c>
      <c r="H99" s="77" t="s">
        <v>359</v>
      </c>
      <c r="I99" s="47"/>
      <c r="J99" s="77" t="s">
        <v>28</v>
      </c>
      <c r="K99" s="77" t="s">
        <v>358</v>
      </c>
      <c r="L99" s="7">
        <v>1292</v>
      </c>
      <c r="M99" s="7">
        <v>13</v>
      </c>
      <c r="N99" s="7">
        <v>5</v>
      </c>
      <c r="O99" s="7">
        <v>2</v>
      </c>
      <c r="P99" s="7">
        <v>6</v>
      </c>
      <c r="Q99" s="69">
        <f t="shared" si="22"/>
        <v>1.0061919504643963E-2</v>
      </c>
      <c r="R99" s="69">
        <f t="shared" si="22"/>
        <v>0.38461538461538464</v>
      </c>
      <c r="S99" s="7"/>
      <c r="T99" s="7"/>
      <c r="U99" s="7"/>
      <c r="V99" s="7"/>
      <c r="W99" s="7"/>
    </row>
    <row r="100" spans="1:23">
      <c r="A100" s="6">
        <v>46141</v>
      </c>
      <c r="B100" s="7" t="s">
        <v>392</v>
      </c>
      <c r="C100" s="62">
        <v>0.77083333333333337</v>
      </c>
      <c r="D100" s="7" t="s">
        <v>950</v>
      </c>
      <c r="E100" s="7" t="s">
        <v>28</v>
      </c>
      <c r="F100" t="s">
        <v>951</v>
      </c>
      <c r="G100" s="7" t="s">
        <v>85</v>
      </c>
      <c r="H100" s="77" t="s">
        <v>350</v>
      </c>
      <c r="I100" s="47" t="s">
        <v>785</v>
      </c>
      <c r="J100" s="77" t="s">
        <v>28</v>
      </c>
      <c r="K100" s="77" t="s">
        <v>350</v>
      </c>
      <c r="L100" s="7">
        <v>5552</v>
      </c>
      <c r="M100" s="7">
        <v>25</v>
      </c>
      <c r="N100" s="7">
        <v>3</v>
      </c>
      <c r="O100" s="7">
        <v>0</v>
      </c>
      <c r="P100" s="7">
        <v>2</v>
      </c>
      <c r="Q100" s="69">
        <f t="shared" si="22"/>
        <v>4.5028818443804035E-3</v>
      </c>
      <c r="R100" s="69">
        <f t="shared" si="22"/>
        <v>0.12</v>
      </c>
      <c r="S100" s="7"/>
      <c r="T100" s="7"/>
      <c r="U100" s="7"/>
      <c r="V100" s="7"/>
      <c r="W100" s="7"/>
    </row>
    <row r="101" spans="1:23">
      <c r="A101" s="6">
        <v>46141</v>
      </c>
      <c r="B101" s="7" t="s">
        <v>392</v>
      </c>
      <c r="C101" s="62">
        <v>0.8125</v>
      </c>
      <c r="D101" s="111" t="s">
        <v>952</v>
      </c>
      <c r="E101" s="7" t="s">
        <v>28</v>
      </c>
      <c r="F101" t="s">
        <v>953</v>
      </c>
      <c r="G101" s="77" t="s">
        <v>85</v>
      </c>
      <c r="H101" s="103" t="s">
        <v>351</v>
      </c>
      <c r="I101" s="47" t="s">
        <v>785</v>
      </c>
      <c r="J101" s="77" t="s">
        <v>28</v>
      </c>
      <c r="K101" s="77" t="s">
        <v>351</v>
      </c>
      <c r="L101" s="7">
        <v>3260</v>
      </c>
      <c r="M101" s="7">
        <v>22</v>
      </c>
      <c r="N101" s="7">
        <v>9</v>
      </c>
      <c r="O101" s="7">
        <v>0</v>
      </c>
      <c r="P101" s="7">
        <v>1</v>
      </c>
      <c r="Q101" s="69">
        <f t="shared" si="22"/>
        <v>6.7484662576687117E-3</v>
      </c>
      <c r="R101" s="69">
        <f t="shared" si="22"/>
        <v>0.40909090909090912</v>
      </c>
      <c r="S101" s="7"/>
      <c r="T101" s="7"/>
      <c r="U101" s="7"/>
      <c r="V101" s="7"/>
      <c r="W101" s="7"/>
    </row>
    <row r="102" spans="1:23">
      <c r="A102" s="6">
        <v>46141</v>
      </c>
      <c r="B102" s="7" t="s">
        <v>392</v>
      </c>
      <c r="C102" s="62">
        <v>0.85416666666666663</v>
      </c>
      <c r="D102" s="7" t="s">
        <v>954</v>
      </c>
      <c r="E102" s="7" t="s">
        <v>28</v>
      </c>
      <c r="F102" s="7" t="s">
        <v>412</v>
      </c>
      <c r="G102" s="7" t="s">
        <v>85</v>
      </c>
      <c r="H102" s="87" t="s">
        <v>210</v>
      </c>
      <c r="I102" s="47"/>
      <c r="J102" s="7" t="s">
        <v>28</v>
      </c>
      <c r="K102" s="7" t="s">
        <v>210</v>
      </c>
      <c r="L102" s="7">
        <v>1013</v>
      </c>
      <c r="M102" s="7">
        <v>26</v>
      </c>
      <c r="N102" s="7">
        <v>12</v>
      </c>
      <c r="O102" s="7">
        <v>0</v>
      </c>
      <c r="P102" s="7">
        <v>0</v>
      </c>
      <c r="Q102" s="69">
        <f t="shared" si="22"/>
        <v>2.5666337611056269E-2</v>
      </c>
      <c r="R102" s="69">
        <f t="shared" si="22"/>
        <v>0.46153846153846156</v>
      </c>
      <c r="S102" s="7"/>
      <c r="T102" s="7"/>
      <c r="U102" s="7"/>
      <c r="V102" s="7"/>
      <c r="W102" s="7"/>
    </row>
    <row r="103" spans="1:23" ht="16.8">
      <c r="A103" s="6">
        <v>46141</v>
      </c>
      <c r="B103" s="7" t="s">
        <v>392</v>
      </c>
      <c r="C103" s="62">
        <v>0.89583333333333337</v>
      </c>
      <c r="D103" s="77" t="s">
        <v>955</v>
      </c>
      <c r="E103" s="7" t="s">
        <v>28</v>
      </c>
      <c r="F103" t="s">
        <v>951</v>
      </c>
      <c r="G103" s="7" t="s">
        <v>85</v>
      </c>
      <c r="H103" s="104" t="s">
        <v>157</v>
      </c>
      <c r="I103" s="29" t="s">
        <v>785</v>
      </c>
      <c r="J103" s="7" t="s">
        <v>28</v>
      </c>
      <c r="K103" s="52" t="s">
        <v>157</v>
      </c>
      <c r="L103" s="86">
        <v>794</v>
      </c>
      <c r="M103" s="86">
        <v>78</v>
      </c>
      <c r="N103" s="86">
        <v>13</v>
      </c>
      <c r="O103" s="86">
        <v>0</v>
      </c>
      <c r="P103" s="86">
        <v>0</v>
      </c>
      <c r="Q103" s="69">
        <f t="shared" si="22"/>
        <v>9.8236775818639793E-2</v>
      </c>
      <c r="R103" s="69">
        <f t="shared" si="22"/>
        <v>0.16666666666666666</v>
      </c>
      <c r="S103" s="86"/>
      <c r="T103" s="86"/>
      <c r="U103" s="86"/>
      <c r="V103" s="86"/>
      <c r="W103" s="87"/>
    </row>
    <row r="104" spans="1:23" ht="16.8">
      <c r="A104" s="6">
        <v>46141</v>
      </c>
      <c r="B104" s="7" t="s">
        <v>392</v>
      </c>
      <c r="C104" s="62" t="s">
        <v>719</v>
      </c>
      <c r="D104" s="111" t="s">
        <v>956</v>
      </c>
      <c r="E104" s="7" t="s">
        <v>28</v>
      </c>
      <c r="F104" t="s">
        <v>953</v>
      </c>
      <c r="G104" s="77" t="s">
        <v>85</v>
      </c>
      <c r="H104" s="7" t="s">
        <v>149</v>
      </c>
      <c r="I104" s="108" t="s">
        <v>785</v>
      </c>
      <c r="J104" s="7"/>
      <c r="K104" s="109"/>
      <c r="L104" s="86">
        <v>454</v>
      </c>
      <c r="M104" s="86">
        <v>83</v>
      </c>
      <c r="N104" s="86">
        <v>29</v>
      </c>
      <c r="O104" s="86">
        <v>1</v>
      </c>
      <c r="P104" s="86">
        <v>0</v>
      </c>
      <c r="Q104" s="69">
        <f t="shared" si="22"/>
        <v>0.1828193832599119</v>
      </c>
      <c r="R104" s="69">
        <f t="shared" si="22"/>
        <v>0.3493975903614458</v>
      </c>
      <c r="S104" s="86"/>
      <c r="T104" s="86"/>
      <c r="U104" s="86"/>
      <c r="V104" s="86"/>
      <c r="W104" s="87"/>
    </row>
    <row r="105" spans="1:23" ht="16.8">
      <c r="A105" s="6">
        <v>46141</v>
      </c>
      <c r="B105" s="7" t="s">
        <v>392</v>
      </c>
      <c r="C105" s="62"/>
      <c r="D105" s="77" t="s">
        <v>957</v>
      </c>
      <c r="E105" s="7" t="s">
        <v>28</v>
      </c>
      <c r="F105" s="77" t="s">
        <v>713</v>
      </c>
      <c r="G105" s="7" t="s">
        <v>85</v>
      </c>
      <c r="H105" s="93" t="s">
        <v>684</v>
      </c>
      <c r="I105" s="98" t="s">
        <v>686</v>
      </c>
      <c r="J105" s="7" t="s">
        <v>28</v>
      </c>
      <c r="K105" s="93" t="s">
        <v>684</v>
      </c>
      <c r="L105" s="86">
        <v>260</v>
      </c>
      <c r="M105" s="86">
        <v>257</v>
      </c>
      <c r="N105" s="86">
        <v>190</v>
      </c>
      <c r="O105" s="86">
        <v>0</v>
      </c>
      <c r="P105" s="86">
        <v>0</v>
      </c>
      <c r="Q105" s="69">
        <f t="shared" si="22"/>
        <v>0.9884615384615385</v>
      </c>
      <c r="R105" s="69">
        <f t="shared" si="22"/>
        <v>0.73929961089494167</v>
      </c>
      <c r="S105" s="86"/>
      <c r="T105" s="86"/>
      <c r="U105" s="86"/>
      <c r="V105" s="86"/>
      <c r="W105" s="87"/>
    </row>
    <row r="106" spans="1:23" ht="16.8">
      <c r="A106" s="6">
        <v>46141</v>
      </c>
      <c r="B106" s="7" t="s">
        <v>392</v>
      </c>
      <c r="C106" s="62"/>
      <c r="D106" s="77" t="s">
        <v>958</v>
      </c>
      <c r="E106" s="7" t="s">
        <v>28</v>
      </c>
      <c r="F106" s="77" t="s">
        <v>713</v>
      </c>
      <c r="G106" s="7" t="s">
        <v>85</v>
      </c>
      <c r="H106" s="93" t="s">
        <v>684</v>
      </c>
      <c r="I106" s="98" t="s">
        <v>686</v>
      </c>
      <c r="J106" s="7" t="s">
        <v>28</v>
      </c>
      <c r="K106" s="93" t="s">
        <v>684</v>
      </c>
      <c r="L106" s="86">
        <v>316</v>
      </c>
      <c r="M106" s="86">
        <v>222</v>
      </c>
      <c r="N106" s="86">
        <v>171</v>
      </c>
      <c r="O106" s="86">
        <v>0</v>
      </c>
      <c r="P106" s="86">
        <v>0</v>
      </c>
      <c r="Q106" s="69">
        <f t="shared" ref="Q106:R106" si="23">M106/L106</f>
        <v>0.70253164556962022</v>
      </c>
      <c r="R106" s="69">
        <f t="shared" si="23"/>
        <v>0.77027027027027029</v>
      </c>
      <c r="S106" s="86"/>
      <c r="T106" s="86"/>
      <c r="U106" s="86"/>
      <c r="V106" s="86"/>
      <c r="W106" s="87"/>
    </row>
    <row r="107" spans="1:23" ht="6.6" customHeight="1">
      <c r="A107" s="22"/>
      <c r="B107" s="23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5"/>
      <c r="R107" s="25"/>
      <c r="S107" s="24"/>
      <c r="T107" s="24"/>
      <c r="U107" s="24"/>
      <c r="V107" s="25"/>
      <c r="W107" s="26"/>
    </row>
    <row r="108" spans="1:23">
      <c r="A108" s="6">
        <v>46142</v>
      </c>
      <c r="B108" s="7" t="s">
        <v>552</v>
      </c>
      <c r="C108" s="18" t="s">
        <v>599</v>
      </c>
      <c r="D108" s="18" t="s">
        <v>306</v>
      </c>
      <c r="E108" s="18" t="s">
        <v>28</v>
      </c>
      <c r="F108" s="18" t="s">
        <v>307</v>
      </c>
      <c r="G108" s="18" t="s">
        <v>85</v>
      </c>
      <c r="H108" s="18" t="s">
        <v>186</v>
      </c>
      <c r="I108" s="47"/>
      <c r="J108" s="18" t="s">
        <v>28</v>
      </c>
      <c r="K108" s="18" t="s">
        <v>186</v>
      </c>
      <c r="L108" s="7">
        <v>1974</v>
      </c>
      <c r="M108" s="7">
        <v>11</v>
      </c>
      <c r="N108" s="7">
        <v>1</v>
      </c>
      <c r="O108" s="7">
        <v>0</v>
      </c>
      <c r="P108" s="7">
        <v>0</v>
      </c>
      <c r="Q108" s="69">
        <f t="shared" ref="Q108:R123" si="24">M108/L108</f>
        <v>5.5724417426545082E-3</v>
      </c>
      <c r="R108" s="69">
        <f t="shared" si="24"/>
        <v>9.0909090909090912E-2</v>
      </c>
      <c r="S108" s="7"/>
      <c r="T108" s="7"/>
      <c r="U108" s="7"/>
      <c r="V108" s="7"/>
      <c r="W108" s="7"/>
    </row>
    <row r="109" spans="1:23">
      <c r="A109" s="6">
        <v>46142</v>
      </c>
      <c r="B109" s="7" t="s">
        <v>552</v>
      </c>
      <c r="C109" s="18" t="s">
        <v>600</v>
      </c>
      <c r="D109" s="18" t="s">
        <v>602</v>
      </c>
      <c r="E109" s="18" t="s">
        <v>28</v>
      </c>
      <c r="F109" s="18" t="s">
        <v>601</v>
      </c>
      <c r="G109" s="18" t="s">
        <v>85</v>
      </c>
      <c r="H109" s="18" t="s">
        <v>186</v>
      </c>
      <c r="I109" s="29"/>
      <c r="J109" s="18" t="s">
        <v>28</v>
      </c>
      <c r="K109" s="18" t="s">
        <v>186</v>
      </c>
      <c r="L109" s="7"/>
      <c r="M109" s="7"/>
      <c r="N109" s="7"/>
      <c r="O109" s="7"/>
      <c r="P109" s="7"/>
      <c r="Q109" s="69" t="e">
        <f t="shared" si="24"/>
        <v>#DIV/0!</v>
      </c>
      <c r="R109" s="69" t="e">
        <f t="shared" si="24"/>
        <v>#DIV/0!</v>
      </c>
      <c r="S109" s="7"/>
      <c r="T109" s="7"/>
      <c r="U109" s="7"/>
      <c r="V109" s="7"/>
      <c r="W109" s="7"/>
    </row>
    <row r="110" spans="1:23">
      <c r="A110" s="6">
        <v>46142</v>
      </c>
      <c r="B110" s="7" t="s">
        <v>552</v>
      </c>
      <c r="C110" s="18" t="s">
        <v>347</v>
      </c>
      <c r="D110" s="18" t="s">
        <v>352</v>
      </c>
      <c r="E110" s="18" t="s">
        <v>28</v>
      </c>
      <c r="F110" s="18" t="s">
        <v>353</v>
      </c>
      <c r="G110" s="18" t="s">
        <v>85</v>
      </c>
      <c r="H110" s="18" t="s">
        <v>186</v>
      </c>
      <c r="I110" s="47"/>
      <c r="J110" s="18" t="s">
        <v>28</v>
      </c>
      <c r="K110" s="18" t="s">
        <v>186</v>
      </c>
      <c r="L110" s="7"/>
      <c r="M110" s="7"/>
      <c r="N110" s="7"/>
      <c r="O110" s="7"/>
      <c r="P110" s="7"/>
      <c r="Q110" s="69" t="e">
        <f t="shared" si="24"/>
        <v>#DIV/0!</v>
      </c>
      <c r="R110" s="69" t="e">
        <f t="shared" si="24"/>
        <v>#DIV/0!</v>
      </c>
      <c r="S110" s="7"/>
      <c r="T110" s="7"/>
      <c r="U110" s="7"/>
      <c r="V110" s="7"/>
      <c r="W110" s="7"/>
    </row>
    <row r="111" spans="1:23">
      <c r="A111" s="6">
        <v>46142</v>
      </c>
      <c r="B111" s="7" t="s">
        <v>552</v>
      </c>
      <c r="C111" s="18" t="s">
        <v>599</v>
      </c>
      <c r="D111" s="18" t="s">
        <v>507</v>
      </c>
      <c r="E111" s="18" t="s">
        <v>28</v>
      </c>
      <c r="F111" s="18" t="s">
        <v>506</v>
      </c>
      <c r="G111" s="18" t="s">
        <v>85</v>
      </c>
      <c r="H111" s="18" t="s">
        <v>106</v>
      </c>
      <c r="I111" s="47"/>
      <c r="J111" s="18" t="s">
        <v>28</v>
      </c>
      <c r="K111" s="18" t="s">
        <v>106</v>
      </c>
      <c r="L111" s="7">
        <v>949</v>
      </c>
      <c r="M111" s="7">
        <v>114</v>
      </c>
      <c r="N111" s="7">
        <v>24</v>
      </c>
      <c r="O111" s="7">
        <v>7</v>
      </c>
      <c r="P111" s="7">
        <v>2</v>
      </c>
      <c r="Q111" s="69">
        <f t="shared" si="24"/>
        <v>0.12012644889357219</v>
      </c>
      <c r="R111" s="69">
        <f t="shared" si="24"/>
        <v>0.21052631578947367</v>
      </c>
      <c r="S111" s="7"/>
      <c r="T111" s="7"/>
      <c r="U111" s="7"/>
      <c r="V111" s="7"/>
      <c r="W111" s="7"/>
    </row>
    <row r="112" spans="1:23">
      <c r="A112" s="6">
        <v>46142</v>
      </c>
      <c r="B112" s="7" t="s">
        <v>552</v>
      </c>
      <c r="C112" s="18" t="s">
        <v>600</v>
      </c>
      <c r="D112" s="18" t="s">
        <v>602</v>
      </c>
      <c r="E112" s="18" t="s">
        <v>28</v>
      </c>
      <c r="F112" s="18" t="s">
        <v>601</v>
      </c>
      <c r="G112" s="18" t="s">
        <v>85</v>
      </c>
      <c r="H112" s="18" t="s">
        <v>106</v>
      </c>
      <c r="I112" s="29"/>
      <c r="J112" s="18" t="s">
        <v>28</v>
      </c>
      <c r="K112" s="18" t="s">
        <v>106</v>
      </c>
      <c r="L112" s="7"/>
      <c r="M112" s="7"/>
      <c r="N112" s="7"/>
      <c r="O112" s="7"/>
      <c r="P112" s="7"/>
      <c r="Q112" s="69" t="e">
        <f t="shared" si="24"/>
        <v>#DIV/0!</v>
      </c>
      <c r="R112" s="69" t="e">
        <f t="shared" si="24"/>
        <v>#DIV/0!</v>
      </c>
      <c r="S112" s="7"/>
      <c r="T112" s="7"/>
      <c r="U112" s="7"/>
      <c r="V112" s="7"/>
      <c r="W112" s="7"/>
    </row>
    <row r="113" spans="1:23">
      <c r="A113" s="6">
        <v>46142</v>
      </c>
      <c r="B113" s="7" t="s">
        <v>552</v>
      </c>
      <c r="C113" s="62"/>
      <c r="D113" s="77" t="s">
        <v>1104</v>
      </c>
      <c r="E113" s="7" t="s">
        <v>28</v>
      </c>
      <c r="F113" s="77" t="s">
        <v>713</v>
      </c>
      <c r="G113" s="7" t="s">
        <v>85</v>
      </c>
      <c r="H113" s="77" t="s">
        <v>684</v>
      </c>
      <c r="I113" s="47"/>
      <c r="J113" s="7" t="s">
        <v>28</v>
      </c>
      <c r="K113" s="77" t="s">
        <v>684</v>
      </c>
      <c r="L113" s="7">
        <v>1499</v>
      </c>
      <c r="M113" s="7">
        <v>1463</v>
      </c>
      <c r="N113" s="7">
        <v>920</v>
      </c>
      <c r="O113" s="7">
        <v>0</v>
      </c>
      <c r="P113" s="7">
        <v>1</v>
      </c>
      <c r="Q113" s="69">
        <f t="shared" si="24"/>
        <v>0.97598398932621744</v>
      </c>
      <c r="R113" s="69">
        <f t="shared" si="24"/>
        <v>0.62884483937115521</v>
      </c>
      <c r="S113" s="7"/>
      <c r="T113" s="7"/>
      <c r="U113" s="7"/>
      <c r="V113" s="7"/>
      <c r="W113" s="7"/>
    </row>
    <row r="114" spans="1:23">
      <c r="A114" s="6">
        <v>46142</v>
      </c>
      <c r="B114" s="7" t="s">
        <v>552</v>
      </c>
      <c r="C114" s="62"/>
      <c r="D114" s="77" t="s">
        <v>1105</v>
      </c>
      <c r="E114" s="7" t="s">
        <v>28</v>
      </c>
      <c r="F114" s="77" t="s">
        <v>713</v>
      </c>
      <c r="G114" s="7"/>
      <c r="H114" s="77" t="s">
        <v>684</v>
      </c>
      <c r="I114" s="47"/>
      <c r="J114" s="7" t="s">
        <v>28</v>
      </c>
      <c r="K114" s="77" t="s">
        <v>1000</v>
      </c>
      <c r="L114" s="7">
        <v>1499</v>
      </c>
      <c r="M114" s="7">
        <v>1472</v>
      </c>
      <c r="N114" s="7">
        <v>1095</v>
      </c>
      <c r="O114" s="7">
        <v>0</v>
      </c>
      <c r="P114" s="7">
        <v>1</v>
      </c>
      <c r="Q114" s="69">
        <f t="shared" si="24"/>
        <v>0.98198799199466313</v>
      </c>
      <c r="R114" s="69">
        <f t="shared" si="24"/>
        <v>0.74388586956521741</v>
      </c>
      <c r="S114" s="7"/>
      <c r="T114" s="7"/>
      <c r="U114" s="7"/>
      <c r="V114" s="7"/>
      <c r="W114" s="7"/>
    </row>
    <row r="115" spans="1:23">
      <c r="A115" s="6">
        <v>46142</v>
      </c>
      <c r="B115" s="7" t="s">
        <v>552</v>
      </c>
      <c r="C115" s="62"/>
      <c r="D115" s="77" t="s">
        <v>1106</v>
      </c>
      <c r="E115" s="7" t="s">
        <v>28</v>
      </c>
      <c r="F115" s="77" t="s">
        <v>713</v>
      </c>
      <c r="G115" s="7" t="s">
        <v>85</v>
      </c>
      <c r="H115" s="77" t="s">
        <v>1000</v>
      </c>
      <c r="I115" s="47"/>
      <c r="J115" s="7" t="s">
        <v>28</v>
      </c>
      <c r="K115" s="77" t="s">
        <v>684</v>
      </c>
      <c r="L115" s="7">
        <v>316</v>
      </c>
      <c r="M115" s="7">
        <v>289</v>
      </c>
      <c r="N115" s="7">
        <v>215</v>
      </c>
      <c r="O115" s="7">
        <v>0</v>
      </c>
      <c r="P115" s="7">
        <v>0</v>
      </c>
      <c r="Q115" s="69">
        <f t="shared" si="24"/>
        <v>0.91455696202531644</v>
      </c>
      <c r="R115" s="69">
        <f t="shared" si="24"/>
        <v>0.74394463667820065</v>
      </c>
      <c r="S115" s="7"/>
      <c r="T115" s="7"/>
      <c r="U115" s="7"/>
      <c r="V115" s="7"/>
      <c r="W115" s="7"/>
    </row>
    <row r="116" spans="1:23">
      <c r="A116" s="6">
        <v>46142</v>
      </c>
      <c r="B116" s="7" t="s">
        <v>552</v>
      </c>
      <c r="C116" s="62"/>
      <c r="D116" s="77" t="s">
        <v>1107</v>
      </c>
      <c r="E116" s="7" t="s">
        <v>28</v>
      </c>
      <c r="F116" s="77" t="s">
        <v>713</v>
      </c>
      <c r="G116" s="7"/>
      <c r="H116" s="77" t="s">
        <v>1000</v>
      </c>
      <c r="I116" s="47"/>
      <c r="J116" s="7" t="s">
        <v>28</v>
      </c>
      <c r="K116" s="77" t="s">
        <v>1000</v>
      </c>
      <c r="L116" s="7">
        <v>316</v>
      </c>
      <c r="M116" s="7">
        <v>290</v>
      </c>
      <c r="N116" s="7">
        <v>207</v>
      </c>
      <c r="O116" s="7">
        <v>0</v>
      </c>
      <c r="P116" s="7">
        <v>0</v>
      </c>
      <c r="Q116" s="69">
        <f t="shared" si="24"/>
        <v>0.91772151898734178</v>
      </c>
      <c r="R116" s="69">
        <f t="shared" si="24"/>
        <v>0.71379310344827585</v>
      </c>
      <c r="S116" s="7"/>
      <c r="T116" s="7"/>
      <c r="U116" s="7"/>
      <c r="V116" s="7"/>
      <c r="W116" s="7"/>
    </row>
    <row r="117" spans="1:23">
      <c r="A117" s="6">
        <v>46142</v>
      </c>
      <c r="B117" s="7" t="s">
        <v>552</v>
      </c>
      <c r="C117" s="62">
        <v>0.79166666666666663</v>
      </c>
      <c r="D117" s="77" t="s">
        <v>1108</v>
      </c>
      <c r="E117" s="77" t="s">
        <v>28</v>
      </c>
      <c r="F117" s="77" t="s">
        <v>522</v>
      </c>
      <c r="G117" s="77" t="s">
        <v>785</v>
      </c>
      <c r="H117" s="77" t="s">
        <v>358</v>
      </c>
      <c r="I117" s="47"/>
      <c r="J117" s="77" t="s">
        <v>28</v>
      </c>
      <c r="K117" s="77" t="s">
        <v>359</v>
      </c>
      <c r="L117" s="7">
        <v>2959</v>
      </c>
      <c r="M117" s="7">
        <v>22</v>
      </c>
      <c r="N117" s="7">
        <v>5</v>
      </c>
      <c r="O117" s="7">
        <v>0</v>
      </c>
      <c r="P117" s="7">
        <v>4</v>
      </c>
      <c r="Q117" s="69">
        <f t="shared" si="24"/>
        <v>7.4349442379182153E-3</v>
      </c>
      <c r="R117" s="69">
        <f t="shared" si="24"/>
        <v>0.22727272727272727</v>
      </c>
      <c r="S117" s="7"/>
      <c r="T117" s="7"/>
      <c r="U117" s="7"/>
      <c r="V117" s="7"/>
      <c r="W117" s="7"/>
    </row>
    <row r="118" spans="1:23">
      <c r="A118" s="6">
        <v>46142</v>
      </c>
      <c r="B118" s="7" t="s">
        <v>552</v>
      </c>
      <c r="C118" s="62">
        <v>0.80208333333333337</v>
      </c>
      <c r="D118" s="77" t="s">
        <v>1109</v>
      </c>
      <c r="E118" s="77" t="s">
        <v>28</v>
      </c>
      <c r="F118" s="77" t="s">
        <v>438</v>
      </c>
      <c r="G118" s="7" t="s">
        <v>85</v>
      </c>
      <c r="H118" s="77" t="s">
        <v>359</v>
      </c>
      <c r="I118" s="47"/>
      <c r="J118" s="77" t="s">
        <v>28</v>
      </c>
      <c r="K118" s="77" t="s">
        <v>358</v>
      </c>
      <c r="L118" s="7">
        <v>1289</v>
      </c>
      <c r="M118" s="7">
        <v>13</v>
      </c>
      <c r="N118" s="7">
        <v>5</v>
      </c>
      <c r="O118" s="7">
        <v>0</v>
      </c>
      <c r="P118" s="7">
        <v>4</v>
      </c>
      <c r="Q118" s="69">
        <f t="shared" si="24"/>
        <v>1.0085337470907681E-2</v>
      </c>
      <c r="R118" s="69">
        <f t="shared" si="24"/>
        <v>0.38461538461538464</v>
      </c>
      <c r="S118" s="7"/>
      <c r="T118" s="7"/>
      <c r="U118" s="7"/>
      <c r="V118" s="7"/>
      <c r="W118" s="7"/>
    </row>
    <row r="119" spans="1:23">
      <c r="A119" s="6">
        <v>46142</v>
      </c>
      <c r="B119" s="7" t="s">
        <v>552</v>
      </c>
      <c r="C119" s="62">
        <v>0.77083333333333337</v>
      </c>
      <c r="D119" s="77" t="s">
        <v>1110</v>
      </c>
      <c r="E119" s="77" t="s">
        <v>28</v>
      </c>
      <c r="F119" t="s">
        <v>1111</v>
      </c>
      <c r="G119" s="7" t="s">
        <v>85</v>
      </c>
      <c r="H119" s="77" t="s">
        <v>350</v>
      </c>
      <c r="I119" s="47" t="s">
        <v>1065</v>
      </c>
      <c r="J119" s="77" t="s">
        <v>28</v>
      </c>
      <c r="K119" s="77" t="s">
        <v>350</v>
      </c>
      <c r="L119" s="7">
        <v>5544</v>
      </c>
      <c r="M119" s="7">
        <v>31</v>
      </c>
      <c r="N119" s="7">
        <v>6</v>
      </c>
      <c r="O119" s="7">
        <v>0</v>
      </c>
      <c r="P119" s="7">
        <v>1</v>
      </c>
      <c r="Q119" s="69">
        <f t="shared" si="24"/>
        <v>5.591630591630592E-3</v>
      </c>
      <c r="R119" s="69">
        <f t="shared" si="24"/>
        <v>0.19354838709677419</v>
      </c>
      <c r="S119" s="7"/>
      <c r="T119" s="7"/>
      <c r="U119" s="7"/>
      <c r="V119" s="7"/>
      <c r="W119" s="7"/>
    </row>
    <row r="120" spans="1:23">
      <c r="A120" s="6">
        <v>46142</v>
      </c>
      <c r="B120" s="7" t="s">
        <v>552</v>
      </c>
      <c r="C120" s="62">
        <v>0.8125</v>
      </c>
      <c r="D120" s="77" t="s">
        <v>1112</v>
      </c>
      <c r="E120" s="77" t="s">
        <v>28</v>
      </c>
      <c r="F120" t="s">
        <v>1113</v>
      </c>
      <c r="G120" s="77" t="s">
        <v>85</v>
      </c>
      <c r="H120" s="77" t="s">
        <v>351</v>
      </c>
      <c r="I120" s="47" t="s">
        <v>1065</v>
      </c>
      <c r="J120" s="77" t="s">
        <v>28</v>
      </c>
      <c r="K120" s="77" t="s">
        <v>351</v>
      </c>
      <c r="L120" s="7">
        <v>3253</v>
      </c>
      <c r="M120" s="7">
        <v>19</v>
      </c>
      <c r="N120" s="7">
        <v>7</v>
      </c>
      <c r="O120" s="7">
        <v>1</v>
      </c>
      <c r="P120" s="7">
        <v>0</v>
      </c>
      <c r="Q120" s="69">
        <f t="shared" si="24"/>
        <v>5.8407623731939751E-3</v>
      </c>
      <c r="R120" s="69">
        <f t="shared" si="24"/>
        <v>0.36842105263157893</v>
      </c>
      <c r="S120" s="7"/>
      <c r="T120" s="7"/>
      <c r="U120" s="7"/>
      <c r="V120" s="7"/>
      <c r="W120" s="7"/>
    </row>
    <row r="121" spans="1:23">
      <c r="A121" s="6">
        <v>46142</v>
      </c>
      <c r="B121" s="7" t="s">
        <v>552</v>
      </c>
      <c r="C121" s="62">
        <v>0.85416666666666663</v>
      </c>
      <c r="D121" s="88" t="s">
        <v>1114</v>
      </c>
      <c r="E121" s="88" t="s">
        <v>28</v>
      </c>
      <c r="F121" s="88" t="s">
        <v>537</v>
      </c>
      <c r="G121" s="7" t="s">
        <v>85</v>
      </c>
      <c r="H121" s="7" t="s">
        <v>210</v>
      </c>
      <c r="I121" s="47"/>
      <c r="J121" s="7" t="s">
        <v>28</v>
      </c>
      <c r="K121" s="7" t="s">
        <v>210</v>
      </c>
      <c r="L121" s="7">
        <v>1095</v>
      </c>
      <c r="M121" s="7">
        <v>22</v>
      </c>
      <c r="N121" s="7">
        <v>9</v>
      </c>
      <c r="O121" s="7">
        <v>0</v>
      </c>
      <c r="P121" s="7">
        <v>0</v>
      </c>
      <c r="Q121" s="69">
        <f t="shared" si="24"/>
        <v>2.0091324200913242E-2</v>
      </c>
      <c r="R121" s="69">
        <f t="shared" si="24"/>
        <v>0.40909090909090912</v>
      </c>
      <c r="S121" s="7"/>
      <c r="T121" s="7"/>
      <c r="U121" s="7"/>
      <c r="V121" s="7"/>
      <c r="W121" s="7"/>
    </row>
    <row r="122" spans="1:23" ht="16.8">
      <c r="A122" s="6">
        <v>46142</v>
      </c>
      <c r="B122" s="7" t="s">
        <v>552</v>
      </c>
      <c r="C122" s="62">
        <v>0.89583333333333337</v>
      </c>
      <c r="D122" s="77" t="s">
        <v>1115</v>
      </c>
      <c r="E122" s="7" t="s">
        <v>28</v>
      </c>
      <c r="F122" t="s">
        <v>1111</v>
      </c>
      <c r="G122" s="7" t="s">
        <v>85</v>
      </c>
      <c r="H122" s="52" t="s">
        <v>157</v>
      </c>
      <c r="I122" s="29"/>
      <c r="J122" s="7" t="s">
        <v>28</v>
      </c>
      <c r="K122" s="52" t="s">
        <v>157</v>
      </c>
      <c r="L122" s="7">
        <v>1051</v>
      </c>
      <c r="M122" s="7">
        <v>150</v>
      </c>
      <c r="N122" s="7">
        <v>16</v>
      </c>
      <c r="O122" s="7">
        <v>5</v>
      </c>
      <c r="P122" s="7">
        <v>1</v>
      </c>
      <c r="Q122" s="69">
        <f t="shared" si="24"/>
        <v>0.14272121788772599</v>
      </c>
      <c r="R122" s="69">
        <f t="shared" si="24"/>
        <v>0.10666666666666667</v>
      </c>
      <c r="S122" s="7"/>
      <c r="T122" s="7"/>
      <c r="U122" s="7"/>
      <c r="V122" s="7"/>
      <c r="W122" s="7"/>
    </row>
    <row r="123" spans="1:23" ht="16.8">
      <c r="A123" s="6">
        <v>46142</v>
      </c>
      <c r="B123" s="7" t="s">
        <v>552</v>
      </c>
      <c r="C123" s="62" t="s">
        <v>719</v>
      </c>
      <c r="D123" s="77" t="s">
        <v>1116</v>
      </c>
      <c r="E123" s="7" t="s">
        <v>28</v>
      </c>
      <c r="F123" t="s">
        <v>1113</v>
      </c>
      <c r="G123" s="77" t="s">
        <v>85</v>
      </c>
      <c r="H123" s="7" t="s">
        <v>149</v>
      </c>
      <c r="I123" s="49"/>
      <c r="J123" s="7"/>
      <c r="K123" s="107"/>
      <c r="L123" s="7">
        <v>587</v>
      </c>
      <c r="M123" s="7">
        <v>101</v>
      </c>
      <c r="N123" s="7">
        <v>20</v>
      </c>
      <c r="O123" s="7">
        <v>3</v>
      </c>
      <c r="P123" s="7">
        <v>0</v>
      </c>
      <c r="Q123" s="69">
        <f t="shared" si="24"/>
        <v>0.17206132879045996</v>
      </c>
      <c r="R123" s="69">
        <f t="shared" si="24"/>
        <v>0.19801980198019803</v>
      </c>
      <c r="S123" s="7"/>
      <c r="T123" s="7"/>
      <c r="U123" s="7"/>
      <c r="V123" s="7"/>
      <c r="W123" s="7"/>
    </row>
    <row r="124" spans="1:23" ht="6.6" customHeight="1">
      <c r="A124" s="22"/>
      <c r="B124" s="23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5"/>
      <c r="R124" s="25"/>
      <c r="S124" s="24"/>
      <c r="T124" s="24"/>
      <c r="U124" s="24"/>
      <c r="V124" s="25"/>
      <c r="W124" s="26"/>
    </row>
    <row r="125" spans="1:23">
      <c r="A125" s="6">
        <v>46143</v>
      </c>
      <c r="B125" s="7" t="s">
        <v>553</v>
      </c>
      <c r="C125" s="18" t="s">
        <v>599</v>
      </c>
      <c r="D125" s="18" t="s">
        <v>306</v>
      </c>
      <c r="E125" s="18" t="s">
        <v>28</v>
      </c>
      <c r="F125" s="18" t="s">
        <v>307</v>
      </c>
      <c r="G125" s="18" t="s">
        <v>85</v>
      </c>
      <c r="H125" s="18" t="s">
        <v>186</v>
      </c>
      <c r="I125" s="47"/>
      <c r="J125" s="18" t="s">
        <v>28</v>
      </c>
      <c r="K125" s="18" t="s">
        <v>186</v>
      </c>
      <c r="L125" s="7">
        <v>1958</v>
      </c>
      <c r="M125" s="7">
        <v>14</v>
      </c>
      <c r="N125" s="7">
        <v>2</v>
      </c>
      <c r="O125" s="7">
        <v>0</v>
      </c>
      <c r="P125" s="7">
        <v>8</v>
      </c>
      <c r="Q125" s="69">
        <f t="shared" ref="Q125:R143" si="25">M125/L125</f>
        <v>7.1501532175689483E-3</v>
      </c>
      <c r="R125" s="69">
        <f t="shared" si="25"/>
        <v>0.14285714285714285</v>
      </c>
      <c r="S125" s="7"/>
      <c r="T125" s="7"/>
      <c r="U125" s="7"/>
      <c r="V125" s="7"/>
      <c r="W125" s="7"/>
    </row>
    <row r="126" spans="1:23">
      <c r="A126" s="6">
        <v>46143</v>
      </c>
      <c r="B126" s="7" t="s">
        <v>553</v>
      </c>
      <c r="C126" s="18" t="s">
        <v>600</v>
      </c>
      <c r="D126" s="18" t="s">
        <v>602</v>
      </c>
      <c r="E126" s="18" t="s">
        <v>28</v>
      </c>
      <c r="F126" s="18" t="s">
        <v>601</v>
      </c>
      <c r="G126" s="18" t="s">
        <v>85</v>
      </c>
      <c r="H126" s="18" t="s">
        <v>186</v>
      </c>
      <c r="I126" s="29"/>
      <c r="J126" s="18" t="s">
        <v>28</v>
      </c>
      <c r="K126" s="18" t="s">
        <v>186</v>
      </c>
      <c r="L126" s="7"/>
      <c r="M126" s="7"/>
      <c r="N126" s="7"/>
      <c r="O126" s="7"/>
      <c r="P126" s="7"/>
      <c r="Q126" s="69" t="e">
        <f t="shared" si="25"/>
        <v>#DIV/0!</v>
      </c>
      <c r="R126" s="69" t="e">
        <f t="shared" si="25"/>
        <v>#DIV/0!</v>
      </c>
      <c r="S126" s="7"/>
      <c r="T126" s="7"/>
      <c r="U126" s="7"/>
      <c r="V126" s="7"/>
      <c r="W126" s="7"/>
    </row>
    <row r="127" spans="1:23">
      <c r="A127" s="6">
        <v>46143</v>
      </c>
      <c r="B127" s="7" t="s">
        <v>553</v>
      </c>
      <c r="C127" s="18" t="s">
        <v>347</v>
      </c>
      <c r="D127" s="18" t="s">
        <v>352</v>
      </c>
      <c r="E127" s="18" t="s">
        <v>28</v>
      </c>
      <c r="F127" s="18" t="s">
        <v>353</v>
      </c>
      <c r="G127" s="18" t="s">
        <v>85</v>
      </c>
      <c r="H127" s="18" t="s">
        <v>186</v>
      </c>
      <c r="I127" s="47"/>
      <c r="J127" s="18" t="s">
        <v>28</v>
      </c>
      <c r="K127" s="18" t="s">
        <v>186</v>
      </c>
      <c r="L127" s="7"/>
      <c r="M127" s="7"/>
      <c r="N127" s="7"/>
      <c r="O127" s="7"/>
      <c r="P127" s="7"/>
      <c r="Q127" s="69" t="e">
        <f t="shared" si="25"/>
        <v>#DIV/0!</v>
      </c>
      <c r="R127" s="69" t="e">
        <f t="shared" si="25"/>
        <v>#DIV/0!</v>
      </c>
      <c r="S127" s="7"/>
      <c r="T127" s="7"/>
      <c r="U127" s="7"/>
      <c r="V127" s="7"/>
      <c r="W127" s="7"/>
    </row>
    <row r="128" spans="1:23">
      <c r="A128" s="6">
        <v>46143</v>
      </c>
      <c r="B128" s="7" t="s">
        <v>553</v>
      </c>
      <c r="C128" s="18" t="s">
        <v>599</v>
      </c>
      <c r="D128" s="18" t="s">
        <v>507</v>
      </c>
      <c r="E128" s="18" t="s">
        <v>28</v>
      </c>
      <c r="F128" s="18" t="s">
        <v>506</v>
      </c>
      <c r="G128" s="18" t="s">
        <v>85</v>
      </c>
      <c r="H128" s="18" t="s">
        <v>106</v>
      </c>
      <c r="I128" s="47"/>
      <c r="J128" s="18" t="s">
        <v>28</v>
      </c>
      <c r="K128" s="18" t="s">
        <v>106</v>
      </c>
      <c r="L128" s="7">
        <v>965</v>
      </c>
      <c r="M128" s="7">
        <v>219</v>
      </c>
      <c r="N128" s="7">
        <v>45</v>
      </c>
      <c r="O128" s="7">
        <v>20</v>
      </c>
      <c r="P128" s="7">
        <v>0</v>
      </c>
      <c r="Q128" s="69">
        <f t="shared" si="25"/>
        <v>0.22694300518134716</v>
      </c>
      <c r="R128" s="69">
        <f t="shared" si="25"/>
        <v>0.20547945205479451</v>
      </c>
      <c r="S128" s="7"/>
      <c r="T128" s="7"/>
      <c r="U128" s="7"/>
      <c r="V128" s="7"/>
      <c r="W128" s="7"/>
    </row>
    <row r="129" spans="1:28">
      <c r="A129" s="6">
        <v>46143</v>
      </c>
      <c r="B129" s="7" t="s">
        <v>553</v>
      </c>
      <c r="C129" s="18" t="s">
        <v>600</v>
      </c>
      <c r="D129" s="18" t="s">
        <v>602</v>
      </c>
      <c r="E129" s="18" t="s">
        <v>28</v>
      </c>
      <c r="F129" s="18" t="s">
        <v>601</v>
      </c>
      <c r="G129" s="18" t="s">
        <v>85</v>
      </c>
      <c r="H129" s="18" t="s">
        <v>106</v>
      </c>
      <c r="I129" s="29"/>
      <c r="J129" s="18" t="s">
        <v>28</v>
      </c>
      <c r="K129" s="18" t="s">
        <v>106</v>
      </c>
      <c r="L129" s="7"/>
      <c r="M129" s="7"/>
      <c r="N129" s="7"/>
      <c r="O129" s="7"/>
      <c r="P129" s="7"/>
      <c r="Q129" s="69" t="e">
        <f t="shared" si="25"/>
        <v>#DIV/0!</v>
      </c>
      <c r="R129" s="69" t="e">
        <f t="shared" si="25"/>
        <v>#DIV/0!</v>
      </c>
      <c r="S129" s="7"/>
      <c r="T129" s="7"/>
      <c r="U129" s="7"/>
      <c r="V129" s="7"/>
      <c r="W129" s="7"/>
    </row>
    <row r="130" spans="1:28">
      <c r="A130" s="6">
        <v>46143</v>
      </c>
      <c r="B130" s="7" t="s">
        <v>553</v>
      </c>
      <c r="C130" s="18"/>
      <c r="D130" s="18" t="s">
        <v>507</v>
      </c>
      <c r="E130" s="18" t="s">
        <v>28</v>
      </c>
      <c r="F130" s="18" t="s">
        <v>506</v>
      </c>
      <c r="G130" s="18"/>
      <c r="H130" s="18"/>
      <c r="I130" s="182" t="s">
        <v>1132</v>
      </c>
      <c r="J130" s="18"/>
      <c r="K130" s="18"/>
      <c r="L130" s="7"/>
      <c r="M130" s="7"/>
      <c r="N130" s="7"/>
      <c r="O130" s="7"/>
      <c r="P130" s="7"/>
      <c r="Q130" s="69" t="e">
        <f t="shared" si="25"/>
        <v>#DIV/0!</v>
      </c>
      <c r="R130" s="69" t="e">
        <f t="shared" si="25"/>
        <v>#DIV/0!</v>
      </c>
      <c r="S130" s="7"/>
      <c r="T130" s="7"/>
      <c r="U130" s="7"/>
      <c r="V130" s="7"/>
      <c r="W130" s="7"/>
    </row>
    <row r="131" spans="1:28">
      <c r="A131" s="6">
        <v>46143</v>
      </c>
      <c r="B131" s="7" t="s">
        <v>553</v>
      </c>
      <c r="C131" s="18"/>
      <c r="D131" s="18" t="s">
        <v>602</v>
      </c>
      <c r="E131" s="18" t="s">
        <v>28</v>
      </c>
      <c r="F131" s="18" t="s">
        <v>601</v>
      </c>
      <c r="G131" s="18"/>
      <c r="H131" s="18"/>
      <c r="I131" s="182" t="s">
        <v>1133</v>
      </c>
      <c r="J131" s="18"/>
      <c r="K131" s="18"/>
      <c r="L131" s="7"/>
      <c r="M131" s="7"/>
      <c r="N131" s="7"/>
      <c r="O131" s="7"/>
      <c r="P131" s="7"/>
      <c r="Q131" s="69" t="e">
        <f t="shared" si="25"/>
        <v>#DIV/0!</v>
      </c>
      <c r="R131" s="69" t="e">
        <f t="shared" si="25"/>
        <v>#DIV/0!</v>
      </c>
      <c r="S131" s="7"/>
      <c r="T131" s="7"/>
      <c r="U131" s="7"/>
      <c r="V131" s="7"/>
      <c r="W131" s="7"/>
    </row>
    <row r="132" spans="1:28">
      <c r="A132" s="6">
        <v>46143</v>
      </c>
      <c r="B132" s="7" t="s">
        <v>553</v>
      </c>
      <c r="C132" s="62"/>
      <c r="D132" s="77" t="s">
        <v>1413</v>
      </c>
      <c r="E132" s="7" t="s">
        <v>28</v>
      </c>
      <c r="F132" s="77" t="s">
        <v>713</v>
      </c>
      <c r="G132" s="7" t="s">
        <v>85</v>
      </c>
      <c r="H132" s="77" t="s">
        <v>684</v>
      </c>
      <c r="I132" s="47"/>
      <c r="J132" s="7" t="s">
        <v>28</v>
      </c>
      <c r="K132" s="77" t="s">
        <v>684</v>
      </c>
      <c r="L132" s="7">
        <v>1499</v>
      </c>
      <c r="M132" s="7">
        <v>1462</v>
      </c>
      <c r="N132" s="7">
        <v>986</v>
      </c>
      <c r="O132" s="7">
        <v>0</v>
      </c>
      <c r="P132" s="7">
        <v>1</v>
      </c>
      <c r="Q132" s="69">
        <f t="shared" si="25"/>
        <v>0.97531687791861243</v>
      </c>
      <c r="R132" s="69">
        <f t="shared" si="25"/>
        <v>0.67441860465116277</v>
      </c>
      <c r="S132" s="7"/>
      <c r="T132" s="7"/>
      <c r="U132" s="7"/>
      <c r="V132" s="7"/>
      <c r="W132" s="7"/>
    </row>
    <row r="133" spans="1:28">
      <c r="A133" s="6">
        <v>46143</v>
      </c>
      <c r="B133" s="7" t="s">
        <v>553</v>
      </c>
      <c r="C133" s="62"/>
      <c r="D133" s="77" t="s">
        <v>1414</v>
      </c>
      <c r="E133" s="7" t="s">
        <v>28</v>
      </c>
      <c r="F133" s="77" t="s">
        <v>713</v>
      </c>
      <c r="G133" s="7"/>
      <c r="H133" s="77" t="s">
        <v>684</v>
      </c>
      <c r="I133" s="47"/>
      <c r="J133" s="7" t="s">
        <v>28</v>
      </c>
      <c r="K133" s="77" t="s">
        <v>1000</v>
      </c>
      <c r="L133" s="7">
        <v>1499</v>
      </c>
      <c r="M133" s="7">
        <v>1462</v>
      </c>
      <c r="N133" s="7">
        <v>1085</v>
      </c>
      <c r="O133" s="7">
        <v>0</v>
      </c>
      <c r="P133" s="7">
        <v>1</v>
      </c>
      <c r="Q133" s="69">
        <f t="shared" si="25"/>
        <v>0.97531687791861243</v>
      </c>
      <c r="R133" s="69">
        <f t="shared" si="25"/>
        <v>0.74213406292749662</v>
      </c>
      <c r="S133" s="7"/>
      <c r="T133" s="7"/>
      <c r="U133" s="7"/>
      <c r="V133" s="7"/>
      <c r="W133" s="7"/>
    </row>
    <row r="134" spans="1:28">
      <c r="A134" s="6">
        <v>46143</v>
      </c>
      <c r="B134" s="7" t="s">
        <v>553</v>
      </c>
      <c r="C134" s="62"/>
      <c r="D134" s="77" t="s">
        <v>1415</v>
      </c>
      <c r="E134" s="7" t="s">
        <v>28</v>
      </c>
      <c r="F134" s="77" t="s">
        <v>713</v>
      </c>
      <c r="G134" s="7" t="s">
        <v>85</v>
      </c>
      <c r="H134" s="77" t="s">
        <v>1000</v>
      </c>
      <c r="I134" s="47"/>
      <c r="J134" s="7" t="s">
        <v>28</v>
      </c>
      <c r="K134" s="77" t="s">
        <v>684</v>
      </c>
      <c r="L134" s="7">
        <v>287</v>
      </c>
      <c r="M134" s="7">
        <v>262</v>
      </c>
      <c r="N134" s="7">
        <v>195</v>
      </c>
      <c r="O134" s="7">
        <v>0</v>
      </c>
      <c r="P134" s="7">
        <v>0</v>
      </c>
      <c r="Q134" s="69">
        <f t="shared" si="25"/>
        <v>0.91289198606271782</v>
      </c>
      <c r="R134" s="69">
        <f t="shared" si="25"/>
        <v>0.74427480916030531</v>
      </c>
      <c r="S134" s="7"/>
      <c r="T134" s="7"/>
      <c r="U134" s="7"/>
      <c r="V134" s="7"/>
      <c r="W134" s="7"/>
      <c r="Y134" s="7"/>
      <c r="Z134" s="7"/>
      <c r="AA134" s="7"/>
    </row>
    <row r="135" spans="1:28">
      <c r="A135" s="6">
        <v>46143</v>
      </c>
      <c r="B135" s="7" t="s">
        <v>553</v>
      </c>
      <c r="C135" s="62"/>
      <c r="D135" s="77" t="s">
        <v>1416</v>
      </c>
      <c r="E135" s="7" t="s">
        <v>28</v>
      </c>
      <c r="F135" s="77" t="s">
        <v>713</v>
      </c>
      <c r="G135" s="7"/>
      <c r="H135" s="77" t="s">
        <v>1000</v>
      </c>
      <c r="I135" s="47"/>
      <c r="J135" s="7" t="s">
        <v>28</v>
      </c>
      <c r="K135" s="77" t="s">
        <v>1000</v>
      </c>
      <c r="L135" s="7">
        <v>287</v>
      </c>
      <c r="M135" s="7">
        <v>261</v>
      </c>
      <c r="N135" s="7">
        <v>202</v>
      </c>
      <c r="O135" s="7">
        <v>0</v>
      </c>
      <c r="P135" s="7">
        <v>0</v>
      </c>
      <c r="Q135" s="69">
        <f t="shared" si="25"/>
        <v>0.90940766550522645</v>
      </c>
      <c r="R135" s="69">
        <f t="shared" si="25"/>
        <v>0.77394636015325668</v>
      </c>
      <c r="S135" s="7"/>
      <c r="T135" s="7"/>
      <c r="U135" s="7"/>
      <c r="V135" s="7"/>
      <c r="W135" s="7"/>
      <c r="Y135" s="7"/>
      <c r="Z135" s="7"/>
      <c r="AA135" s="7"/>
    </row>
    <row r="136" spans="1:28">
      <c r="A136" s="6">
        <v>46143</v>
      </c>
      <c r="B136" s="7" t="s">
        <v>553</v>
      </c>
      <c r="C136" s="62"/>
      <c r="D136" s="77" t="s">
        <v>1417</v>
      </c>
      <c r="E136" s="51"/>
      <c r="F136" s="77"/>
      <c r="G136" s="7"/>
      <c r="H136" s="77" t="s">
        <v>1000</v>
      </c>
      <c r="I136" s="47"/>
      <c r="J136" s="7" t="s">
        <v>28</v>
      </c>
      <c r="K136" s="77" t="s">
        <v>1000</v>
      </c>
      <c r="L136" s="7">
        <v>287</v>
      </c>
      <c r="M136" s="7">
        <v>255</v>
      </c>
      <c r="N136" s="7">
        <v>199</v>
      </c>
      <c r="O136" s="7">
        <v>0</v>
      </c>
      <c r="P136" s="7">
        <v>0</v>
      </c>
      <c r="Q136" s="69">
        <f t="shared" si="25"/>
        <v>0.88850174216027877</v>
      </c>
      <c r="R136" s="69">
        <f t="shared" si="25"/>
        <v>0.7803921568627451</v>
      </c>
      <c r="S136" s="7"/>
      <c r="T136" s="7"/>
      <c r="U136" s="7"/>
      <c r="V136" s="7"/>
      <c r="W136" s="7"/>
      <c r="Y136" s="7"/>
      <c r="Z136" s="7"/>
      <c r="AA136" s="7"/>
      <c r="AB136" s="7"/>
    </row>
    <row r="137" spans="1:28">
      <c r="A137" s="6">
        <v>46143</v>
      </c>
      <c r="B137" s="7" t="s">
        <v>553</v>
      </c>
      <c r="C137" s="62">
        <v>0.79166666666666663</v>
      </c>
      <c r="D137" s="7" t="s">
        <v>1418</v>
      </c>
      <c r="E137" s="7" t="s">
        <v>28</v>
      </c>
      <c r="F137" s="7" t="s">
        <v>356</v>
      </c>
      <c r="G137" s="77" t="s">
        <v>785</v>
      </c>
      <c r="H137" s="77" t="s">
        <v>358</v>
      </c>
      <c r="I137" s="47"/>
      <c r="J137" s="77" t="s">
        <v>28</v>
      </c>
      <c r="K137" s="77" t="s">
        <v>359</v>
      </c>
      <c r="L137" s="7">
        <v>2956</v>
      </c>
      <c r="M137" s="7">
        <v>22</v>
      </c>
      <c r="N137" s="7">
        <v>5</v>
      </c>
      <c r="O137" s="7">
        <v>1</v>
      </c>
      <c r="P137" s="7">
        <v>5</v>
      </c>
      <c r="Q137" s="69">
        <f t="shared" si="25"/>
        <v>7.4424898511502033E-3</v>
      </c>
      <c r="R137" s="69">
        <f t="shared" si="25"/>
        <v>0.22727272727272727</v>
      </c>
      <c r="S137" s="7"/>
      <c r="T137" s="7"/>
      <c r="U137" s="7"/>
      <c r="V137" s="7"/>
      <c r="W137" s="7"/>
      <c r="Y137" s="7"/>
      <c r="Z137" s="7"/>
      <c r="AA137" s="7"/>
    </row>
    <row r="138" spans="1:28">
      <c r="A138" s="6">
        <v>46143</v>
      </c>
      <c r="B138" s="7" t="s">
        <v>553</v>
      </c>
      <c r="C138" s="62">
        <v>0.80208333333333337</v>
      </c>
      <c r="D138" s="7" t="s">
        <v>1419</v>
      </c>
      <c r="E138" s="7" t="s">
        <v>28</v>
      </c>
      <c r="F138" s="7" t="s">
        <v>361</v>
      </c>
      <c r="G138" s="7" t="s">
        <v>85</v>
      </c>
      <c r="H138" s="77" t="s">
        <v>359</v>
      </c>
      <c r="I138" s="47"/>
      <c r="J138" s="77" t="s">
        <v>28</v>
      </c>
      <c r="K138" s="77" t="s">
        <v>358</v>
      </c>
      <c r="L138" s="7">
        <v>1288</v>
      </c>
      <c r="M138" s="7">
        <v>15</v>
      </c>
      <c r="N138" s="7">
        <v>7</v>
      </c>
      <c r="O138" s="7">
        <v>0</v>
      </c>
      <c r="P138" s="7">
        <v>4</v>
      </c>
      <c r="Q138" s="69">
        <f t="shared" si="25"/>
        <v>1.1645962732919254E-2</v>
      </c>
      <c r="R138" s="69">
        <f t="shared" si="25"/>
        <v>0.46666666666666667</v>
      </c>
      <c r="S138" s="7"/>
      <c r="T138" s="7"/>
      <c r="U138" s="7"/>
      <c r="V138" s="7"/>
      <c r="W138" s="7"/>
    </row>
    <row r="139" spans="1:28">
      <c r="A139" s="6">
        <v>46143</v>
      </c>
      <c r="B139" s="7" t="s">
        <v>553</v>
      </c>
      <c r="C139" s="62">
        <v>0.77083333333333337</v>
      </c>
      <c r="D139" s="7" t="s">
        <v>1420</v>
      </c>
      <c r="E139" s="7" t="s">
        <v>28</v>
      </c>
      <c r="F139" s="7" t="s">
        <v>363</v>
      </c>
      <c r="G139" s="7" t="s">
        <v>85</v>
      </c>
      <c r="H139" s="77" t="s">
        <v>350</v>
      </c>
      <c r="I139" s="47"/>
      <c r="J139" s="77" t="s">
        <v>28</v>
      </c>
      <c r="K139" s="77" t="s">
        <v>350</v>
      </c>
      <c r="L139" s="7">
        <v>5540</v>
      </c>
      <c r="M139" s="7">
        <v>25</v>
      </c>
      <c r="N139" s="7">
        <v>6</v>
      </c>
      <c r="O139" s="7">
        <v>0</v>
      </c>
      <c r="P139" s="7">
        <v>2</v>
      </c>
      <c r="Q139" s="69">
        <f t="shared" si="25"/>
        <v>4.5126353790613718E-3</v>
      </c>
      <c r="R139" s="69">
        <f t="shared" si="25"/>
        <v>0.24</v>
      </c>
      <c r="S139" s="7"/>
      <c r="T139" s="7"/>
      <c r="U139" s="7"/>
      <c r="V139" s="7"/>
      <c r="W139" s="7"/>
      <c r="Y139" s="7"/>
      <c r="Z139" s="7"/>
      <c r="AA139" s="7"/>
    </row>
    <row r="140" spans="1:28">
      <c r="A140" s="6">
        <v>46143</v>
      </c>
      <c r="B140" s="7" t="s">
        <v>553</v>
      </c>
      <c r="C140" s="62">
        <v>0.8125</v>
      </c>
      <c r="D140" s="7" t="s">
        <v>1421</v>
      </c>
      <c r="E140" s="7" t="s">
        <v>28</v>
      </c>
      <c r="F140" s="7" t="s">
        <v>364</v>
      </c>
      <c r="G140" s="77" t="s">
        <v>85</v>
      </c>
      <c r="H140" s="77" t="s">
        <v>351</v>
      </c>
      <c r="I140" s="47"/>
      <c r="J140" s="77" t="s">
        <v>28</v>
      </c>
      <c r="K140" s="77" t="s">
        <v>351</v>
      </c>
      <c r="L140" s="7">
        <v>3249</v>
      </c>
      <c r="M140" s="7">
        <v>21</v>
      </c>
      <c r="N140" s="7">
        <v>10</v>
      </c>
      <c r="O140" s="7">
        <v>0</v>
      </c>
      <c r="P140" s="7">
        <v>2</v>
      </c>
      <c r="Q140" s="69">
        <f t="shared" si="25"/>
        <v>6.4635272391505077E-3</v>
      </c>
      <c r="R140" s="69">
        <f t="shared" si="25"/>
        <v>0.47619047619047616</v>
      </c>
      <c r="S140" s="7"/>
      <c r="T140" s="7"/>
      <c r="U140" s="7"/>
      <c r="V140" s="7"/>
      <c r="W140" s="7"/>
    </row>
    <row r="141" spans="1:28">
      <c r="A141" s="6">
        <v>46143</v>
      </c>
      <c r="B141" s="7" t="s">
        <v>553</v>
      </c>
      <c r="C141" s="62">
        <v>0.85416666666666663</v>
      </c>
      <c r="D141" s="88" t="s">
        <v>1422</v>
      </c>
      <c r="E141" s="88" t="s">
        <v>28</v>
      </c>
      <c r="F141" s="88" t="s">
        <v>584</v>
      </c>
      <c r="G141" s="7" t="s">
        <v>85</v>
      </c>
      <c r="H141" s="7" t="s">
        <v>210</v>
      </c>
      <c r="I141" s="47"/>
      <c r="J141" s="7" t="s">
        <v>28</v>
      </c>
      <c r="K141" s="7" t="s">
        <v>210</v>
      </c>
      <c r="L141" s="7">
        <v>1698</v>
      </c>
      <c r="M141" s="7">
        <v>419</v>
      </c>
      <c r="N141" s="7">
        <v>305</v>
      </c>
      <c r="O141" s="7">
        <v>0</v>
      </c>
      <c r="P141" s="7">
        <v>0</v>
      </c>
      <c r="Q141" s="69">
        <f t="shared" si="25"/>
        <v>0.24676089517078917</v>
      </c>
      <c r="R141" s="69">
        <f t="shared" si="25"/>
        <v>0.72792362768496421</v>
      </c>
      <c r="S141" s="7"/>
      <c r="T141" s="7"/>
      <c r="U141" s="7"/>
      <c r="V141" s="7"/>
      <c r="W141" s="7"/>
    </row>
    <row r="142" spans="1:28" ht="16.8">
      <c r="A142" s="6">
        <v>46143</v>
      </c>
      <c r="B142" s="7" t="s">
        <v>553</v>
      </c>
      <c r="C142" s="62">
        <v>0.89583333333333337</v>
      </c>
      <c r="D142" s="7" t="s">
        <v>1423</v>
      </c>
      <c r="E142" s="7" t="s">
        <v>28</v>
      </c>
      <c r="F142" s="7" t="s">
        <v>363</v>
      </c>
      <c r="G142" s="7" t="s">
        <v>85</v>
      </c>
      <c r="H142" s="52" t="s">
        <v>157</v>
      </c>
      <c r="I142" s="29"/>
      <c r="J142" s="7" t="s">
        <v>28</v>
      </c>
      <c r="K142" s="52" t="s">
        <v>157</v>
      </c>
      <c r="L142" s="7">
        <v>1201</v>
      </c>
      <c r="M142" s="7">
        <v>153</v>
      </c>
      <c r="N142" s="7">
        <v>21</v>
      </c>
      <c r="O142" s="7">
        <v>3</v>
      </c>
      <c r="P142" s="7">
        <v>2</v>
      </c>
      <c r="Q142" s="69">
        <f t="shared" si="25"/>
        <v>0.12739383846794339</v>
      </c>
      <c r="R142" s="69">
        <f t="shared" si="25"/>
        <v>0.13725490196078433</v>
      </c>
      <c r="S142" s="7"/>
      <c r="T142" s="7"/>
      <c r="U142" s="7"/>
      <c r="V142" s="7"/>
      <c r="W142" s="7"/>
    </row>
    <row r="143" spans="1:28">
      <c r="A143" s="6">
        <v>46143</v>
      </c>
      <c r="B143" s="7" t="s">
        <v>553</v>
      </c>
      <c r="C143" s="62" t="s">
        <v>719</v>
      </c>
      <c r="D143" s="111" t="s">
        <v>1424</v>
      </c>
      <c r="E143" s="7" t="s">
        <v>28</v>
      </c>
      <c r="F143" t="s">
        <v>953</v>
      </c>
      <c r="G143" s="77" t="s">
        <v>85</v>
      </c>
      <c r="H143" s="7" t="s">
        <v>149</v>
      </c>
      <c r="I143" s="49"/>
      <c r="J143" s="7"/>
      <c r="K143" s="7" t="s">
        <v>149</v>
      </c>
      <c r="L143" s="7">
        <v>928</v>
      </c>
      <c r="M143" s="7">
        <v>204</v>
      </c>
      <c r="N143" s="7">
        <v>68</v>
      </c>
      <c r="O143" s="7">
        <v>5</v>
      </c>
      <c r="P143" s="7">
        <v>0</v>
      </c>
      <c r="Q143" s="69">
        <f t="shared" si="25"/>
        <v>0.21982758620689655</v>
      </c>
      <c r="R143" s="69">
        <f t="shared" si="25"/>
        <v>0.33333333333333331</v>
      </c>
      <c r="S143" s="7"/>
      <c r="T143" s="7"/>
      <c r="U143" s="7"/>
      <c r="V143" s="7"/>
      <c r="W143" s="7"/>
    </row>
    <row r="144" spans="1:28" ht="6.6" customHeight="1">
      <c r="A144" s="22"/>
      <c r="B144" s="23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5"/>
      <c r="R144" s="25"/>
      <c r="S144" s="24"/>
      <c r="T144" s="24"/>
      <c r="U144" s="24"/>
      <c r="V144" s="25"/>
      <c r="W144" s="26"/>
    </row>
    <row r="145" spans="1:27">
      <c r="A145" s="6">
        <v>46144</v>
      </c>
      <c r="B145" s="7" t="s">
        <v>577</v>
      </c>
      <c r="C145" s="18" t="s">
        <v>599</v>
      </c>
      <c r="D145" s="18" t="s">
        <v>306</v>
      </c>
      <c r="E145" s="18" t="s">
        <v>28</v>
      </c>
      <c r="F145" s="18" t="s">
        <v>307</v>
      </c>
      <c r="G145" s="18" t="s">
        <v>85</v>
      </c>
      <c r="H145" s="18" t="s">
        <v>186</v>
      </c>
      <c r="I145" s="47"/>
      <c r="J145" s="18" t="s">
        <v>28</v>
      </c>
      <c r="K145" s="18" t="s">
        <v>186</v>
      </c>
      <c r="L145" s="7">
        <v>1873</v>
      </c>
      <c r="M145" s="7">
        <v>11</v>
      </c>
      <c r="N145" s="7">
        <v>2</v>
      </c>
      <c r="O145" s="7">
        <v>0</v>
      </c>
      <c r="P145" s="7">
        <v>1</v>
      </c>
      <c r="Q145" s="69">
        <f t="shared" ref="Q145:R164" si="26">M145/L145</f>
        <v>5.8729311265349705E-3</v>
      </c>
      <c r="R145" s="69">
        <f t="shared" si="26"/>
        <v>0.18181818181818182</v>
      </c>
      <c r="S145" s="7"/>
      <c r="T145" s="7"/>
      <c r="U145" s="7"/>
      <c r="V145" s="7"/>
      <c r="W145" s="7"/>
      <c r="Y145" s="7"/>
      <c r="Z145" s="7"/>
      <c r="AA145" s="7"/>
    </row>
    <row r="146" spans="1:27">
      <c r="A146" s="6">
        <v>46144</v>
      </c>
      <c r="B146" s="7" t="s">
        <v>577</v>
      </c>
      <c r="C146" s="18" t="s">
        <v>600</v>
      </c>
      <c r="D146" s="18" t="s">
        <v>602</v>
      </c>
      <c r="E146" s="18" t="s">
        <v>28</v>
      </c>
      <c r="F146" s="18" t="s">
        <v>601</v>
      </c>
      <c r="G146" s="18" t="s">
        <v>85</v>
      </c>
      <c r="H146" s="18" t="s">
        <v>186</v>
      </c>
      <c r="I146" s="29"/>
      <c r="J146" s="18" t="s">
        <v>28</v>
      </c>
      <c r="K146" s="18" t="s">
        <v>186</v>
      </c>
      <c r="L146" s="7"/>
      <c r="M146" s="7"/>
      <c r="N146" s="7"/>
      <c r="O146" s="7"/>
      <c r="P146" s="7"/>
      <c r="Q146" s="69" t="e">
        <f t="shared" si="26"/>
        <v>#DIV/0!</v>
      </c>
      <c r="R146" s="69" t="e">
        <f t="shared" si="26"/>
        <v>#DIV/0!</v>
      </c>
      <c r="S146" s="7"/>
      <c r="T146" s="7"/>
      <c r="U146" s="7"/>
      <c r="V146" s="7"/>
      <c r="W146" s="7"/>
      <c r="Y146" s="7"/>
      <c r="Z146" s="7"/>
      <c r="AA146" s="7"/>
    </row>
    <row r="147" spans="1:27">
      <c r="A147" s="6">
        <v>46144</v>
      </c>
      <c r="B147" s="7" t="s">
        <v>577</v>
      </c>
      <c r="C147" s="18" t="s">
        <v>347</v>
      </c>
      <c r="D147" s="18" t="s">
        <v>352</v>
      </c>
      <c r="E147" s="18" t="s">
        <v>28</v>
      </c>
      <c r="F147" s="18" t="s">
        <v>353</v>
      </c>
      <c r="G147" s="18" t="s">
        <v>85</v>
      </c>
      <c r="H147" s="18" t="s">
        <v>186</v>
      </c>
      <c r="I147" s="47"/>
      <c r="J147" s="18" t="s">
        <v>28</v>
      </c>
      <c r="K147" s="18" t="s">
        <v>186</v>
      </c>
      <c r="L147" s="7"/>
      <c r="M147" s="7"/>
      <c r="N147" s="7"/>
      <c r="O147" s="7"/>
      <c r="P147" s="7"/>
      <c r="Q147" s="69" t="e">
        <f t="shared" si="26"/>
        <v>#DIV/0!</v>
      </c>
      <c r="R147" s="69" t="e">
        <f t="shared" si="26"/>
        <v>#DIV/0!</v>
      </c>
      <c r="S147" s="7"/>
      <c r="T147" s="7"/>
      <c r="U147" s="7"/>
      <c r="V147" s="7"/>
      <c r="W147" s="7"/>
      <c r="Y147" s="7"/>
      <c r="Z147" s="7"/>
      <c r="AA147" s="7"/>
    </row>
    <row r="148" spans="1:27">
      <c r="A148" s="6">
        <v>46144</v>
      </c>
      <c r="B148" s="7" t="s">
        <v>577</v>
      </c>
      <c r="C148" s="18" t="s">
        <v>599</v>
      </c>
      <c r="D148" s="18" t="s">
        <v>507</v>
      </c>
      <c r="E148" s="18" t="s">
        <v>28</v>
      </c>
      <c r="F148" s="18" t="s">
        <v>506</v>
      </c>
      <c r="G148" s="18" t="s">
        <v>85</v>
      </c>
      <c r="H148" s="18" t="s">
        <v>106</v>
      </c>
      <c r="I148" s="47"/>
      <c r="J148" s="18" t="s">
        <v>28</v>
      </c>
      <c r="K148" s="18" t="s">
        <v>106</v>
      </c>
      <c r="L148" s="7">
        <v>887</v>
      </c>
      <c r="M148" s="7">
        <v>176</v>
      </c>
      <c r="N148" s="7">
        <v>37</v>
      </c>
      <c r="O148" s="7">
        <v>17</v>
      </c>
      <c r="P148" s="7">
        <v>5</v>
      </c>
      <c r="Q148" s="69">
        <f t="shared" si="26"/>
        <v>0.1984216459977452</v>
      </c>
      <c r="R148" s="69">
        <f t="shared" si="26"/>
        <v>0.21022727272727273</v>
      </c>
      <c r="S148" s="7"/>
      <c r="T148" s="7"/>
      <c r="U148" s="7"/>
      <c r="V148" s="7"/>
      <c r="W148" s="7"/>
      <c r="Y148" s="7"/>
      <c r="Z148" s="7"/>
      <c r="AA148" s="7"/>
    </row>
    <row r="149" spans="1:27">
      <c r="A149" s="6">
        <v>46144</v>
      </c>
      <c r="B149" s="7" t="s">
        <v>577</v>
      </c>
      <c r="C149" s="18" t="s">
        <v>600</v>
      </c>
      <c r="D149" s="18" t="s">
        <v>602</v>
      </c>
      <c r="E149" s="18" t="s">
        <v>28</v>
      </c>
      <c r="F149" s="18" t="s">
        <v>601</v>
      </c>
      <c r="G149" s="18" t="s">
        <v>85</v>
      </c>
      <c r="H149" s="18" t="s">
        <v>106</v>
      </c>
      <c r="I149" s="29"/>
      <c r="J149" s="18" t="s">
        <v>28</v>
      </c>
      <c r="K149" s="18" t="s">
        <v>106</v>
      </c>
      <c r="L149" s="7"/>
      <c r="M149" s="7"/>
      <c r="N149" s="7"/>
      <c r="O149" s="7"/>
      <c r="P149" s="7"/>
      <c r="Q149" s="69" t="e">
        <f t="shared" si="26"/>
        <v>#DIV/0!</v>
      </c>
      <c r="R149" s="69" t="e">
        <f t="shared" si="26"/>
        <v>#DIV/0!</v>
      </c>
      <c r="S149" s="7"/>
      <c r="T149" s="7"/>
      <c r="U149" s="7"/>
      <c r="V149" s="7"/>
      <c r="W149" s="7"/>
      <c r="Y149" s="7"/>
      <c r="Z149" s="7"/>
      <c r="AA149" s="7"/>
    </row>
    <row r="150" spans="1:27">
      <c r="A150" s="6">
        <v>46144</v>
      </c>
      <c r="B150" s="7" t="s">
        <v>577</v>
      </c>
      <c r="C150" s="18"/>
      <c r="D150" s="18"/>
      <c r="E150" s="18"/>
      <c r="F150" s="18"/>
      <c r="G150" s="18"/>
      <c r="H150" s="18"/>
      <c r="I150" s="182" t="s">
        <v>1132</v>
      </c>
      <c r="J150" s="18"/>
      <c r="K150" s="18"/>
      <c r="L150" s="7"/>
      <c r="M150" s="7"/>
      <c r="N150" s="7"/>
      <c r="O150" s="7"/>
      <c r="P150" s="7"/>
      <c r="Q150" s="69" t="e">
        <f t="shared" si="26"/>
        <v>#DIV/0!</v>
      </c>
      <c r="R150" s="69" t="e">
        <f t="shared" si="26"/>
        <v>#DIV/0!</v>
      </c>
      <c r="S150" s="7"/>
      <c r="T150" s="7"/>
      <c r="U150" s="7"/>
      <c r="V150" s="7"/>
      <c r="W150" s="7"/>
      <c r="Y150" s="7"/>
      <c r="Z150" s="7"/>
      <c r="AA150" s="7"/>
    </row>
    <row r="151" spans="1:27">
      <c r="A151" s="6">
        <v>46144</v>
      </c>
      <c r="B151" s="7" t="s">
        <v>577</v>
      </c>
      <c r="C151" s="18"/>
      <c r="D151" s="18"/>
      <c r="E151" s="18"/>
      <c r="F151" s="18"/>
      <c r="G151" s="18"/>
      <c r="H151" s="18"/>
      <c r="I151" s="182" t="s">
        <v>1133</v>
      </c>
      <c r="J151" s="18"/>
      <c r="K151" s="18"/>
      <c r="L151" s="7"/>
      <c r="M151" s="7"/>
      <c r="N151" s="7"/>
      <c r="O151" s="7"/>
      <c r="P151" s="7"/>
      <c r="Q151" s="69" t="e">
        <f t="shared" si="26"/>
        <v>#DIV/0!</v>
      </c>
      <c r="R151" s="69" t="e">
        <f t="shared" si="26"/>
        <v>#DIV/0!</v>
      </c>
      <c r="S151" s="7"/>
      <c r="T151" s="7"/>
      <c r="U151" s="7"/>
      <c r="V151" s="7"/>
      <c r="W151" s="7"/>
    </row>
    <row r="152" spans="1:27">
      <c r="A152" s="6">
        <v>46144</v>
      </c>
      <c r="B152" s="7" t="s">
        <v>577</v>
      </c>
      <c r="C152" s="62"/>
      <c r="D152" s="77" t="s">
        <v>1425</v>
      </c>
      <c r="E152" s="7" t="s">
        <v>28</v>
      </c>
      <c r="F152" s="77" t="s">
        <v>713</v>
      </c>
      <c r="G152" s="7" t="s">
        <v>85</v>
      </c>
      <c r="H152" s="77" t="s">
        <v>684</v>
      </c>
      <c r="I152" s="47"/>
      <c r="J152" s="7" t="s">
        <v>28</v>
      </c>
      <c r="K152" s="77" t="s">
        <v>684</v>
      </c>
      <c r="L152" s="7">
        <v>1499</v>
      </c>
      <c r="M152" s="7">
        <v>1464</v>
      </c>
      <c r="N152" s="7">
        <v>1067</v>
      </c>
      <c r="O152" s="7">
        <v>0</v>
      </c>
      <c r="P152" s="7">
        <v>1</v>
      </c>
      <c r="Q152" s="69">
        <f t="shared" si="26"/>
        <v>0.97665110073382255</v>
      </c>
      <c r="R152" s="69">
        <f t="shared" si="26"/>
        <v>0.72882513661202186</v>
      </c>
      <c r="S152" s="7"/>
      <c r="T152" s="7"/>
      <c r="U152" s="7"/>
      <c r="V152" s="7"/>
      <c r="W152" s="7"/>
    </row>
    <row r="153" spans="1:27">
      <c r="A153" s="6">
        <v>46144</v>
      </c>
      <c r="B153" s="7" t="s">
        <v>577</v>
      </c>
      <c r="C153" s="62"/>
      <c r="D153" s="77" t="s">
        <v>1426</v>
      </c>
      <c r="E153" s="7" t="s">
        <v>28</v>
      </c>
      <c r="F153" s="77" t="s">
        <v>713</v>
      </c>
      <c r="G153" s="7"/>
      <c r="H153" s="77" t="s">
        <v>684</v>
      </c>
      <c r="I153" s="47"/>
      <c r="J153" s="7" t="s">
        <v>28</v>
      </c>
      <c r="K153" s="77" t="s">
        <v>1000</v>
      </c>
      <c r="L153" s="7">
        <v>1499</v>
      </c>
      <c r="M153" s="7">
        <v>1465</v>
      </c>
      <c r="N153" s="7">
        <v>1111</v>
      </c>
      <c r="O153" s="7">
        <v>0</v>
      </c>
      <c r="P153" s="7">
        <v>1</v>
      </c>
      <c r="Q153" s="69">
        <f t="shared" si="26"/>
        <v>0.97731821214142767</v>
      </c>
      <c r="R153" s="69">
        <f t="shared" si="26"/>
        <v>0.75836177474402733</v>
      </c>
      <c r="S153" s="7"/>
      <c r="T153" s="7"/>
      <c r="U153" s="7"/>
      <c r="V153" s="7"/>
      <c r="W153" s="7"/>
    </row>
    <row r="154" spans="1:27">
      <c r="A154" s="6">
        <v>46144</v>
      </c>
      <c r="B154" s="7" t="s">
        <v>577</v>
      </c>
      <c r="C154" s="62"/>
      <c r="D154" s="77" t="s">
        <v>1427</v>
      </c>
      <c r="E154" s="7" t="s">
        <v>28</v>
      </c>
      <c r="F154" s="77" t="s">
        <v>713</v>
      </c>
      <c r="G154" s="7" t="s">
        <v>85</v>
      </c>
      <c r="H154" s="77" t="s">
        <v>1000</v>
      </c>
      <c r="I154" s="47"/>
      <c r="J154" s="7" t="s">
        <v>28</v>
      </c>
      <c r="K154" s="77" t="s">
        <v>684</v>
      </c>
      <c r="L154" s="7">
        <v>287</v>
      </c>
      <c r="M154" s="7">
        <v>259</v>
      </c>
      <c r="N154" s="7">
        <v>197</v>
      </c>
      <c r="O154" s="7">
        <v>0</v>
      </c>
      <c r="P154" s="7">
        <v>0</v>
      </c>
      <c r="Q154" s="69">
        <f t="shared" si="26"/>
        <v>0.90243902439024393</v>
      </c>
      <c r="R154" s="69">
        <f t="shared" si="26"/>
        <v>0.76061776061776065</v>
      </c>
      <c r="S154" s="7"/>
      <c r="T154" s="7"/>
      <c r="U154" s="7"/>
      <c r="V154" s="7"/>
      <c r="W154" s="7"/>
    </row>
    <row r="155" spans="1:27">
      <c r="A155" s="6">
        <v>46144</v>
      </c>
      <c r="B155" s="7" t="s">
        <v>577</v>
      </c>
      <c r="C155" s="62"/>
      <c r="D155" s="77" t="s">
        <v>1428</v>
      </c>
      <c r="E155" s="7" t="s">
        <v>28</v>
      </c>
      <c r="F155" s="77" t="s">
        <v>713</v>
      </c>
      <c r="G155" s="7"/>
      <c r="H155" s="77" t="s">
        <v>1000</v>
      </c>
      <c r="I155" s="47"/>
      <c r="J155" s="7" t="s">
        <v>28</v>
      </c>
      <c r="K155" s="77" t="s">
        <v>1000</v>
      </c>
      <c r="L155" s="7">
        <v>287</v>
      </c>
      <c r="M155" s="7">
        <v>258</v>
      </c>
      <c r="N155" s="7">
        <v>188</v>
      </c>
      <c r="O155" s="7">
        <v>0</v>
      </c>
      <c r="P155" s="7">
        <v>0</v>
      </c>
      <c r="Q155" s="69">
        <f t="shared" si="26"/>
        <v>0.89895470383275267</v>
      </c>
      <c r="R155" s="69">
        <f t="shared" si="26"/>
        <v>0.72868217054263562</v>
      </c>
      <c r="S155" s="7"/>
      <c r="T155" s="7"/>
      <c r="U155" s="7"/>
      <c r="V155" s="7"/>
      <c r="W155" s="7"/>
    </row>
    <row r="156" spans="1:27">
      <c r="A156" s="6">
        <v>46144</v>
      </c>
      <c r="B156" s="7" t="s">
        <v>577</v>
      </c>
      <c r="C156" s="62"/>
      <c r="D156" s="77" t="s">
        <v>1429</v>
      </c>
      <c r="E156" s="7"/>
      <c r="F156" s="77"/>
      <c r="G156" s="7"/>
      <c r="H156" s="121" t="s">
        <v>1000</v>
      </c>
      <c r="I156" s="47"/>
      <c r="J156" s="7" t="s">
        <v>28</v>
      </c>
      <c r="K156" s="77" t="s">
        <v>1000</v>
      </c>
      <c r="L156" s="7">
        <v>287</v>
      </c>
      <c r="M156" s="7">
        <v>257</v>
      </c>
      <c r="N156" s="7">
        <v>194</v>
      </c>
      <c r="O156" s="7">
        <v>0</v>
      </c>
      <c r="P156" s="7">
        <v>0</v>
      </c>
      <c r="Q156" s="69">
        <f t="shared" si="26"/>
        <v>0.89547038327526129</v>
      </c>
      <c r="R156" s="69">
        <f t="shared" si="26"/>
        <v>0.75486381322957197</v>
      </c>
      <c r="S156" s="7"/>
      <c r="T156" s="7"/>
      <c r="U156" s="7"/>
      <c r="V156" s="7"/>
      <c r="W156" s="7"/>
    </row>
    <row r="157" spans="1:27">
      <c r="A157" s="6">
        <v>46144</v>
      </c>
      <c r="B157" s="7" t="s">
        <v>577</v>
      </c>
      <c r="C157" s="62"/>
      <c r="D157" s="77" t="s">
        <v>1430</v>
      </c>
      <c r="E157" s="7"/>
      <c r="F157" s="77"/>
      <c r="G157" s="7"/>
      <c r="H157" s="121" t="s">
        <v>1000</v>
      </c>
      <c r="I157" s="47"/>
      <c r="J157" s="7" t="s">
        <v>28</v>
      </c>
      <c r="K157" s="77" t="s">
        <v>1000</v>
      </c>
      <c r="L157" s="7">
        <v>287</v>
      </c>
      <c r="M157" s="7">
        <v>259</v>
      </c>
      <c r="N157" s="7">
        <v>196</v>
      </c>
      <c r="O157" s="7">
        <v>0</v>
      </c>
      <c r="P157" s="7">
        <v>0</v>
      </c>
      <c r="Q157" s="69">
        <f t="shared" si="26"/>
        <v>0.90243902439024393</v>
      </c>
      <c r="R157" s="69">
        <f t="shared" si="26"/>
        <v>0.7567567567567568</v>
      </c>
      <c r="S157" s="7"/>
      <c r="T157" s="7"/>
      <c r="U157" s="7"/>
      <c r="V157" s="7"/>
      <c r="W157" s="7"/>
    </row>
    <row r="158" spans="1:27">
      <c r="A158" s="6">
        <v>46144</v>
      </c>
      <c r="B158" s="7" t="s">
        <v>577</v>
      </c>
      <c r="C158" s="62">
        <v>0.79166666666666663</v>
      </c>
      <c r="D158" s="77" t="s">
        <v>1431</v>
      </c>
      <c r="E158" s="77" t="s">
        <v>28</v>
      </c>
      <c r="F158" s="77" t="s">
        <v>438</v>
      </c>
      <c r="G158" s="77" t="s">
        <v>785</v>
      </c>
      <c r="H158" s="77" t="s">
        <v>358</v>
      </c>
      <c r="I158" s="47"/>
      <c r="J158" s="77" t="s">
        <v>28</v>
      </c>
      <c r="K158" s="77" t="s">
        <v>359</v>
      </c>
      <c r="L158" s="7">
        <v>2953</v>
      </c>
      <c r="M158" s="7">
        <v>23</v>
      </c>
      <c r="N158" s="7">
        <v>5</v>
      </c>
      <c r="O158" s="7">
        <v>1</v>
      </c>
      <c r="P158" s="7">
        <v>5</v>
      </c>
      <c r="Q158" s="69">
        <f t="shared" si="26"/>
        <v>7.7886894683372844E-3</v>
      </c>
      <c r="R158" s="69">
        <f t="shared" si="26"/>
        <v>0.21739130434782608</v>
      </c>
      <c r="S158" s="7"/>
      <c r="T158" s="7"/>
      <c r="U158" s="7"/>
      <c r="V158" s="7"/>
      <c r="W158" s="7"/>
    </row>
    <row r="159" spans="1:27">
      <c r="A159" s="6">
        <v>46144</v>
      </c>
      <c r="B159" s="7" t="s">
        <v>577</v>
      </c>
      <c r="C159" s="62">
        <v>0.80208333333333337</v>
      </c>
      <c r="D159" s="77" t="s">
        <v>1432</v>
      </c>
      <c r="E159" s="77" t="s">
        <v>28</v>
      </c>
      <c r="F159" s="77" t="s">
        <v>436</v>
      </c>
      <c r="G159" s="7" t="s">
        <v>85</v>
      </c>
      <c r="H159" s="77" t="s">
        <v>359</v>
      </c>
      <c r="I159" s="47"/>
      <c r="J159" s="77" t="s">
        <v>28</v>
      </c>
      <c r="K159" s="77" t="s">
        <v>358</v>
      </c>
      <c r="L159" s="7">
        <v>1287</v>
      </c>
      <c r="M159" s="7">
        <v>9</v>
      </c>
      <c r="N159" s="7">
        <v>3</v>
      </c>
      <c r="O159" s="7">
        <v>0</v>
      </c>
      <c r="P159" s="7">
        <v>5</v>
      </c>
      <c r="Q159" s="69">
        <f t="shared" si="26"/>
        <v>6.993006993006993E-3</v>
      </c>
      <c r="R159" s="69">
        <f t="shared" si="26"/>
        <v>0.33333333333333331</v>
      </c>
      <c r="S159" s="7"/>
      <c r="T159" s="7"/>
      <c r="U159" s="7"/>
      <c r="V159" s="7"/>
      <c r="W159" s="7"/>
    </row>
    <row r="160" spans="1:27">
      <c r="A160" s="6">
        <v>46144</v>
      </c>
      <c r="B160" s="7" t="s">
        <v>577</v>
      </c>
      <c r="C160" s="62">
        <v>0.77083333333333337</v>
      </c>
      <c r="D160" s="77" t="s">
        <v>1433</v>
      </c>
      <c r="E160" s="77" t="s">
        <v>28</v>
      </c>
      <c r="F160" s="77" t="s">
        <v>440</v>
      </c>
      <c r="G160" s="7" t="s">
        <v>85</v>
      </c>
      <c r="H160" s="77" t="s">
        <v>350</v>
      </c>
      <c r="I160" s="47"/>
      <c r="J160" s="77" t="s">
        <v>28</v>
      </c>
      <c r="K160" s="77" t="s">
        <v>350</v>
      </c>
      <c r="L160" s="7">
        <v>5534</v>
      </c>
      <c r="M160" s="7">
        <v>16</v>
      </c>
      <c r="N160" s="7">
        <v>5</v>
      </c>
      <c r="O160" s="7">
        <v>0</v>
      </c>
      <c r="P160" s="7">
        <v>1</v>
      </c>
      <c r="Q160" s="69">
        <f t="shared" si="26"/>
        <v>2.8912179255511385E-3</v>
      </c>
      <c r="R160" s="69">
        <f t="shared" si="26"/>
        <v>0.3125</v>
      </c>
      <c r="S160" s="7"/>
      <c r="T160" s="7"/>
      <c r="U160" s="7"/>
      <c r="V160" s="7"/>
      <c r="W160" s="7"/>
    </row>
    <row r="161" spans="1:27">
      <c r="A161" s="6">
        <v>46144</v>
      </c>
      <c r="B161" s="7" t="s">
        <v>577</v>
      </c>
      <c r="C161" s="62">
        <v>0.8125</v>
      </c>
      <c r="D161" s="77" t="s">
        <v>1434</v>
      </c>
      <c r="E161" s="77" t="s">
        <v>28</v>
      </c>
      <c r="F161" s="77" t="s">
        <v>442</v>
      </c>
      <c r="G161" s="77" t="s">
        <v>85</v>
      </c>
      <c r="H161" s="77" t="s">
        <v>351</v>
      </c>
      <c r="I161" s="47"/>
      <c r="J161" s="77" t="s">
        <v>28</v>
      </c>
      <c r="K161" s="77" t="s">
        <v>351</v>
      </c>
      <c r="L161" s="7">
        <v>3247</v>
      </c>
      <c r="M161" s="7">
        <v>14</v>
      </c>
      <c r="N161" s="7">
        <v>4</v>
      </c>
      <c r="O161" s="7">
        <v>0</v>
      </c>
      <c r="P161" s="7">
        <v>0</v>
      </c>
      <c r="Q161" s="69">
        <f t="shared" si="26"/>
        <v>4.3116723129042189E-3</v>
      </c>
      <c r="R161" s="69">
        <f t="shared" si="26"/>
        <v>0.2857142857142857</v>
      </c>
      <c r="S161" s="7"/>
      <c r="T161" s="7"/>
      <c r="U161" s="7"/>
      <c r="V161" s="7"/>
      <c r="W161" s="7"/>
    </row>
    <row r="162" spans="1:27">
      <c r="A162" s="6">
        <v>46144</v>
      </c>
      <c r="B162" s="7" t="s">
        <v>577</v>
      </c>
      <c r="C162" s="62">
        <v>0.85416666666666663</v>
      </c>
      <c r="D162" s="7" t="s">
        <v>1435</v>
      </c>
      <c r="E162" s="7" t="s">
        <v>28</v>
      </c>
      <c r="F162" s="7" t="s">
        <v>412</v>
      </c>
      <c r="G162" s="7" t="s">
        <v>85</v>
      </c>
      <c r="H162" s="7" t="s">
        <v>210</v>
      </c>
      <c r="I162" s="47"/>
      <c r="J162" s="7" t="s">
        <v>28</v>
      </c>
      <c r="K162" s="7" t="s">
        <v>210</v>
      </c>
      <c r="L162" s="7">
        <v>1296</v>
      </c>
      <c r="M162" s="7">
        <v>155</v>
      </c>
      <c r="N162" s="7">
        <v>113</v>
      </c>
      <c r="O162" s="7">
        <v>0</v>
      </c>
      <c r="P162" s="7">
        <v>0</v>
      </c>
      <c r="Q162" s="69">
        <f t="shared" si="26"/>
        <v>0.11959876543209877</v>
      </c>
      <c r="R162" s="69">
        <f t="shared" si="26"/>
        <v>0.7290322580645161</v>
      </c>
      <c r="S162" s="7"/>
      <c r="T162" s="7"/>
      <c r="U162" s="7"/>
      <c r="V162" s="7"/>
      <c r="W162" s="7"/>
    </row>
    <row r="163" spans="1:27" ht="16.8">
      <c r="A163" s="6">
        <v>46144</v>
      </c>
      <c r="B163" s="7" t="s">
        <v>577</v>
      </c>
      <c r="C163" s="62">
        <v>0.89583333333333337</v>
      </c>
      <c r="D163" s="77" t="s">
        <v>1436</v>
      </c>
      <c r="E163" s="7" t="s">
        <v>28</v>
      </c>
      <c r="F163" s="77" t="s">
        <v>440</v>
      </c>
      <c r="G163" s="7" t="s">
        <v>85</v>
      </c>
      <c r="H163" s="52" t="s">
        <v>157</v>
      </c>
      <c r="I163" s="29"/>
      <c r="J163" s="7" t="s">
        <v>28</v>
      </c>
      <c r="K163" s="52" t="s">
        <v>157</v>
      </c>
      <c r="L163" s="7">
        <v>1792</v>
      </c>
      <c r="M163" s="7">
        <v>431</v>
      </c>
      <c r="N163" s="7">
        <v>60</v>
      </c>
      <c r="O163" s="7">
        <v>9</v>
      </c>
      <c r="P163" s="7">
        <v>0</v>
      </c>
      <c r="Q163" s="69">
        <f t="shared" si="26"/>
        <v>0.24051339285714285</v>
      </c>
      <c r="R163" s="69">
        <f t="shared" si="26"/>
        <v>0.13921113689095127</v>
      </c>
      <c r="S163" s="7"/>
      <c r="T163" s="7"/>
      <c r="U163" s="7"/>
      <c r="V163" s="7"/>
      <c r="W163" s="7"/>
    </row>
    <row r="164" spans="1:27" ht="16.8">
      <c r="A164" s="6">
        <v>46144</v>
      </c>
      <c r="B164" s="7" t="s">
        <v>577</v>
      </c>
      <c r="C164" s="62" t="s">
        <v>719</v>
      </c>
      <c r="D164" s="7" t="s">
        <v>1437</v>
      </c>
      <c r="E164" s="7" t="s">
        <v>28</v>
      </c>
      <c r="F164" s="7" t="s">
        <v>356</v>
      </c>
      <c r="G164" s="77" t="s">
        <v>85</v>
      </c>
      <c r="H164" s="7" t="s">
        <v>149</v>
      </c>
      <c r="I164" s="49"/>
      <c r="J164" s="7"/>
      <c r="K164" s="107"/>
      <c r="L164" s="7">
        <v>1114</v>
      </c>
      <c r="M164" s="7">
        <v>325</v>
      </c>
      <c r="N164" s="7">
        <v>69</v>
      </c>
      <c r="O164" s="7">
        <v>11</v>
      </c>
      <c r="P164" s="7">
        <v>0</v>
      </c>
      <c r="Q164" s="69">
        <f t="shared" si="26"/>
        <v>0.29174147217235191</v>
      </c>
      <c r="R164" s="69">
        <f t="shared" si="26"/>
        <v>0.21230769230769231</v>
      </c>
      <c r="S164" s="7"/>
      <c r="T164" s="7"/>
      <c r="U164" s="7"/>
      <c r="V164" s="7"/>
      <c r="W164" s="7"/>
    </row>
    <row r="165" spans="1:27" ht="6.6" customHeight="1">
      <c r="A165" s="22"/>
      <c r="B165" s="23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5"/>
      <c r="R165" s="25"/>
      <c r="S165" s="24"/>
      <c r="T165" s="24"/>
      <c r="U165" s="24"/>
      <c r="V165" s="25"/>
      <c r="W165" s="26"/>
    </row>
    <row r="166" spans="1:27">
      <c r="A166" s="6">
        <v>46145</v>
      </c>
      <c r="B166" s="7" t="s">
        <v>578</v>
      </c>
      <c r="C166" s="18" t="s">
        <v>599</v>
      </c>
      <c r="D166" s="18" t="s">
        <v>306</v>
      </c>
      <c r="E166" s="18" t="s">
        <v>28</v>
      </c>
      <c r="F166" s="18" t="s">
        <v>307</v>
      </c>
      <c r="G166" s="18" t="s">
        <v>85</v>
      </c>
      <c r="H166" s="18" t="s">
        <v>186</v>
      </c>
      <c r="I166" s="47"/>
      <c r="J166" s="18" t="s">
        <v>28</v>
      </c>
      <c r="K166" s="18" t="s">
        <v>186</v>
      </c>
      <c r="L166" s="7">
        <v>1829</v>
      </c>
      <c r="M166" s="7">
        <v>8</v>
      </c>
      <c r="N166" s="7">
        <v>3</v>
      </c>
      <c r="O166" s="7">
        <v>0</v>
      </c>
      <c r="P166" s="7">
        <v>4</v>
      </c>
      <c r="Q166" s="69">
        <f t="shared" ref="Q166:R186" si="27">M166/L166</f>
        <v>4.3739748496446143E-3</v>
      </c>
      <c r="R166" s="69">
        <f t="shared" si="27"/>
        <v>0.375</v>
      </c>
      <c r="S166" s="7"/>
      <c r="T166" s="7"/>
      <c r="U166" s="7"/>
      <c r="V166" s="7"/>
      <c r="W166" s="7"/>
      <c r="Y166" s="7">
        <v>895</v>
      </c>
      <c r="Z166" s="7">
        <v>204</v>
      </c>
      <c r="AA166" s="7">
        <v>42</v>
      </c>
    </row>
    <row r="167" spans="1:27">
      <c r="A167" s="6">
        <v>46145</v>
      </c>
      <c r="B167" s="7" t="s">
        <v>578</v>
      </c>
      <c r="C167" s="18" t="s">
        <v>600</v>
      </c>
      <c r="D167" s="18" t="s">
        <v>602</v>
      </c>
      <c r="E167" s="18" t="s">
        <v>28</v>
      </c>
      <c r="F167" s="18" t="s">
        <v>601</v>
      </c>
      <c r="G167" s="18" t="s">
        <v>85</v>
      </c>
      <c r="H167" s="18" t="s">
        <v>186</v>
      </c>
      <c r="I167" s="29"/>
      <c r="J167" s="18" t="s">
        <v>28</v>
      </c>
      <c r="K167" s="18" t="s">
        <v>186</v>
      </c>
      <c r="L167" s="7"/>
      <c r="M167" s="7"/>
      <c r="N167" s="7"/>
      <c r="O167" s="7"/>
      <c r="P167" s="7"/>
      <c r="Q167" s="69" t="e">
        <f t="shared" si="27"/>
        <v>#DIV/0!</v>
      </c>
      <c r="R167" s="69" t="e">
        <f t="shared" si="27"/>
        <v>#DIV/0!</v>
      </c>
      <c r="S167" s="7"/>
      <c r="T167" s="7"/>
      <c r="U167" s="7"/>
      <c r="V167" s="7"/>
      <c r="W167" s="7"/>
      <c r="Y167" s="7">
        <v>1247</v>
      </c>
      <c r="Z167" s="7">
        <v>114</v>
      </c>
      <c r="AA167" s="7">
        <v>21</v>
      </c>
    </row>
    <row r="168" spans="1:27">
      <c r="A168" s="6">
        <v>46145</v>
      </c>
      <c r="B168" s="7" t="s">
        <v>578</v>
      </c>
      <c r="C168" s="18" t="s">
        <v>347</v>
      </c>
      <c r="D168" s="18" t="s">
        <v>352</v>
      </c>
      <c r="E168" s="18" t="s">
        <v>28</v>
      </c>
      <c r="F168" s="18" t="s">
        <v>353</v>
      </c>
      <c r="G168" s="18" t="s">
        <v>85</v>
      </c>
      <c r="H168" s="18" t="s">
        <v>186</v>
      </c>
      <c r="I168" s="47"/>
      <c r="J168" s="18" t="s">
        <v>28</v>
      </c>
      <c r="K168" s="18" t="s">
        <v>186</v>
      </c>
      <c r="L168" s="7"/>
      <c r="M168" s="7"/>
      <c r="N168" s="7"/>
      <c r="O168" s="7"/>
      <c r="P168" s="7"/>
      <c r="Q168" s="69" t="e">
        <f t="shared" si="27"/>
        <v>#DIV/0!</v>
      </c>
      <c r="R168" s="69" t="e">
        <f t="shared" si="27"/>
        <v>#DIV/0!</v>
      </c>
      <c r="S168" s="7"/>
      <c r="T168" s="7"/>
      <c r="U168" s="7"/>
      <c r="V168" s="7"/>
      <c r="W168" s="7"/>
      <c r="Y168" s="7">
        <v>1296</v>
      </c>
      <c r="Z168" s="7">
        <v>327</v>
      </c>
      <c r="AA168" s="7">
        <v>84</v>
      </c>
    </row>
    <row r="169" spans="1:27">
      <c r="A169" s="6">
        <v>46145</v>
      </c>
      <c r="B169" s="7" t="s">
        <v>578</v>
      </c>
      <c r="C169" s="18" t="s">
        <v>599</v>
      </c>
      <c r="D169" s="18" t="s">
        <v>507</v>
      </c>
      <c r="E169" s="18" t="s">
        <v>28</v>
      </c>
      <c r="F169" s="18" t="s">
        <v>506</v>
      </c>
      <c r="G169" s="18" t="s">
        <v>85</v>
      </c>
      <c r="H169" s="18" t="s">
        <v>106</v>
      </c>
      <c r="I169" s="47"/>
      <c r="J169" s="18" t="s">
        <v>28</v>
      </c>
      <c r="K169" s="18" t="s">
        <v>106</v>
      </c>
      <c r="L169" s="7">
        <v>895</v>
      </c>
      <c r="M169" s="7">
        <v>204</v>
      </c>
      <c r="N169" s="7">
        <v>42</v>
      </c>
      <c r="O169" s="7">
        <v>5</v>
      </c>
      <c r="P169" s="7">
        <v>2</v>
      </c>
      <c r="Q169" s="69">
        <f t="shared" si="27"/>
        <v>0.22793296089385476</v>
      </c>
      <c r="R169" s="69">
        <f t="shared" si="27"/>
        <v>0.20588235294117646</v>
      </c>
      <c r="S169" s="7"/>
      <c r="T169" s="7"/>
      <c r="U169" s="7"/>
      <c r="V169" s="7"/>
      <c r="W169" s="7"/>
      <c r="Y169" s="7">
        <f>SUM(Y166:Y168)</f>
        <v>3438</v>
      </c>
      <c r="Z169" s="7">
        <f>SUM(Z166:Z168)</f>
        <v>645</v>
      </c>
      <c r="AA169" s="7">
        <f>SUM(AA166:AA168)</f>
        <v>147</v>
      </c>
    </row>
    <row r="170" spans="1:27">
      <c r="A170" s="6">
        <v>46145</v>
      </c>
      <c r="B170" s="7" t="s">
        <v>578</v>
      </c>
      <c r="C170" s="18" t="s">
        <v>600</v>
      </c>
      <c r="D170" s="18" t="s">
        <v>602</v>
      </c>
      <c r="E170" s="18" t="s">
        <v>28</v>
      </c>
      <c r="F170" s="18" t="s">
        <v>601</v>
      </c>
      <c r="G170" s="18" t="s">
        <v>85</v>
      </c>
      <c r="H170" s="18" t="s">
        <v>106</v>
      </c>
      <c r="I170" s="29"/>
      <c r="J170" s="18" t="s">
        <v>28</v>
      </c>
      <c r="K170" s="18" t="s">
        <v>106</v>
      </c>
      <c r="L170" s="7"/>
      <c r="M170" s="7"/>
      <c r="N170" s="7"/>
      <c r="O170" s="7"/>
      <c r="P170" s="7"/>
      <c r="Q170" s="69" t="e">
        <f t="shared" si="27"/>
        <v>#DIV/0!</v>
      </c>
      <c r="R170" s="69" t="e">
        <f t="shared" si="27"/>
        <v>#DIV/0!</v>
      </c>
      <c r="S170" s="7"/>
      <c r="T170" s="7"/>
      <c r="U170" s="7"/>
      <c r="V170" s="7"/>
      <c r="W170" s="7"/>
      <c r="Y170" s="7"/>
      <c r="Z170" s="7"/>
      <c r="AA170" s="7"/>
    </row>
    <row r="171" spans="1:27">
      <c r="A171" s="6">
        <v>46145</v>
      </c>
      <c r="B171" s="7" t="s">
        <v>578</v>
      </c>
      <c r="C171" s="18"/>
      <c r="D171" s="18"/>
      <c r="E171" s="18"/>
      <c r="F171" s="18"/>
      <c r="G171" s="18"/>
      <c r="H171" s="21" t="s">
        <v>1047</v>
      </c>
      <c r="I171" s="182" t="s">
        <v>1132</v>
      </c>
      <c r="J171" s="18" t="s">
        <v>28</v>
      </c>
      <c r="K171" s="21" t="s">
        <v>1047</v>
      </c>
      <c r="L171" s="7"/>
      <c r="M171" s="7"/>
      <c r="N171" s="7"/>
      <c r="O171" s="7"/>
      <c r="P171" s="7"/>
      <c r="Q171" s="69" t="e">
        <f t="shared" si="27"/>
        <v>#DIV/0!</v>
      </c>
      <c r="R171" s="69" t="e">
        <f t="shared" si="27"/>
        <v>#DIV/0!</v>
      </c>
      <c r="S171" s="7"/>
      <c r="T171" s="7"/>
      <c r="U171" s="7"/>
      <c r="V171" s="7"/>
      <c r="W171" s="7"/>
      <c r="Y171" s="7"/>
      <c r="Z171" s="7"/>
      <c r="AA171" s="7"/>
    </row>
    <row r="172" spans="1:27">
      <c r="A172" s="6">
        <v>46145</v>
      </c>
      <c r="B172" s="7" t="s">
        <v>578</v>
      </c>
      <c r="C172" s="18"/>
      <c r="D172" s="18"/>
      <c r="E172" s="18"/>
      <c r="F172" s="18"/>
      <c r="G172" s="18"/>
      <c r="H172" s="21" t="s">
        <v>1049</v>
      </c>
      <c r="I172" s="182" t="s">
        <v>1133</v>
      </c>
      <c r="J172" s="18" t="s">
        <v>28</v>
      </c>
      <c r="K172" s="21" t="s">
        <v>1049</v>
      </c>
      <c r="L172" s="7"/>
      <c r="M172" s="7"/>
      <c r="N172" s="7"/>
      <c r="O172" s="7"/>
      <c r="P172" s="7"/>
      <c r="Q172" s="69" t="e">
        <f t="shared" si="27"/>
        <v>#DIV/0!</v>
      </c>
      <c r="R172" s="69" t="e">
        <f t="shared" si="27"/>
        <v>#DIV/0!</v>
      </c>
      <c r="S172" s="7"/>
      <c r="T172" s="7"/>
      <c r="U172" s="7"/>
      <c r="V172" s="7"/>
      <c r="W172" s="7"/>
    </row>
    <row r="173" spans="1:27">
      <c r="A173" s="6">
        <v>46145</v>
      </c>
      <c r="B173" s="7" t="s">
        <v>578</v>
      </c>
      <c r="C173" s="62"/>
      <c r="D173" s="77" t="s">
        <v>1438</v>
      </c>
      <c r="E173" s="7" t="s">
        <v>28</v>
      </c>
      <c r="F173" s="77" t="s">
        <v>713</v>
      </c>
      <c r="G173" s="7" t="s">
        <v>85</v>
      </c>
      <c r="H173" s="77" t="s">
        <v>684</v>
      </c>
      <c r="I173" s="47"/>
      <c r="J173" s="7" t="s">
        <v>28</v>
      </c>
      <c r="K173" s="77" t="s">
        <v>684</v>
      </c>
      <c r="L173" s="7">
        <v>1499</v>
      </c>
      <c r="M173" s="7">
        <v>1466</v>
      </c>
      <c r="N173" s="7">
        <v>1103</v>
      </c>
      <c r="O173" s="7">
        <v>0</v>
      </c>
      <c r="P173" s="7">
        <v>1</v>
      </c>
      <c r="Q173" s="69">
        <f t="shared" si="27"/>
        <v>0.97798532354903267</v>
      </c>
      <c r="R173" s="69">
        <f t="shared" si="27"/>
        <v>0.752387448840382</v>
      </c>
      <c r="S173" s="7"/>
      <c r="T173" s="7"/>
      <c r="U173" s="7"/>
      <c r="V173" s="7"/>
      <c r="W173" s="7"/>
    </row>
    <row r="174" spans="1:27">
      <c r="A174" s="6">
        <v>46145</v>
      </c>
      <c r="B174" s="7" t="s">
        <v>578</v>
      </c>
      <c r="C174" s="62"/>
      <c r="D174" s="77" t="s">
        <v>1439</v>
      </c>
      <c r="E174" s="7" t="s">
        <v>28</v>
      </c>
      <c r="F174" s="77" t="s">
        <v>713</v>
      </c>
      <c r="G174" s="7"/>
      <c r="H174" s="77" t="s">
        <v>684</v>
      </c>
      <c r="I174" s="47"/>
      <c r="J174" s="7" t="s">
        <v>28</v>
      </c>
      <c r="K174" s="77" t="s">
        <v>1000</v>
      </c>
      <c r="L174" s="7">
        <v>1499</v>
      </c>
      <c r="M174" s="7">
        <v>1465</v>
      </c>
      <c r="N174" s="7">
        <v>1059</v>
      </c>
      <c r="O174" s="7">
        <v>0</v>
      </c>
      <c r="P174" s="7">
        <v>1</v>
      </c>
      <c r="Q174" s="69">
        <f t="shared" si="27"/>
        <v>0.97731821214142767</v>
      </c>
      <c r="R174" s="69">
        <f t="shared" si="27"/>
        <v>0.72286689419795225</v>
      </c>
      <c r="S174" s="7"/>
      <c r="T174" s="7"/>
      <c r="U174" s="7"/>
      <c r="V174" s="7"/>
      <c r="W174" s="7"/>
    </row>
    <row r="175" spans="1:27">
      <c r="A175" s="6">
        <v>46145</v>
      </c>
      <c r="B175" s="7" t="s">
        <v>578</v>
      </c>
      <c r="C175" s="62"/>
      <c r="D175" s="77" t="s">
        <v>1440</v>
      </c>
      <c r="E175" s="7" t="s">
        <v>28</v>
      </c>
      <c r="F175" s="77" t="s">
        <v>713</v>
      </c>
      <c r="G175" s="7" t="s">
        <v>85</v>
      </c>
      <c r="H175" s="77" t="s">
        <v>1000</v>
      </c>
      <c r="I175" s="47"/>
      <c r="J175" s="7" t="s">
        <v>28</v>
      </c>
      <c r="K175" s="77" t="s">
        <v>684</v>
      </c>
      <c r="L175" s="7">
        <v>287</v>
      </c>
      <c r="M175" s="7">
        <v>250</v>
      </c>
      <c r="N175" s="7">
        <v>189</v>
      </c>
      <c r="O175" s="7">
        <v>0</v>
      </c>
      <c r="P175" s="7">
        <v>0</v>
      </c>
      <c r="Q175" s="69">
        <f t="shared" si="27"/>
        <v>0.87108013937282225</v>
      </c>
      <c r="R175" s="69">
        <f t="shared" si="27"/>
        <v>0.75600000000000001</v>
      </c>
      <c r="S175" s="7"/>
      <c r="T175" s="7"/>
      <c r="U175" s="7"/>
      <c r="V175" s="7"/>
      <c r="W175" s="7"/>
    </row>
    <row r="176" spans="1:27">
      <c r="A176" s="6">
        <v>46145</v>
      </c>
      <c r="B176" s="7" t="s">
        <v>578</v>
      </c>
      <c r="C176" s="62"/>
      <c r="D176" s="77" t="s">
        <v>1441</v>
      </c>
      <c r="E176" s="7" t="s">
        <v>28</v>
      </c>
      <c r="F176" s="77" t="s">
        <v>713</v>
      </c>
      <c r="G176" s="7"/>
      <c r="H176" s="77" t="s">
        <v>1000</v>
      </c>
      <c r="I176" s="47"/>
      <c r="J176" s="7" t="s">
        <v>28</v>
      </c>
      <c r="K176" s="77" t="s">
        <v>1000</v>
      </c>
      <c r="L176" s="7">
        <v>287</v>
      </c>
      <c r="M176" s="7">
        <v>249</v>
      </c>
      <c r="N176" s="7">
        <v>190</v>
      </c>
      <c r="O176" s="7">
        <v>0</v>
      </c>
      <c r="P176" s="7">
        <v>0</v>
      </c>
      <c r="Q176" s="69">
        <f t="shared" si="27"/>
        <v>0.86759581881533099</v>
      </c>
      <c r="R176" s="69">
        <f t="shared" si="27"/>
        <v>0.76305220883534142</v>
      </c>
      <c r="S176" s="7"/>
      <c r="T176" s="7"/>
      <c r="U176" s="7"/>
      <c r="V176" s="7"/>
      <c r="W176" s="7"/>
    </row>
    <row r="177" spans="1:27">
      <c r="A177" s="6">
        <v>46145</v>
      </c>
      <c r="B177" s="7" t="s">
        <v>578</v>
      </c>
      <c r="C177" s="62"/>
      <c r="D177" s="77" t="s">
        <v>1442</v>
      </c>
      <c r="E177" s="7"/>
      <c r="F177" s="77"/>
      <c r="G177" s="7"/>
      <c r="H177" s="77" t="s">
        <v>1000</v>
      </c>
      <c r="I177" s="47"/>
      <c r="J177" s="7" t="s">
        <v>28</v>
      </c>
      <c r="K177" s="77" t="s">
        <v>1000</v>
      </c>
      <c r="L177" s="7">
        <v>287</v>
      </c>
      <c r="M177" s="7">
        <v>249</v>
      </c>
      <c r="N177" s="7">
        <v>198</v>
      </c>
      <c r="O177" s="7">
        <v>0</v>
      </c>
      <c r="P177" s="7">
        <v>0</v>
      </c>
      <c r="Q177" s="69">
        <f t="shared" si="27"/>
        <v>0.86759581881533099</v>
      </c>
      <c r="R177" s="69">
        <f t="shared" si="27"/>
        <v>0.79518072289156627</v>
      </c>
      <c r="S177" s="7"/>
      <c r="T177" s="7"/>
      <c r="U177" s="7"/>
      <c r="V177" s="7"/>
      <c r="W177" s="7"/>
    </row>
    <row r="178" spans="1:27">
      <c r="A178" s="6">
        <v>46145</v>
      </c>
      <c r="B178" s="7" t="s">
        <v>578</v>
      </c>
      <c r="C178" s="62"/>
      <c r="D178" s="77" t="s">
        <v>1443</v>
      </c>
      <c r="E178" s="7"/>
      <c r="F178" s="77"/>
      <c r="G178" s="7"/>
      <c r="H178" s="77" t="s">
        <v>1000</v>
      </c>
      <c r="I178" s="47"/>
      <c r="J178" s="7" t="s">
        <v>28</v>
      </c>
      <c r="K178" s="77" t="s">
        <v>1000</v>
      </c>
      <c r="L178" s="7">
        <v>287</v>
      </c>
      <c r="M178" s="7">
        <v>251</v>
      </c>
      <c r="N178" s="7">
        <v>180</v>
      </c>
      <c r="O178" s="7">
        <v>0</v>
      </c>
      <c r="P178" s="7">
        <v>0</v>
      </c>
      <c r="Q178" s="69">
        <f t="shared" si="27"/>
        <v>0.87456445993031362</v>
      </c>
      <c r="R178" s="69">
        <f t="shared" si="27"/>
        <v>0.71713147410358569</v>
      </c>
      <c r="S178" s="7"/>
      <c r="T178" s="7"/>
      <c r="U178" s="7"/>
      <c r="V178" s="7"/>
      <c r="W178" s="7"/>
    </row>
    <row r="179" spans="1:27">
      <c r="A179" s="6">
        <v>46145</v>
      </c>
      <c r="B179" s="7" t="s">
        <v>578</v>
      </c>
      <c r="C179" s="62"/>
      <c r="D179" s="77" t="s">
        <v>1444</v>
      </c>
      <c r="E179" s="7"/>
      <c r="F179" s="77"/>
      <c r="G179" s="7"/>
      <c r="H179" s="77" t="s">
        <v>1000</v>
      </c>
      <c r="I179" s="47"/>
      <c r="J179" s="7" t="s">
        <v>28</v>
      </c>
      <c r="K179" s="77" t="s">
        <v>1000</v>
      </c>
      <c r="L179" s="7">
        <v>287</v>
      </c>
      <c r="M179" s="7">
        <v>250</v>
      </c>
      <c r="N179" s="7">
        <v>195</v>
      </c>
      <c r="O179" s="7">
        <v>0</v>
      </c>
      <c r="P179" s="7">
        <v>0</v>
      </c>
      <c r="Q179" s="69">
        <f t="shared" si="27"/>
        <v>0.87108013937282225</v>
      </c>
      <c r="R179" s="69">
        <f t="shared" si="27"/>
        <v>0.78</v>
      </c>
      <c r="S179" s="7"/>
      <c r="T179" s="7"/>
      <c r="U179" s="7"/>
      <c r="V179" s="7"/>
      <c r="W179" s="7"/>
    </row>
    <row r="180" spans="1:27">
      <c r="A180" s="6">
        <v>46145</v>
      </c>
      <c r="B180" s="7" t="s">
        <v>578</v>
      </c>
      <c r="C180" s="62">
        <v>0.79166666666666663</v>
      </c>
      <c r="D180" s="7" t="s">
        <v>1445</v>
      </c>
      <c r="E180" s="7" t="s">
        <v>28</v>
      </c>
      <c r="F180" s="7" t="s">
        <v>356</v>
      </c>
      <c r="G180" s="77" t="s">
        <v>785</v>
      </c>
      <c r="H180" s="77" t="s">
        <v>358</v>
      </c>
      <c r="I180" s="47"/>
      <c r="J180" s="77" t="s">
        <v>28</v>
      </c>
      <c r="K180" s="77" t="s">
        <v>359</v>
      </c>
      <c r="L180" s="7">
        <v>2949</v>
      </c>
      <c r="M180" s="7">
        <v>14</v>
      </c>
      <c r="N180" s="7">
        <v>5</v>
      </c>
      <c r="O180" s="7">
        <v>0</v>
      </c>
      <c r="P180" s="7">
        <v>5</v>
      </c>
      <c r="Q180" s="69">
        <f t="shared" si="27"/>
        <v>4.7473719905052562E-3</v>
      </c>
      <c r="R180" s="69">
        <f t="shared" si="27"/>
        <v>0.35714285714285715</v>
      </c>
      <c r="S180" s="7"/>
      <c r="T180" s="7"/>
      <c r="U180" s="7"/>
      <c r="V180" s="7"/>
      <c r="W180" s="7"/>
    </row>
    <row r="181" spans="1:27">
      <c r="A181" s="6">
        <v>46145</v>
      </c>
      <c r="B181" s="7" t="s">
        <v>578</v>
      </c>
      <c r="C181" s="62">
        <v>0.80208333333333337</v>
      </c>
      <c r="D181" s="7" t="s">
        <v>1446</v>
      </c>
      <c r="E181" s="7" t="s">
        <v>28</v>
      </c>
      <c r="F181" s="7" t="s">
        <v>361</v>
      </c>
      <c r="G181" s="7" t="s">
        <v>85</v>
      </c>
      <c r="H181" s="77" t="s">
        <v>359</v>
      </c>
      <c r="I181" s="47"/>
      <c r="J181" s="77" t="s">
        <v>28</v>
      </c>
      <c r="K181" s="77" t="s">
        <v>358</v>
      </c>
      <c r="L181" s="7">
        <v>1284</v>
      </c>
      <c r="M181" s="7">
        <v>10</v>
      </c>
      <c r="N181" s="7">
        <v>5</v>
      </c>
      <c r="O181" s="7">
        <v>1</v>
      </c>
      <c r="P181" s="7">
        <v>5</v>
      </c>
      <c r="Q181" s="69">
        <f t="shared" si="27"/>
        <v>7.7881619937694704E-3</v>
      </c>
      <c r="R181" s="69">
        <f t="shared" si="27"/>
        <v>0.5</v>
      </c>
      <c r="S181" s="7"/>
      <c r="T181" s="7"/>
      <c r="U181" s="7"/>
      <c r="V181" s="7"/>
      <c r="W181" s="7"/>
    </row>
    <row r="182" spans="1:27">
      <c r="A182" s="6">
        <v>46145</v>
      </c>
      <c r="B182" s="7" t="s">
        <v>578</v>
      </c>
      <c r="C182" s="62">
        <v>0.77083333333333337</v>
      </c>
      <c r="D182" s="7" t="s">
        <v>1447</v>
      </c>
      <c r="E182" s="7" t="s">
        <v>28</v>
      </c>
      <c r="F182" s="7" t="s">
        <v>363</v>
      </c>
      <c r="G182" s="7" t="s">
        <v>85</v>
      </c>
      <c r="H182" s="77" t="s">
        <v>350</v>
      </c>
      <c r="I182" s="47"/>
      <c r="J182" s="77" t="s">
        <v>28</v>
      </c>
      <c r="K182" s="77" t="s">
        <v>350</v>
      </c>
      <c r="L182" s="7">
        <v>5529</v>
      </c>
      <c r="M182" s="7">
        <v>21</v>
      </c>
      <c r="N182" s="7">
        <v>7</v>
      </c>
      <c r="O182" s="7">
        <v>0</v>
      </c>
      <c r="P182" s="7">
        <v>1</v>
      </c>
      <c r="Q182" s="69">
        <f t="shared" si="27"/>
        <v>3.7981551817688553E-3</v>
      </c>
      <c r="R182" s="69">
        <f t="shared" si="27"/>
        <v>0.33333333333333331</v>
      </c>
      <c r="S182" s="7"/>
      <c r="T182" s="7"/>
      <c r="U182" s="7"/>
      <c r="V182" s="7"/>
      <c r="W182" s="7"/>
    </row>
    <row r="183" spans="1:27">
      <c r="A183" s="6">
        <v>46145</v>
      </c>
      <c r="B183" s="7" t="s">
        <v>578</v>
      </c>
      <c r="C183" s="62">
        <v>0.8125</v>
      </c>
      <c r="D183" s="7" t="s">
        <v>1448</v>
      </c>
      <c r="E183" s="7" t="s">
        <v>28</v>
      </c>
      <c r="F183" s="7" t="s">
        <v>364</v>
      </c>
      <c r="G183" s="77" t="s">
        <v>85</v>
      </c>
      <c r="H183" s="77" t="s">
        <v>351</v>
      </c>
      <c r="I183" s="47"/>
      <c r="J183" s="77" t="s">
        <v>28</v>
      </c>
      <c r="K183" s="77" t="s">
        <v>351</v>
      </c>
      <c r="L183" s="7">
        <v>3245</v>
      </c>
      <c r="M183" s="7">
        <v>16</v>
      </c>
      <c r="N183" s="7">
        <v>8</v>
      </c>
      <c r="O183" s="7">
        <v>1</v>
      </c>
      <c r="P183" s="7">
        <v>0</v>
      </c>
      <c r="Q183" s="69">
        <f t="shared" si="27"/>
        <v>4.930662557781202E-3</v>
      </c>
      <c r="R183" s="69">
        <f t="shared" si="27"/>
        <v>0.5</v>
      </c>
      <c r="S183" s="7"/>
      <c r="T183" s="7"/>
      <c r="U183" s="7"/>
      <c r="V183" s="7"/>
      <c r="W183" s="7"/>
    </row>
    <row r="184" spans="1:27">
      <c r="A184" s="6">
        <v>46145</v>
      </c>
      <c r="B184" s="7" t="s">
        <v>578</v>
      </c>
      <c r="C184" s="62">
        <v>0.85416666666666663</v>
      </c>
      <c r="D184" s="88" t="s">
        <v>1449</v>
      </c>
      <c r="E184" s="88" t="s">
        <v>28</v>
      </c>
      <c r="F184" s="88" t="s">
        <v>584</v>
      </c>
      <c r="G184" s="7" t="s">
        <v>85</v>
      </c>
      <c r="H184" s="7" t="s">
        <v>210</v>
      </c>
      <c r="I184" s="47"/>
      <c r="J184" s="7" t="s">
        <v>28</v>
      </c>
      <c r="K184" s="7" t="s">
        <v>210</v>
      </c>
      <c r="L184" s="7">
        <v>1798</v>
      </c>
      <c r="M184" s="7">
        <v>507</v>
      </c>
      <c r="N184" s="7">
        <v>356</v>
      </c>
      <c r="O184" s="7">
        <v>1</v>
      </c>
      <c r="P184" s="7">
        <v>0</v>
      </c>
      <c r="Q184" s="69">
        <f t="shared" si="27"/>
        <v>0.28197997775305894</v>
      </c>
      <c r="R184" s="69">
        <f t="shared" si="27"/>
        <v>0.70216962524654836</v>
      </c>
      <c r="S184" s="7"/>
      <c r="T184" s="7"/>
      <c r="U184" s="7"/>
      <c r="V184" s="7"/>
      <c r="W184" s="7"/>
    </row>
    <row r="185" spans="1:27" ht="16.8">
      <c r="A185" s="6">
        <v>46145</v>
      </c>
      <c r="B185" s="7" t="s">
        <v>578</v>
      </c>
      <c r="C185" s="62">
        <v>0.89583333333333337</v>
      </c>
      <c r="D185" s="7" t="s">
        <v>1450</v>
      </c>
      <c r="E185" s="7" t="s">
        <v>28</v>
      </c>
      <c r="F185" s="7" t="s">
        <v>363</v>
      </c>
      <c r="G185" s="7" t="s">
        <v>85</v>
      </c>
      <c r="H185" s="52" t="s">
        <v>157</v>
      </c>
      <c r="I185" s="29"/>
      <c r="J185" s="7" t="s">
        <v>28</v>
      </c>
      <c r="K185" s="52" t="s">
        <v>157</v>
      </c>
      <c r="L185" s="7">
        <v>1247</v>
      </c>
      <c r="M185" s="7">
        <v>114</v>
      </c>
      <c r="N185" s="7">
        <v>21</v>
      </c>
      <c r="O185" s="7">
        <v>2</v>
      </c>
      <c r="P185" s="7">
        <v>1</v>
      </c>
      <c r="Q185" s="69">
        <f t="shared" si="27"/>
        <v>9.1419406575781875E-2</v>
      </c>
      <c r="R185" s="69">
        <f t="shared" si="27"/>
        <v>0.18421052631578946</v>
      </c>
      <c r="S185" s="7"/>
      <c r="T185" s="7"/>
      <c r="U185" s="7"/>
      <c r="V185" s="7"/>
      <c r="W185" s="7"/>
    </row>
    <row r="186" spans="1:27">
      <c r="A186" s="6">
        <v>46145</v>
      </c>
      <c r="B186" s="7" t="s">
        <v>578</v>
      </c>
      <c r="C186" s="62" t="s">
        <v>719</v>
      </c>
      <c r="D186" s="111" t="s">
        <v>1451</v>
      </c>
      <c r="E186" s="7" t="s">
        <v>28</v>
      </c>
      <c r="F186" t="s">
        <v>953</v>
      </c>
      <c r="G186" s="77" t="s">
        <v>85</v>
      </c>
      <c r="H186" s="7" t="s">
        <v>149</v>
      </c>
      <c r="I186" s="49"/>
      <c r="J186" s="7" t="s">
        <v>28</v>
      </c>
      <c r="K186" s="7" t="s">
        <v>149</v>
      </c>
      <c r="L186" s="7">
        <v>1296</v>
      </c>
      <c r="M186" s="7">
        <v>327</v>
      </c>
      <c r="N186" s="7">
        <v>84</v>
      </c>
      <c r="O186" s="7">
        <v>5</v>
      </c>
      <c r="P186" s="7">
        <v>0</v>
      </c>
      <c r="Q186" s="69">
        <f t="shared" si="27"/>
        <v>0.25231481481481483</v>
      </c>
      <c r="R186" s="69">
        <f t="shared" si="27"/>
        <v>0.25688073394495414</v>
      </c>
      <c r="S186" s="7"/>
      <c r="T186" s="7"/>
      <c r="U186" s="7"/>
      <c r="V186" s="7"/>
      <c r="W186" s="7"/>
    </row>
    <row r="187" spans="1:27" ht="6.6" customHeight="1">
      <c r="A187" s="22"/>
      <c r="B187" s="23"/>
      <c r="C187" s="24"/>
      <c r="D187" s="183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5"/>
      <c r="R187" s="25"/>
      <c r="S187" s="24"/>
      <c r="T187" s="24"/>
      <c r="U187" s="24"/>
      <c r="V187" s="25"/>
      <c r="W187" s="26"/>
    </row>
    <row r="188" spans="1:27">
      <c r="A188" s="6">
        <v>46146</v>
      </c>
      <c r="B188" s="7" t="s">
        <v>301</v>
      </c>
      <c r="C188" s="18" t="s">
        <v>599</v>
      </c>
      <c r="D188" s="18" t="s">
        <v>306</v>
      </c>
      <c r="E188" s="18" t="s">
        <v>28</v>
      </c>
      <c r="F188" s="18" t="s">
        <v>307</v>
      </c>
      <c r="G188" s="18" t="s">
        <v>85</v>
      </c>
      <c r="H188" s="18" t="s">
        <v>186</v>
      </c>
      <c r="I188" s="47"/>
      <c r="J188" s="18" t="s">
        <v>28</v>
      </c>
      <c r="K188" s="18" t="s">
        <v>186</v>
      </c>
      <c r="L188" s="7"/>
      <c r="M188" s="7"/>
      <c r="N188" s="7"/>
      <c r="O188" s="7"/>
      <c r="P188" s="7"/>
      <c r="Q188" s="69" t="e">
        <f t="shared" ref="Q188:Q207" si="28">M188/L188</f>
        <v>#DIV/0!</v>
      </c>
      <c r="R188" s="69" t="e">
        <f t="shared" ref="R188:R207" si="29">N188/M188</f>
        <v>#DIV/0!</v>
      </c>
      <c r="S188" s="7"/>
      <c r="T188" s="7"/>
      <c r="U188" s="7"/>
      <c r="V188" s="7"/>
      <c r="W188" s="7"/>
      <c r="Y188" s="7">
        <v>895</v>
      </c>
      <c r="Z188" s="7">
        <v>204</v>
      </c>
      <c r="AA188" s="7">
        <v>42</v>
      </c>
    </row>
    <row r="189" spans="1:27">
      <c r="A189" s="6">
        <v>46146</v>
      </c>
      <c r="B189" s="7" t="s">
        <v>301</v>
      </c>
      <c r="C189" s="18" t="s">
        <v>600</v>
      </c>
      <c r="D189" s="18" t="s">
        <v>602</v>
      </c>
      <c r="E189" s="18" t="s">
        <v>28</v>
      </c>
      <c r="F189" s="18" t="s">
        <v>601</v>
      </c>
      <c r="G189" s="18" t="s">
        <v>85</v>
      </c>
      <c r="H189" s="18" t="s">
        <v>186</v>
      </c>
      <c r="I189" s="29"/>
      <c r="J189" s="18" t="s">
        <v>28</v>
      </c>
      <c r="K189" s="18" t="s">
        <v>186</v>
      </c>
      <c r="L189" s="7"/>
      <c r="M189" s="7"/>
      <c r="N189" s="7"/>
      <c r="O189" s="7"/>
      <c r="P189" s="7"/>
      <c r="Q189" s="69" t="e">
        <f t="shared" si="28"/>
        <v>#DIV/0!</v>
      </c>
      <c r="R189" s="69" t="e">
        <f t="shared" si="29"/>
        <v>#DIV/0!</v>
      </c>
      <c r="S189" s="7"/>
      <c r="T189" s="7"/>
      <c r="U189" s="7"/>
      <c r="V189" s="7"/>
      <c r="W189" s="7"/>
      <c r="Y189" s="7">
        <v>1247</v>
      </c>
      <c r="Z189" s="7">
        <v>114</v>
      </c>
      <c r="AA189" s="7">
        <v>21</v>
      </c>
    </row>
    <row r="190" spans="1:27">
      <c r="A190" s="6">
        <v>46146</v>
      </c>
      <c r="B190" s="7" t="s">
        <v>301</v>
      </c>
      <c r="C190" s="18" t="s">
        <v>347</v>
      </c>
      <c r="D190" s="18" t="s">
        <v>352</v>
      </c>
      <c r="E190" s="18" t="s">
        <v>28</v>
      </c>
      <c r="F190" s="18" t="s">
        <v>353</v>
      </c>
      <c r="G190" s="18" t="s">
        <v>85</v>
      </c>
      <c r="H190" s="18" t="s">
        <v>186</v>
      </c>
      <c r="I190" s="47"/>
      <c r="J190" s="18" t="s">
        <v>28</v>
      </c>
      <c r="K190" s="18" t="s">
        <v>186</v>
      </c>
      <c r="L190" s="7"/>
      <c r="M190" s="7"/>
      <c r="N190" s="7"/>
      <c r="O190" s="7"/>
      <c r="P190" s="7"/>
      <c r="Q190" s="69" t="e">
        <f t="shared" si="28"/>
        <v>#DIV/0!</v>
      </c>
      <c r="R190" s="69" t="e">
        <f t="shared" si="29"/>
        <v>#DIV/0!</v>
      </c>
      <c r="S190" s="7"/>
      <c r="T190" s="7"/>
      <c r="U190" s="7"/>
      <c r="V190" s="7"/>
      <c r="W190" s="7"/>
      <c r="Y190" s="7">
        <v>1296</v>
      </c>
      <c r="Z190" s="7">
        <v>327</v>
      </c>
      <c r="AA190" s="7">
        <v>84</v>
      </c>
    </row>
    <row r="191" spans="1:27">
      <c r="A191" s="6">
        <v>46146</v>
      </c>
      <c r="B191" s="7" t="s">
        <v>301</v>
      </c>
      <c r="C191" s="18" t="s">
        <v>599</v>
      </c>
      <c r="D191" s="18" t="s">
        <v>507</v>
      </c>
      <c r="E191" s="18" t="s">
        <v>28</v>
      </c>
      <c r="F191" s="18" t="s">
        <v>506</v>
      </c>
      <c r="G191" s="18" t="s">
        <v>85</v>
      </c>
      <c r="H191" s="18" t="s">
        <v>106</v>
      </c>
      <c r="I191" s="47"/>
      <c r="J191" s="18" t="s">
        <v>28</v>
      </c>
      <c r="K191" s="18" t="s">
        <v>106</v>
      </c>
      <c r="L191" s="7"/>
      <c r="M191" s="7"/>
      <c r="N191" s="7"/>
      <c r="O191" s="7"/>
      <c r="P191" s="7"/>
      <c r="Q191" s="69" t="e">
        <f t="shared" si="28"/>
        <v>#DIV/0!</v>
      </c>
      <c r="R191" s="69" t="e">
        <f t="shared" si="29"/>
        <v>#DIV/0!</v>
      </c>
      <c r="S191" s="7"/>
      <c r="T191" s="7"/>
      <c r="U191" s="7"/>
      <c r="V191" s="7"/>
      <c r="W191" s="7"/>
      <c r="Y191" s="7">
        <f>SUM(Y188:Y190)</f>
        <v>3438</v>
      </c>
      <c r="Z191" s="7">
        <f>SUM(Z188:Z190)</f>
        <v>645</v>
      </c>
      <c r="AA191" s="7">
        <f>SUM(AA188:AA190)</f>
        <v>147</v>
      </c>
    </row>
    <row r="192" spans="1:27">
      <c r="A192" s="6">
        <v>46146</v>
      </c>
      <c r="B192" s="7" t="s">
        <v>301</v>
      </c>
      <c r="C192" s="18" t="s">
        <v>600</v>
      </c>
      <c r="D192" s="18" t="s">
        <v>602</v>
      </c>
      <c r="E192" s="18" t="s">
        <v>28</v>
      </c>
      <c r="F192" s="18" t="s">
        <v>601</v>
      </c>
      <c r="G192" s="18" t="s">
        <v>85</v>
      </c>
      <c r="H192" s="18" t="s">
        <v>106</v>
      </c>
      <c r="I192" s="29"/>
      <c r="J192" s="18" t="s">
        <v>28</v>
      </c>
      <c r="K192" s="18" t="s">
        <v>106</v>
      </c>
      <c r="L192" s="7"/>
      <c r="M192" s="7"/>
      <c r="N192" s="7"/>
      <c r="O192" s="7"/>
      <c r="P192" s="7"/>
      <c r="Q192" s="69" t="e">
        <f t="shared" si="28"/>
        <v>#DIV/0!</v>
      </c>
      <c r="R192" s="69" t="e">
        <f t="shared" si="29"/>
        <v>#DIV/0!</v>
      </c>
      <c r="S192" s="7"/>
      <c r="T192" s="7"/>
      <c r="U192" s="7"/>
      <c r="V192" s="7"/>
      <c r="W192" s="7"/>
      <c r="Y192" s="7"/>
      <c r="Z192" s="7"/>
      <c r="AA192" s="7"/>
    </row>
    <row r="193" spans="1:27">
      <c r="A193" s="6">
        <v>46146</v>
      </c>
      <c r="B193" s="7" t="s">
        <v>301</v>
      </c>
      <c r="C193" s="18" t="s">
        <v>596</v>
      </c>
      <c r="D193" s="18" t="s">
        <v>1501</v>
      </c>
      <c r="E193" s="18" t="s">
        <v>28</v>
      </c>
      <c r="F193" s="21" t="s">
        <v>1500</v>
      </c>
      <c r="G193" s="18"/>
      <c r="H193" s="21" t="s">
        <v>1047</v>
      </c>
      <c r="I193" s="182" t="s">
        <v>1132</v>
      </c>
      <c r="J193" s="18" t="s">
        <v>28</v>
      </c>
      <c r="K193" s="21" t="s">
        <v>1047</v>
      </c>
      <c r="L193" s="7"/>
      <c r="M193" s="7"/>
      <c r="N193" s="7"/>
      <c r="O193" s="7"/>
      <c r="P193" s="7"/>
      <c r="Q193" s="69" t="e">
        <f t="shared" si="28"/>
        <v>#DIV/0!</v>
      </c>
      <c r="R193" s="69" t="e">
        <f t="shared" si="29"/>
        <v>#DIV/0!</v>
      </c>
      <c r="S193" s="7"/>
      <c r="T193" s="7"/>
      <c r="U193" s="7"/>
      <c r="V193" s="7"/>
      <c r="W193" s="7"/>
      <c r="Y193" s="7"/>
      <c r="Z193" s="7"/>
      <c r="AA193" s="7"/>
    </row>
    <row r="194" spans="1:27">
      <c r="A194" s="6">
        <v>46146</v>
      </c>
      <c r="B194" s="7" t="s">
        <v>301</v>
      </c>
      <c r="C194" s="18"/>
      <c r="D194" s="18" t="s">
        <v>1502</v>
      </c>
      <c r="E194" s="18" t="s">
        <v>28</v>
      </c>
      <c r="F194" s="21" t="s">
        <v>1500</v>
      </c>
      <c r="G194" s="18"/>
      <c r="H194" s="21" t="s">
        <v>1049</v>
      </c>
      <c r="I194" s="182" t="s">
        <v>1133</v>
      </c>
      <c r="J194" s="18" t="s">
        <v>28</v>
      </c>
      <c r="K194" s="21" t="s">
        <v>1049</v>
      </c>
      <c r="L194" s="7"/>
      <c r="M194" s="7"/>
      <c r="N194" s="7"/>
      <c r="O194" s="7"/>
      <c r="P194" s="7"/>
      <c r="Q194" s="69" t="e">
        <f t="shared" si="28"/>
        <v>#DIV/0!</v>
      </c>
      <c r="R194" s="69" t="e">
        <f t="shared" si="29"/>
        <v>#DIV/0!</v>
      </c>
      <c r="S194" s="7"/>
      <c r="T194" s="7"/>
      <c r="U194" s="7"/>
      <c r="V194" s="7"/>
      <c r="W194" s="7"/>
    </row>
    <row r="195" spans="1:27">
      <c r="A195" s="6">
        <v>46146</v>
      </c>
      <c r="B195" s="7" t="s">
        <v>301</v>
      </c>
      <c r="C195" s="62"/>
      <c r="D195" s="77" t="s">
        <v>1530</v>
      </c>
      <c r="E195" s="7" t="s">
        <v>28</v>
      </c>
      <c r="F195" s="77" t="s">
        <v>713</v>
      </c>
      <c r="G195" s="7" t="s">
        <v>85</v>
      </c>
      <c r="H195" s="77" t="s">
        <v>684</v>
      </c>
      <c r="I195" s="47"/>
      <c r="J195" s="7" t="s">
        <v>28</v>
      </c>
      <c r="K195" s="77" t="s">
        <v>684</v>
      </c>
      <c r="L195" s="7"/>
      <c r="M195" s="7"/>
      <c r="N195" s="7"/>
      <c r="O195" s="7"/>
      <c r="P195" s="7"/>
      <c r="Q195" s="69" t="e">
        <f t="shared" si="28"/>
        <v>#DIV/0!</v>
      </c>
      <c r="R195" s="69" t="e">
        <f t="shared" si="29"/>
        <v>#DIV/0!</v>
      </c>
      <c r="S195" s="7"/>
      <c r="T195" s="7"/>
      <c r="U195" s="7"/>
      <c r="V195" s="7"/>
      <c r="W195" s="7"/>
    </row>
    <row r="196" spans="1:27">
      <c r="A196" s="6">
        <v>46146</v>
      </c>
      <c r="B196" s="7" t="s">
        <v>301</v>
      </c>
      <c r="C196" s="62"/>
      <c r="D196" s="77" t="s">
        <v>1531</v>
      </c>
      <c r="E196" s="7" t="s">
        <v>28</v>
      </c>
      <c r="F196" s="77" t="s">
        <v>713</v>
      </c>
      <c r="G196" s="7"/>
      <c r="H196" s="77" t="s">
        <v>684</v>
      </c>
      <c r="I196" s="47"/>
      <c r="J196" s="7" t="s">
        <v>28</v>
      </c>
      <c r="K196" s="77" t="s">
        <v>1000</v>
      </c>
      <c r="L196" s="7"/>
      <c r="M196" s="7"/>
      <c r="N196" s="7"/>
      <c r="O196" s="7"/>
      <c r="P196" s="7"/>
      <c r="Q196" s="69" t="e">
        <f t="shared" si="28"/>
        <v>#DIV/0!</v>
      </c>
      <c r="R196" s="69" t="e">
        <f t="shared" si="29"/>
        <v>#DIV/0!</v>
      </c>
      <c r="S196" s="7"/>
      <c r="T196" s="7"/>
      <c r="U196" s="7"/>
      <c r="V196" s="7"/>
      <c r="W196" s="7"/>
    </row>
    <row r="197" spans="1:27">
      <c r="A197" s="6">
        <v>46146</v>
      </c>
      <c r="B197" s="7" t="s">
        <v>301</v>
      </c>
      <c r="C197" s="62"/>
      <c r="D197" s="77" t="s">
        <v>1532</v>
      </c>
      <c r="E197" s="7" t="s">
        <v>28</v>
      </c>
      <c r="F197" s="77" t="s">
        <v>713</v>
      </c>
      <c r="G197" s="7" t="s">
        <v>85</v>
      </c>
      <c r="H197" s="77" t="s">
        <v>1000</v>
      </c>
      <c r="I197" s="47"/>
      <c r="J197" s="7" t="s">
        <v>28</v>
      </c>
      <c r="K197" s="77" t="s">
        <v>684</v>
      </c>
      <c r="L197" s="7"/>
      <c r="M197" s="7"/>
      <c r="N197" s="7"/>
      <c r="O197" s="7"/>
      <c r="P197" s="7"/>
      <c r="Q197" s="69" t="e">
        <f t="shared" si="28"/>
        <v>#DIV/0!</v>
      </c>
      <c r="R197" s="69" t="e">
        <f t="shared" si="29"/>
        <v>#DIV/0!</v>
      </c>
      <c r="S197" s="7"/>
      <c r="T197" s="7"/>
      <c r="U197" s="7"/>
      <c r="V197" s="7"/>
      <c r="W197" s="7"/>
    </row>
    <row r="198" spans="1:27">
      <c r="A198" s="6">
        <v>46146</v>
      </c>
      <c r="B198" s="7" t="s">
        <v>301</v>
      </c>
      <c r="C198" s="62"/>
      <c r="D198" s="77" t="s">
        <v>1533</v>
      </c>
      <c r="E198" s="7" t="s">
        <v>28</v>
      </c>
      <c r="F198" s="77" t="s">
        <v>713</v>
      </c>
      <c r="G198" s="7"/>
      <c r="H198" s="77" t="s">
        <v>1000</v>
      </c>
      <c r="I198" s="47"/>
      <c r="J198" s="7" t="s">
        <v>28</v>
      </c>
      <c r="K198" s="77" t="s">
        <v>1000</v>
      </c>
      <c r="L198" s="7"/>
      <c r="M198" s="7"/>
      <c r="N198" s="7"/>
      <c r="O198" s="7"/>
      <c r="P198" s="7"/>
      <c r="Q198" s="69" t="e">
        <f t="shared" si="28"/>
        <v>#DIV/0!</v>
      </c>
      <c r="R198" s="69" t="e">
        <f t="shared" si="29"/>
        <v>#DIV/0!</v>
      </c>
      <c r="S198" s="7"/>
      <c r="T198" s="7"/>
      <c r="U198" s="7"/>
      <c r="V198" s="7"/>
      <c r="W198" s="7"/>
    </row>
    <row r="199" spans="1:27">
      <c r="A199" s="6">
        <v>46146</v>
      </c>
      <c r="B199" s="7" t="s">
        <v>301</v>
      </c>
      <c r="C199" s="62"/>
      <c r="D199" s="77" t="s">
        <v>1534</v>
      </c>
      <c r="E199" s="7"/>
      <c r="F199" s="77"/>
      <c r="G199" s="7"/>
      <c r="H199" s="77" t="s">
        <v>1000</v>
      </c>
      <c r="I199" s="47"/>
      <c r="J199" s="7" t="s">
        <v>28</v>
      </c>
      <c r="K199" s="77" t="s">
        <v>1000</v>
      </c>
      <c r="L199" s="7"/>
      <c r="M199" s="7"/>
      <c r="N199" s="7"/>
      <c r="O199" s="7"/>
      <c r="P199" s="7"/>
      <c r="Q199" s="69" t="e">
        <f t="shared" si="28"/>
        <v>#DIV/0!</v>
      </c>
      <c r="R199" s="69" t="e">
        <f t="shared" si="29"/>
        <v>#DIV/0!</v>
      </c>
      <c r="S199" s="7"/>
      <c r="T199" s="7"/>
      <c r="U199" s="7"/>
      <c r="V199" s="7"/>
      <c r="W199" s="7"/>
    </row>
    <row r="200" spans="1:27">
      <c r="A200" s="6">
        <v>46146</v>
      </c>
      <c r="B200" s="7" t="s">
        <v>301</v>
      </c>
      <c r="C200" s="62"/>
      <c r="D200" s="77" t="s">
        <v>1535</v>
      </c>
      <c r="E200" s="7"/>
      <c r="F200" s="77"/>
      <c r="G200" s="7"/>
      <c r="H200" s="77" t="s">
        <v>1000</v>
      </c>
      <c r="I200" s="47"/>
      <c r="J200" s="7" t="s">
        <v>28</v>
      </c>
      <c r="K200" s="77" t="s">
        <v>1000</v>
      </c>
      <c r="L200" s="7"/>
      <c r="M200" s="7"/>
      <c r="N200" s="7"/>
      <c r="O200" s="7"/>
      <c r="P200" s="7"/>
      <c r="Q200" s="69" t="e">
        <f t="shared" si="28"/>
        <v>#DIV/0!</v>
      </c>
      <c r="R200" s="69" t="e">
        <f t="shared" si="29"/>
        <v>#DIV/0!</v>
      </c>
      <c r="S200" s="7"/>
      <c r="T200" s="7"/>
      <c r="U200" s="7"/>
      <c r="V200" s="7"/>
      <c r="W200" s="7"/>
    </row>
    <row r="201" spans="1:27">
      <c r="A201" s="6">
        <v>46146</v>
      </c>
      <c r="B201" s="7" t="s">
        <v>301</v>
      </c>
      <c r="C201" s="62"/>
      <c r="D201" s="77" t="s">
        <v>1536</v>
      </c>
      <c r="E201" s="7"/>
      <c r="F201" s="77"/>
      <c r="G201" s="7"/>
      <c r="H201" s="77" t="s">
        <v>1000</v>
      </c>
      <c r="I201" s="47"/>
      <c r="J201" s="7" t="s">
        <v>28</v>
      </c>
      <c r="K201" s="77" t="s">
        <v>1000</v>
      </c>
      <c r="L201" s="7"/>
      <c r="M201" s="7"/>
      <c r="N201" s="7"/>
      <c r="O201" s="7"/>
      <c r="P201" s="7"/>
      <c r="Q201" s="69" t="e">
        <f t="shared" si="28"/>
        <v>#DIV/0!</v>
      </c>
      <c r="R201" s="69" t="e">
        <f t="shared" si="29"/>
        <v>#DIV/0!</v>
      </c>
      <c r="S201" s="7"/>
      <c r="T201" s="7"/>
      <c r="U201" s="7"/>
      <c r="V201" s="7"/>
      <c r="W201" s="7"/>
    </row>
    <row r="202" spans="1:27">
      <c r="A202" s="6">
        <v>46146</v>
      </c>
      <c r="B202" s="7" t="s">
        <v>301</v>
      </c>
      <c r="C202" s="62" t="s">
        <v>1558</v>
      </c>
      <c r="D202" s="88" t="s">
        <v>1564</v>
      </c>
      <c r="E202" s="88" t="s">
        <v>28</v>
      </c>
      <c r="F202" t="s">
        <v>1556</v>
      </c>
      <c r="G202" s="7" t="s">
        <v>85</v>
      </c>
      <c r="H202" s="7" t="s">
        <v>121</v>
      </c>
      <c r="I202" s="29" t="s">
        <v>209</v>
      </c>
      <c r="J202" s="7" t="s">
        <v>28</v>
      </c>
      <c r="K202" s="7" t="s">
        <v>121</v>
      </c>
      <c r="L202" s="7"/>
      <c r="M202" s="7"/>
      <c r="N202" s="7"/>
      <c r="O202" s="7"/>
      <c r="P202" s="7"/>
      <c r="Q202" s="69" t="e">
        <f t="shared" ref="Q202" si="30">M202/L202</f>
        <v>#DIV/0!</v>
      </c>
      <c r="R202" s="69" t="e">
        <f t="shared" ref="R202" si="31">N202/M202</f>
        <v>#DIV/0!</v>
      </c>
      <c r="S202" s="7"/>
      <c r="T202" s="7"/>
      <c r="U202" s="7"/>
      <c r="V202" s="7"/>
      <c r="W202" s="7"/>
    </row>
    <row r="203" spans="1:27">
      <c r="A203" s="6">
        <v>46146</v>
      </c>
      <c r="B203" s="7" t="s">
        <v>301</v>
      </c>
      <c r="C203" s="62">
        <v>0.85416666666666663</v>
      </c>
      <c r="D203" s="7" t="s">
        <v>1561</v>
      </c>
      <c r="E203" s="7" t="s">
        <v>28</v>
      </c>
      <c r="F203" s="7" t="s">
        <v>361</v>
      </c>
      <c r="G203" s="7" t="s">
        <v>85</v>
      </c>
      <c r="H203" s="7" t="s">
        <v>210</v>
      </c>
      <c r="I203" s="29" t="s">
        <v>1495</v>
      </c>
      <c r="J203" s="7" t="s">
        <v>28</v>
      </c>
      <c r="K203" s="7" t="s">
        <v>210</v>
      </c>
      <c r="L203" s="7"/>
      <c r="M203" s="7"/>
      <c r="N203" s="7"/>
      <c r="O203" s="7"/>
      <c r="P203" s="7"/>
      <c r="Q203" s="69" t="e">
        <f t="shared" ref="Q203" si="32">M203/L203</f>
        <v>#DIV/0!</v>
      </c>
      <c r="R203" s="69" t="e">
        <f t="shared" ref="R203" si="33">N203/M203</f>
        <v>#DIV/0!</v>
      </c>
      <c r="S203" s="7"/>
      <c r="T203" s="7"/>
      <c r="U203" s="7"/>
      <c r="V203" s="7"/>
      <c r="W203" s="7"/>
    </row>
    <row r="204" spans="1:27">
      <c r="A204" s="6">
        <v>46146</v>
      </c>
      <c r="B204" s="7" t="s">
        <v>301</v>
      </c>
      <c r="C204" s="62">
        <v>0.85416666666666663</v>
      </c>
      <c r="D204" s="88" t="s">
        <v>1559</v>
      </c>
      <c r="E204" s="88" t="s">
        <v>28</v>
      </c>
      <c r="F204" t="s">
        <v>1560</v>
      </c>
      <c r="G204" s="7" t="s">
        <v>85</v>
      </c>
      <c r="H204" s="7" t="s">
        <v>210</v>
      </c>
      <c r="I204" s="29" t="s">
        <v>209</v>
      </c>
      <c r="J204" s="7" t="s">
        <v>28</v>
      </c>
      <c r="K204" s="7" t="s">
        <v>210</v>
      </c>
      <c r="L204" s="7"/>
      <c r="M204" s="7"/>
      <c r="N204" s="7"/>
      <c r="O204" s="7"/>
      <c r="P204" s="7"/>
      <c r="Q204" s="69" t="e">
        <f t="shared" si="28"/>
        <v>#DIV/0!</v>
      </c>
      <c r="R204" s="69" t="e">
        <f t="shared" si="29"/>
        <v>#DIV/0!</v>
      </c>
      <c r="S204" s="7"/>
      <c r="T204" s="7"/>
      <c r="U204" s="7"/>
      <c r="V204" s="7"/>
      <c r="W204" s="7"/>
    </row>
    <row r="205" spans="1:27" ht="16.8">
      <c r="A205" s="6">
        <v>46146</v>
      </c>
      <c r="B205" s="7" t="s">
        <v>301</v>
      </c>
      <c r="C205" s="62">
        <v>0.89583333333333337</v>
      </c>
      <c r="D205" s="77" t="s">
        <v>1562</v>
      </c>
      <c r="E205" s="77" t="s">
        <v>28</v>
      </c>
      <c r="F205" s="77" t="s">
        <v>440</v>
      </c>
      <c r="G205" s="7" t="s">
        <v>85</v>
      </c>
      <c r="H205" s="52" t="s">
        <v>157</v>
      </c>
      <c r="I205" s="29" t="s">
        <v>1491</v>
      </c>
      <c r="J205" s="7" t="s">
        <v>28</v>
      </c>
      <c r="K205" s="52" t="s">
        <v>157</v>
      </c>
      <c r="L205" s="7"/>
      <c r="M205" s="7"/>
      <c r="N205" s="7"/>
      <c r="O205" s="7"/>
      <c r="P205" s="7"/>
      <c r="Q205" s="69" t="e">
        <f t="shared" ref="Q205" si="34">M205/L205</f>
        <v>#DIV/0!</v>
      </c>
      <c r="R205" s="69" t="e">
        <f t="shared" ref="R205" si="35">N205/M205</f>
        <v>#DIV/0!</v>
      </c>
      <c r="S205" s="7"/>
      <c r="T205" s="7"/>
      <c r="U205" s="7"/>
      <c r="V205" s="7"/>
      <c r="W205" s="7"/>
    </row>
    <row r="206" spans="1:27" ht="16.8">
      <c r="A206" s="6">
        <v>46146</v>
      </c>
      <c r="B206" s="7" t="s">
        <v>301</v>
      </c>
      <c r="C206" s="62">
        <v>0.89583333333333337</v>
      </c>
      <c r="D206" s="77" t="s">
        <v>1563</v>
      </c>
      <c r="E206" s="77" t="s">
        <v>27</v>
      </c>
      <c r="F206" t="s">
        <v>726</v>
      </c>
      <c r="G206" s="7" t="s">
        <v>85</v>
      </c>
      <c r="H206" s="52" t="s">
        <v>157</v>
      </c>
      <c r="I206" s="29" t="s">
        <v>1491</v>
      </c>
      <c r="J206" s="7" t="s">
        <v>28</v>
      </c>
      <c r="K206" s="52" t="s">
        <v>157</v>
      </c>
      <c r="L206" s="7"/>
      <c r="M206" s="7"/>
      <c r="N206" s="7"/>
      <c r="O206" s="7"/>
      <c r="P206" s="7"/>
      <c r="Q206" s="69" t="e">
        <f t="shared" si="28"/>
        <v>#DIV/0!</v>
      </c>
      <c r="R206" s="69" t="e">
        <f t="shared" si="29"/>
        <v>#DIV/0!</v>
      </c>
      <c r="S206" s="7"/>
      <c r="T206" s="7"/>
      <c r="U206" s="7"/>
      <c r="V206" s="7"/>
      <c r="W206" s="7"/>
    </row>
    <row r="207" spans="1:27">
      <c r="A207" s="6">
        <v>46146</v>
      </c>
      <c r="B207" s="7" t="s">
        <v>301</v>
      </c>
      <c r="C207" s="62" t="s">
        <v>719</v>
      </c>
      <c r="D207" s="88" t="s">
        <v>1557</v>
      </c>
      <c r="E207" s="88" t="s">
        <v>28</v>
      </c>
      <c r="F207" t="s">
        <v>1556</v>
      </c>
      <c r="G207" s="77" t="s">
        <v>85</v>
      </c>
      <c r="H207" s="7" t="s">
        <v>149</v>
      </c>
      <c r="I207" s="29" t="s">
        <v>1491</v>
      </c>
      <c r="J207" s="7" t="s">
        <v>28</v>
      </c>
      <c r="K207" s="7" t="s">
        <v>149</v>
      </c>
      <c r="L207" s="7"/>
      <c r="M207" s="7"/>
      <c r="N207" s="7"/>
      <c r="O207" s="7"/>
      <c r="P207" s="7"/>
      <c r="Q207" s="69" t="e">
        <f t="shared" si="28"/>
        <v>#DIV/0!</v>
      </c>
      <c r="R207" s="69" t="e">
        <f t="shared" si="29"/>
        <v>#DIV/0!</v>
      </c>
      <c r="S207" s="7"/>
      <c r="T207" s="7"/>
      <c r="U207" s="7"/>
      <c r="V207" s="7"/>
      <c r="W207" s="7"/>
    </row>
    <row r="208" spans="1:27" ht="6.6" customHeight="1">
      <c r="A208" s="22"/>
      <c r="B208" s="23"/>
      <c r="C208" s="24"/>
      <c r="D208" s="183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5"/>
      <c r="R208" s="25"/>
      <c r="S208" s="24"/>
      <c r="T208" s="24"/>
      <c r="U208" s="24"/>
      <c r="V208" s="25"/>
      <c r="W208" s="26"/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7E814-CD00-4553-AEBF-C8891F3543DF}">
  <dimension ref="A1:AA208"/>
  <sheetViews>
    <sheetView topLeftCell="G191" workbookViewId="0">
      <selection activeCell="I210" sqref="I210:K217"/>
    </sheetView>
  </sheetViews>
  <sheetFormatPr defaultRowHeight="14.4"/>
  <cols>
    <col min="1" max="1" width="10.33203125" bestFit="1" customWidth="1"/>
    <col min="2" max="2" width="10.44140625" bestFit="1" customWidth="1"/>
    <col min="3" max="3" width="10" bestFit="1" customWidth="1"/>
    <col min="4" max="4" width="46" bestFit="1" customWidth="1"/>
    <col min="5" max="5" width="12.77734375" bestFit="1" customWidth="1"/>
    <col min="6" max="6" width="85.6640625" bestFit="1" customWidth="1"/>
    <col min="7" max="7" width="3.88671875" bestFit="1" customWidth="1"/>
    <col min="8" max="8" width="29" bestFit="1" customWidth="1"/>
    <col min="9" max="9" width="34.88671875" bestFit="1" customWidth="1"/>
    <col min="10" max="10" width="12.77734375" bestFit="1" customWidth="1"/>
    <col min="11" max="11" width="29" bestFit="1" customWidth="1"/>
    <col min="12" max="12" width="5.6640625" bestFit="1" customWidth="1"/>
    <col min="13" max="14" width="5.33203125" bestFit="1" customWidth="1"/>
    <col min="15" max="15" width="6" bestFit="1" customWidth="1"/>
    <col min="16" max="16" width="7.6640625" bestFit="1" customWidth="1"/>
    <col min="17" max="18" width="8" bestFit="1" customWidth="1"/>
    <col min="19" max="19" width="4.88671875" bestFit="1" customWidth="1"/>
    <col min="20" max="20" width="7.6640625" bestFit="1" customWidth="1"/>
    <col min="21" max="21" width="8" bestFit="1" customWidth="1"/>
    <col min="22" max="22" width="5" bestFit="1" customWidth="1"/>
    <col min="23" max="23" width="5.5546875" bestFit="1" customWidth="1"/>
  </cols>
  <sheetData>
    <row r="1" spans="1:23" ht="17.399999999999999" customHeight="1">
      <c r="A1" s="1" t="s">
        <v>0</v>
      </c>
      <c r="B1" s="1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11</v>
      </c>
      <c r="K1" s="2" t="s">
        <v>12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3" t="s">
        <v>19</v>
      </c>
      <c r="R1" s="3" t="s">
        <v>20</v>
      </c>
      <c r="S1" s="2" t="s">
        <v>21</v>
      </c>
      <c r="T1" s="2" t="s">
        <v>22</v>
      </c>
      <c r="U1" s="2" t="s">
        <v>23</v>
      </c>
      <c r="V1" s="3" t="s">
        <v>24</v>
      </c>
      <c r="W1" s="3" t="s">
        <v>25</v>
      </c>
    </row>
    <row r="2" spans="1:23">
      <c r="A2" s="6">
        <v>46132</v>
      </c>
      <c r="B2" s="7" t="s">
        <v>301</v>
      </c>
      <c r="C2" s="18" t="s">
        <v>308</v>
      </c>
      <c r="D2" s="18" t="s">
        <v>310</v>
      </c>
      <c r="E2" s="18" t="s">
        <v>309</v>
      </c>
      <c r="F2" s="18" t="s">
        <v>311</v>
      </c>
      <c r="G2" s="18" t="s">
        <v>85</v>
      </c>
      <c r="H2" s="18" t="s">
        <v>186</v>
      </c>
      <c r="I2" s="67"/>
      <c r="J2" s="18" t="s">
        <v>309</v>
      </c>
      <c r="K2" s="68" t="s">
        <v>86</v>
      </c>
      <c r="L2" s="7">
        <v>22</v>
      </c>
      <c r="M2" s="7">
        <v>5</v>
      </c>
      <c r="N2" s="7">
        <v>1</v>
      </c>
      <c r="O2" s="7">
        <v>0</v>
      </c>
      <c r="P2" s="7">
        <v>0</v>
      </c>
      <c r="Q2" s="69">
        <f>M2/L2</f>
        <v>0.22727272727272727</v>
      </c>
      <c r="R2" s="69">
        <f>N2/M2</f>
        <v>0.2</v>
      </c>
      <c r="S2" s="7"/>
      <c r="T2" s="7"/>
      <c r="U2" s="7"/>
      <c r="V2" s="7"/>
      <c r="W2" s="7"/>
    </row>
    <row r="3" spans="1:23" ht="6.6" customHeight="1">
      <c r="A3" s="22"/>
      <c r="B3" s="23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5"/>
      <c r="R3" s="25"/>
      <c r="S3" s="24"/>
      <c r="T3" s="24"/>
      <c r="U3" s="24"/>
      <c r="V3" s="25"/>
      <c r="W3" s="26"/>
    </row>
    <row r="4" spans="1:23">
      <c r="A4" s="6">
        <v>46133</v>
      </c>
      <c r="B4" s="7" t="s">
        <v>316</v>
      </c>
      <c r="C4" s="18" t="s">
        <v>308</v>
      </c>
      <c r="D4" s="18" t="s">
        <v>310</v>
      </c>
      <c r="E4" s="18" t="s">
        <v>309</v>
      </c>
      <c r="F4" s="18" t="s">
        <v>311</v>
      </c>
      <c r="G4" s="18" t="s">
        <v>85</v>
      </c>
      <c r="H4" s="18" t="s">
        <v>186</v>
      </c>
      <c r="I4" s="67"/>
      <c r="J4" s="18" t="s">
        <v>309</v>
      </c>
      <c r="K4" s="68" t="s">
        <v>86</v>
      </c>
      <c r="L4" s="7">
        <v>59</v>
      </c>
      <c r="M4" s="7">
        <v>1</v>
      </c>
      <c r="N4" s="7">
        <v>1</v>
      </c>
      <c r="O4" s="7">
        <v>0</v>
      </c>
      <c r="P4" s="7">
        <v>0</v>
      </c>
      <c r="Q4" s="69">
        <f>M4/L4</f>
        <v>1.6949152542372881E-2</v>
      </c>
      <c r="R4" s="69">
        <f>N4/M4</f>
        <v>1</v>
      </c>
      <c r="S4" s="7"/>
      <c r="T4" s="7"/>
      <c r="U4" s="7"/>
      <c r="V4" s="7"/>
      <c r="W4" s="7"/>
    </row>
    <row r="5" spans="1:23">
      <c r="A5" s="6">
        <v>46133</v>
      </c>
      <c r="B5" s="7" t="s">
        <v>316</v>
      </c>
      <c r="C5" s="18"/>
      <c r="D5" s="18" t="s">
        <v>354</v>
      </c>
      <c r="E5" s="18" t="s">
        <v>309</v>
      </c>
      <c r="F5" s="18" t="s">
        <v>355</v>
      </c>
      <c r="G5" s="18" t="s">
        <v>85</v>
      </c>
      <c r="H5" s="18" t="s">
        <v>313</v>
      </c>
      <c r="I5" s="78" t="s">
        <v>313</v>
      </c>
      <c r="J5" s="18" t="s">
        <v>309</v>
      </c>
      <c r="K5" s="68" t="s">
        <v>86</v>
      </c>
      <c r="L5" s="7"/>
      <c r="M5" s="7"/>
      <c r="N5" s="7"/>
      <c r="O5" s="7"/>
      <c r="P5" s="7"/>
      <c r="Q5" s="69" t="e">
        <f t="shared" ref="Q5" si="0">M5/L5</f>
        <v>#DIV/0!</v>
      </c>
      <c r="R5" s="69" t="e">
        <f t="shared" ref="R5" si="1">N5/M5</f>
        <v>#DIV/0!</v>
      </c>
      <c r="S5" s="7"/>
      <c r="T5" s="7"/>
      <c r="U5" s="7"/>
      <c r="V5" s="7"/>
      <c r="W5" s="7"/>
    </row>
    <row r="6" spans="1:23">
      <c r="A6" s="6">
        <v>46133</v>
      </c>
      <c r="B6" s="7" t="s">
        <v>316</v>
      </c>
      <c r="C6" s="13">
        <v>0.33333333333333331</v>
      </c>
      <c r="D6" s="77" t="s">
        <v>378</v>
      </c>
      <c r="E6" s="77" t="s">
        <v>309</v>
      </c>
      <c r="F6" s="77" t="s">
        <v>379</v>
      </c>
      <c r="G6" s="77" t="s">
        <v>85</v>
      </c>
      <c r="H6" s="77" t="s">
        <v>380</v>
      </c>
      <c r="I6" s="67" t="s">
        <v>314</v>
      </c>
      <c r="J6" s="7" t="s">
        <v>309</v>
      </c>
      <c r="K6" s="50" t="s">
        <v>86</v>
      </c>
      <c r="L6" s="7">
        <v>3685</v>
      </c>
      <c r="M6" s="7">
        <v>24</v>
      </c>
      <c r="N6" s="7">
        <v>1</v>
      </c>
      <c r="O6" s="7">
        <v>1</v>
      </c>
      <c r="P6" s="7">
        <v>3</v>
      </c>
      <c r="Q6" s="69">
        <f t="shared" ref="Q6:Q7" si="2">M6/L6</f>
        <v>6.5128900949796469E-3</v>
      </c>
      <c r="R6" s="69">
        <f t="shared" ref="R6:R7" si="3">N6/M6</f>
        <v>4.1666666666666664E-2</v>
      </c>
      <c r="S6" s="7"/>
      <c r="T6" s="7"/>
      <c r="U6" s="7"/>
      <c r="V6" s="7"/>
      <c r="W6" s="7"/>
    </row>
    <row r="7" spans="1:23">
      <c r="A7" s="6">
        <v>46133</v>
      </c>
      <c r="B7" s="7" t="s">
        <v>316</v>
      </c>
      <c r="C7" s="13">
        <v>0.34375</v>
      </c>
      <c r="D7" s="77" t="s">
        <v>381</v>
      </c>
      <c r="E7" s="77" t="s">
        <v>309</v>
      </c>
      <c r="F7" s="77" t="s">
        <v>382</v>
      </c>
      <c r="G7" s="77"/>
      <c r="H7" s="77" t="s">
        <v>383</v>
      </c>
      <c r="I7" s="67" t="s">
        <v>315</v>
      </c>
      <c r="J7" s="7" t="s">
        <v>309</v>
      </c>
      <c r="K7" s="50" t="s">
        <v>86</v>
      </c>
      <c r="L7" s="7">
        <v>1656</v>
      </c>
      <c r="M7" s="7">
        <v>15</v>
      </c>
      <c r="N7" s="7">
        <v>1</v>
      </c>
      <c r="O7" s="7">
        <v>2</v>
      </c>
      <c r="P7" s="7">
        <v>0</v>
      </c>
      <c r="Q7" s="69">
        <f t="shared" si="2"/>
        <v>9.057971014492754E-3</v>
      </c>
      <c r="R7" s="69">
        <f t="shared" si="3"/>
        <v>6.6666666666666666E-2</v>
      </c>
      <c r="S7" s="7"/>
      <c r="T7" s="7"/>
      <c r="U7" s="7"/>
      <c r="V7" s="7"/>
      <c r="W7" s="7"/>
    </row>
    <row r="8" spans="1:23">
      <c r="A8" s="6">
        <v>46133</v>
      </c>
      <c r="B8" s="7" t="s">
        <v>316</v>
      </c>
      <c r="C8" s="13">
        <v>0.32291666666666669</v>
      </c>
      <c r="D8" s="7" t="s">
        <v>366</v>
      </c>
      <c r="E8" s="7" t="s">
        <v>309</v>
      </c>
      <c r="F8" s="7" t="s">
        <v>367</v>
      </c>
      <c r="G8" s="7" t="s">
        <v>85</v>
      </c>
      <c r="H8" s="7" t="s">
        <v>350</v>
      </c>
      <c r="I8" s="76" t="s">
        <v>329</v>
      </c>
      <c r="J8" s="7" t="s">
        <v>309</v>
      </c>
      <c r="K8" s="50" t="s">
        <v>86</v>
      </c>
      <c r="L8" s="7">
        <v>5433</v>
      </c>
      <c r="M8" s="7">
        <v>25</v>
      </c>
      <c r="N8" s="7">
        <v>2</v>
      </c>
      <c r="O8" s="7">
        <v>1</v>
      </c>
      <c r="P8" s="7">
        <v>5</v>
      </c>
      <c r="Q8" s="69">
        <f t="shared" ref="Q8:Q9" si="4">M8/L8</f>
        <v>4.6015092950487764E-3</v>
      </c>
      <c r="R8" s="69">
        <f t="shared" ref="R8:R9" si="5">N8/M8</f>
        <v>0.08</v>
      </c>
      <c r="S8" s="7"/>
      <c r="T8" s="7"/>
      <c r="U8" s="7"/>
      <c r="V8" s="7"/>
      <c r="W8" s="7"/>
    </row>
    <row r="9" spans="1:23">
      <c r="A9" s="6">
        <v>46133</v>
      </c>
      <c r="B9" s="7" t="s">
        <v>316</v>
      </c>
      <c r="C9" s="13">
        <v>0.38541666666666669</v>
      </c>
      <c r="D9" s="7" t="s">
        <v>368</v>
      </c>
      <c r="E9" s="7" t="s">
        <v>309</v>
      </c>
      <c r="F9" s="7" t="s">
        <v>369</v>
      </c>
      <c r="G9" s="7" t="s">
        <v>85</v>
      </c>
      <c r="H9" s="7" t="s">
        <v>351</v>
      </c>
      <c r="I9" s="76" t="s">
        <v>330</v>
      </c>
      <c r="J9" s="7" t="s">
        <v>309</v>
      </c>
      <c r="K9" s="50" t="s">
        <v>86</v>
      </c>
      <c r="L9" s="7">
        <v>3228</v>
      </c>
      <c r="M9" s="7">
        <v>13</v>
      </c>
      <c r="N9" s="7">
        <v>2</v>
      </c>
      <c r="O9" s="7">
        <v>1</v>
      </c>
      <c r="P9" s="7">
        <v>1</v>
      </c>
      <c r="Q9" s="69">
        <f t="shared" si="4"/>
        <v>4.0272614622056998E-3</v>
      </c>
      <c r="R9" s="69">
        <f t="shared" si="5"/>
        <v>0.15384615384615385</v>
      </c>
      <c r="S9" s="7"/>
      <c r="T9" s="7"/>
      <c r="U9" s="7"/>
      <c r="V9" s="7"/>
      <c r="W9" s="7"/>
    </row>
    <row r="10" spans="1:23" ht="6.6" customHeight="1">
      <c r="A10" s="22"/>
      <c r="B10" s="23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5"/>
      <c r="R10" s="25"/>
      <c r="S10" s="24"/>
      <c r="T10" s="24"/>
      <c r="U10" s="24"/>
      <c r="V10" s="25"/>
      <c r="W10" s="26"/>
    </row>
    <row r="11" spans="1:23">
      <c r="A11" s="6">
        <v>46134</v>
      </c>
      <c r="B11" s="7" t="s">
        <v>392</v>
      </c>
      <c r="C11" s="18" t="s">
        <v>308</v>
      </c>
      <c r="D11" s="18" t="s">
        <v>310</v>
      </c>
      <c r="E11" s="18" t="s">
        <v>309</v>
      </c>
      <c r="F11" s="18" t="s">
        <v>311</v>
      </c>
      <c r="G11" s="18" t="s">
        <v>85</v>
      </c>
      <c r="H11" s="18" t="s">
        <v>186</v>
      </c>
      <c r="I11" s="67"/>
      <c r="J11" s="18" t="s">
        <v>309</v>
      </c>
      <c r="K11" s="68" t="s">
        <v>86</v>
      </c>
      <c r="L11" s="7">
        <v>1254</v>
      </c>
      <c r="M11" s="7">
        <v>6</v>
      </c>
      <c r="N11" s="7">
        <v>2</v>
      </c>
      <c r="O11" s="7">
        <v>0</v>
      </c>
      <c r="P11" s="7">
        <v>1</v>
      </c>
      <c r="Q11" s="69">
        <f>M11/L11</f>
        <v>4.7846889952153108E-3</v>
      </c>
      <c r="R11" s="69">
        <f>N11/M11</f>
        <v>0.33333333333333331</v>
      </c>
      <c r="S11" s="7"/>
      <c r="T11" s="7"/>
      <c r="U11" s="7"/>
      <c r="V11" s="7"/>
      <c r="W11" s="7"/>
    </row>
    <row r="12" spans="1:23">
      <c r="A12" s="6">
        <v>46134</v>
      </c>
      <c r="B12" s="7" t="s">
        <v>392</v>
      </c>
      <c r="C12" s="18"/>
      <c r="D12" s="18" t="s">
        <v>354</v>
      </c>
      <c r="E12" s="18" t="s">
        <v>309</v>
      </c>
      <c r="F12" s="18" t="s">
        <v>355</v>
      </c>
      <c r="G12" s="18" t="s">
        <v>85</v>
      </c>
      <c r="H12" s="18" t="s">
        <v>313</v>
      </c>
      <c r="I12" s="78"/>
      <c r="J12" s="18" t="s">
        <v>309</v>
      </c>
      <c r="K12" s="68" t="s">
        <v>86</v>
      </c>
      <c r="L12" s="7"/>
      <c r="M12" s="7"/>
      <c r="N12" s="7"/>
      <c r="O12" s="7"/>
      <c r="P12" s="7"/>
      <c r="Q12" s="69" t="e">
        <f t="shared" ref="Q12:Q16" si="6">M12/L12</f>
        <v>#DIV/0!</v>
      </c>
      <c r="R12" s="69" t="e">
        <f t="shared" ref="R12:R16" si="7">N12/M12</f>
        <v>#DIV/0!</v>
      </c>
      <c r="S12" s="7"/>
      <c r="T12" s="7"/>
      <c r="U12" s="7"/>
      <c r="V12" s="7"/>
      <c r="W12" s="7"/>
    </row>
    <row r="13" spans="1:23">
      <c r="A13" s="6">
        <v>46134</v>
      </c>
      <c r="B13" s="7" t="s">
        <v>392</v>
      </c>
      <c r="C13" s="13">
        <v>0.33333333333333331</v>
      </c>
      <c r="D13" s="88" t="s">
        <v>443</v>
      </c>
      <c r="E13" s="88" t="s">
        <v>309</v>
      </c>
      <c r="F13" s="88" t="s">
        <v>444</v>
      </c>
      <c r="G13" s="88" t="s">
        <v>85</v>
      </c>
      <c r="H13" s="77" t="s">
        <v>380</v>
      </c>
      <c r="I13" s="67"/>
      <c r="J13" s="7" t="s">
        <v>309</v>
      </c>
      <c r="K13" s="50" t="s">
        <v>86</v>
      </c>
      <c r="L13" s="7">
        <v>3673</v>
      </c>
      <c r="M13" s="7">
        <v>17</v>
      </c>
      <c r="N13" s="7">
        <v>2</v>
      </c>
      <c r="O13" s="7">
        <v>0</v>
      </c>
      <c r="P13" s="7">
        <v>4</v>
      </c>
      <c r="Q13" s="69">
        <f t="shared" si="6"/>
        <v>4.6283691805063983E-3</v>
      </c>
      <c r="R13" s="69">
        <f t="shared" si="7"/>
        <v>0.11764705882352941</v>
      </c>
      <c r="S13" s="7"/>
      <c r="T13" s="7"/>
      <c r="U13" s="7"/>
      <c r="V13" s="7"/>
      <c r="W13" s="7"/>
    </row>
    <row r="14" spans="1:23">
      <c r="A14" s="6">
        <v>46134</v>
      </c>
      <c r="B14" s="7" t="s">
        <v>392</v>
      </c>
      <c r="C14" s="13">
        <v>0.34375</v>
      </c>
      <c r="D14" s="88" t="s">
        <v>445</v>
      </c>
      <c r="E14" s="88" t="s">
        <v>309</v>
      </c>
      <c r="F14" s="88" t="s">
        <v>446</v>
      </c>
      <c r="G14" s="88" t="s">
        <v>85</v>
      </c>
      <c r="H14" s="77" t="s">
        <v>383</v>
      </c>
      <c r="I14" s="67"/>
      <c r="J14" s="7" t="s">
        <v>309</v>
      </c>
      <c r="K14" s="50" t="s">
        <v>86</v>
      </c>
      <c r="L14" s="7">
        <v>1651</v>
      </c>
      <c r="M14" s="7">
        <v>7</v>
      </c>
      <c r="N14" s="7">
        <v>2</v>
      </c>
      <c r="O14" s="7">
        <v>0</v>
      </c>
      <c r="P14" s="7">
        <v>1</v>
      </c>
      <c r="Q14" s="69">
        <f t="shared" si="6"/>
        <v>4.2398546335554212E-3</v>
      </c>
      <c r="R14" s="69">
        <f t="shared" si="7"/>
        <v>0.2857142857142857</v>
      </c>
      <c r="S14" s="7"/>
      <c r="T14" s="7"/>
      <c r="U14" s="7"/>
      <c r="V14" s="7"/>
      <c r="W14" s="7"/>
    </row>
    <row r="15" spans="1:23">
      <c r="A15" s="6">
        <v>46134</v>
      </c>
      <c r="B15" s="7" t="s">
        <v>392</v>
      </c>
      <c r="C15" s="13">
        <v>0.32291666666666669</v>
      </c>
      <c r="D15" s="88" t="s">
        <v>447</v>
      </c>
      <c r="E15" s="88" t="s">
        <v>309</v>
      </c>
      <c r="F15" s="88" t="s">
        <v>448</v>
      </c>
      <c r="G15" s="88" t="s">
        <v>85</v>
      </c>
      <c r="H15" s="7" t="s">
        <v>350</v>
      </c>
      <c r="I15" s="76"/>
      <c r="J15" s="7" t="s">
        <v>309</v>
      </c>
      <c r="K15" s="50" t="s">
        <v>86</v>
      </c>
      <c r="L15" s="7">
        <v>5420</v>
      </c>
      <c r="M15" s="7">
        <v>23</v>
      </c>
      <c r="N15" s="7">
        <v>6</v>
      </c>
      <c r="O15" s="7">
        <v>0</v>
      </c>
      <c r="P15" s="7">
        <v>5</v>
      </c>
      <c r="Q15" s="69">
        <f t="shared" si="6"/>
        <v>4.243542435424354E-3</v>
      </c>
      <c r="R15" s="69">
        <f t="shared" si="7"/>
        <v>0.2608695652173913</v>
      </c>
      <c r="S15" s="7"/>
      <c r="T15" s="7"/>
      <c r="U15" s="7"/>
      <c r="V15" s="7"/>
      <c r="W15" s="7"/>
    </row>
    <row r="16" spans="1:23">
      <c r="A16" s="6">
        <v>46134</v>
      </c>
      <c r="B16" s="7" t="s">
        <v>392</v>
      </c>
      <c r="C16" s="13">
        <v>0.38541666666666669</v>
      </c>
      <c r="D16" s="88" t="s">
        <v>449</v>
      </c>
      <c r="E16" s="88" t="s">
        <v>309</v>
      </c>
      <c r="F16" s="88" t="s">
        <v>450</v>
      </c>
      <c r="G16" s="88" t="s">
        <v>85</v>
      </c>
      <c r="H16" s="7" t="s">
        <v>351</v>
      </c>
      <c r="I16" s="76"/>
      <c r="J16" s="7" t="s">
        <v>309</v>
      </c>
      <c r="K16" s="50" t="s">
        <v>86</v>
      </c>
      <c r="L16" s="7">
        <v>3220</v>
      </c>
      <c r="M16" s="7">
        <v>19</v>
      </c>
      <c r="N16" s="7">
        <v>3</v>
      </c>
      <c r="O16" s="7">
        <v>0</v>
      </c>
      <c r="P16" s="7">
        <v>2</v>
      </c>
      <c r="Q16" s="69">
        <f t="shared" si="6"/>
        <v>5.9006211180124227E-3</v>
      </c>
      <c r="R16" s="69">
        <f t="shared" si="7"/>
        <v>0.15789473684210525</v>
      </c>
      <c r="S16" s="7"/>
      <c r="T16" s="7"/>
      <c r="U16" s="7"/>
      <c r="V16" s="7"/>
      <c r="W16" s="7"/>
    </row>
    <row r="17" spans="1:27">
      <c r="A17" s="6">
        <v>46134</v>
      </c>
      <c r="B17" s="7" t="s">
        <v>392</v>
      </c>
      <c r="C17" s="62">
        <v>0.90625</v>
      </c>
      <c r="D17" s="7" t="s">
        <v>413</v>
      </c>
      <c r="E17" s="7" t="s">
        <v>309</v>
      </c>
      <c r="F17" s="7" t="s">
        <v>414</v>
      </c>
      <c r="G17" s="7"/>
      <c r="H17" s="7" t="s">
        <v>210</v>
      </c>
      <c r="I17" s="75" t="s">
        <v>391</v>
      </c>
      <c r="J17" s="7" t="s">
        <v>309</v>
      </c>
      <c r="K17" s="50" t="s">
        <v>86</v>
      </c>
      <c r="L17" s="7">
        <v>463</v>
      </c>
      <c r="M17" s="7">
        <v>15</v>
      </c>
      <c r="N17" s="7">
        <v>5</v>
      </c>
      <c r="O17" s="7">
        <v>1</v>
      </c>
      <c r="P17" s="7">
        <v>0</v>
      </c>
      <c r="Q17" s="69">
        <f t="shared" ref="Q17" si="8">M17/L17</f>
        <v>3.2397408207343416E-2</v>
      </c>
      <c r="R17" s="69">
        <f t="shared" ref="R17" si="9">N17/M17</f>
        <v>0.33333333333333331</v>
      </c>
      <c r="S17" s="7"/>
      <c r="T17" s="7"/>
      <c r="U17" s="7"/>
      <c r="V17" s="7"/>
      <c r="W17" s="7"/>
    </row>
    <row r="18" spans="1:27" ht="6.6" customHeight="1">
      <c r="A18" s="22"/>
      <c r="B18" s="23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5"/>
      <c r="R18" s="25"/>
      <c r="S18" s="24"/>
      <c r="T18" s="24"/>
      <c r="U18" s="24"/>
      <c r="V18" s="25"/>
      <c r="W18" s="26"/>
    </row>
    <row r="19" spans="1:27">
      <c r="A19" s="6">
        <v>46135</v>
      </c>
      <c r="B19" s="7" t="s">
        <v>552</v>
      </c>
      <c r="C19" s="18" t="s">
        <v>305</v>
      </c>
      <c r="D19" s="18" t="s">
        <v>310</v>
      </c>
      <c r="E19" s="18" t="s">
        <v>309</v>
      </c>
      <c r="F19" s="18" t="s">
        <v>311</v>
      </c>
      <c r="G19" s="18" t="s">
        <v>85</v>
      </c>
      <c r="H19" s="18" t="s">
        <v>186</v>
      </c>
      <c r="I19" s="47"/>
      <c r="J19" s="18" t="s">
        <v>309</v>
      </c>
      <c r="K19" s="18" t="s">
        <v>186</v>
      </c>
      <c r="L19" s="7">
        <v>1282</v>
      </c>
      <c r="M19" s="7">
        <v>8</v>
      </c>
      <c r="N19" s="7">
        <v>1</v>
      </c>
      <c r="O19" s="7">
        <v>0</v>
      </c>
      <c r="P19" s="7">
        <v>1</v>
      </c>
      <c r="Q19" s="69">
        <f t="shared" ref="Q19:R27" si="10">M19/L19</f>
        <v>6.2402496099843996E-3</v>
      </c>
      <c r="R19" s="69">
        <f t="shared" si="10"/>
        <v>0.125</v>
      </c>
      <c r="S19" s="7"/>
      <c r="T19" s="7"/>
      <c r="U19" s="7"/>
      <c r="V19" s="7"/>
      <c r="W19" s="7"/>
    </row>
    <row r="20" spans="1:27">
      <c r="A20" s="6">
        <v>46135</v>
      </c>
      <c r="B20" s="7" t="s">
        <v>552</v>
      </c>
      <c r="C20" s="18" t="s">
        <v>347</v>
      </c>
      <c r="D20" s="18" t="s">
        <v>354</v>
      </c>
      <c r="E20" s="18" t="s">
        <v>309</v>
      </c>
      <c r="F20" s="18" t="s">
        <v>355</v>
      </c>
      <c r="G20" s="18" t="s">
        <v>85</v>
      </c>
      <c r="H20" s="18" t="s">
        <v>313</v>
      </c>
      <c r="I20" s="47"/>
      <c r="J20" s="18" t="s">
        <v>309</v>
      </c>
      <c r="K20" s="18" t="s">
        <v>313</v>
      </c>
      <c r="L20" s="7"/>
      <c r="M20" s="7"/>
      <c r="N20" s="7"/>
      <c r="O20" s="7"/>
      <c r="P20" s="7"/>
      <c r="Q20" s="69" t="e">
        <f t="shared" si="10"/>
        <v>#DIV/0!</v>
      </c>
      <c r="R20" s="69" t="e">
        <f t="shared" si="10"/>
        <v>#DIV/0!</v>
      </c>
      <c r="S20" s="7"/>
      <c r="T20" s="7"/>
      <c r="U20" s="7"/>
      <c r="V20" s="7"/>
      <c r="W20" s="7"/>
      <c r="Y20" s="7"/>
      <c r="Z20" s="7"/>
      <c r="AA20" s="7"/>
    </row>
    <row r="21" spans="1:27">
      <c r="A21" s="6">
        <v>46135</v>
      </c>
      <c r="B21" s="7" t="s">
        <v>552</v>
      </c>
      <c r="C21" s="18" t="s">
        <v>308</v>
      </c>
      <c r="D21" s="18" t="s">
        <v>510</v>
      </c>
      <c r="E21" s="18" t="s">
        <v>309</v>
      </c>
      <c r="F21" s="18" t="s">
        <v>509</v>
      </c>
      <c r="G21" s="18" t="s">
        <v>85</v>
      </c>
      <c r="H21" s="18" t="s">
        <v>106</v>
      </c>
      <c r="I21" s="47" t="s">
        <v>501</v>
      </c>
      <c r="J21" s="18" t="s">
        <v>309</v>
      </c>
      <c r="K21" s="18" t="s">
        <v>106</v>
      </c>
      <c r="L21" s="7">
        <v>284</v>
      </c>
      <c r="M21" s="7">
        <v>54</v>
      </c>
      <c r="N21" s="7">
        <v>14</v>
      </c>
      <c r="O21" s="7">
        <v>2</v>
      </c>
      <c r="P21" s="7">
        <v>1</v>
      </c>
      <c r="Q21" s="69">
        <f t="shared" si="10"/>
        <v>0.19014084507042253</v>
      </c>
      <c r="R21" s="69">
        <f t="shared" si="10"/>
        <v>0.25925925925925924</v>
      </c>
      <c r="S21" s="7"/>
      <c r="T21" s="7"/>
      <c r="U21" s="7"/>
      <c r="V21" s="7"/>
      <c r="W21" s="7"/>
      <c r="Y21" s="86"/>
      <c r="Z21" s="86"/>
      <c r="AA21" s="86"/>
    </row>
    <row r="22" spans="1:27">
      <c r="A22" s="6">
        <v>46135</v>
      </c>
      <c r="B22" s="7" t="s">
        <v>552</v>
      </c>
      <c r="C22" s="62">
        <v>0.79166666666666663</v>
      </c>
      <c r="D22" s="77" t="s">
        <v>526</v>
      </c>
      <c r="E22" s="77" t="s">
        <v>309</v>
      </c>
      <c r="F22" s="77" t="s">
        <v>527</v>
      </c>
      <c r="G22" s="77" t="s">
        <v>85</v>
      </c>
      <c r="H22" s="77" t="s">
        <v>380</v>
      </c>
      <c r="I22" s="47" t="s">
        <v>209</v>
      </c>
      <c r="J22" s="77" t="s">
        <v>309</v>
      </c>
      <c r="K22" s="77" t="s">
        <v>380</v>
      </c>
      <c r="L22" s="7">
        <v>3794</v>
      </c>
      <c r="M22" s="7">
        <v>40</v>
      </c>
      <c r="N22" s="7">
        <v>7</v>
      </c>
      <c r="O22" s="7">
        <v>0</v>
      </c>
      <c r="P22" s="7">
        <v>5</v>
      </c>
      <c r="Q22" s="69">
        <f t="shared" si="10"/>
        <v>1.0542962572482868E-2</v>
      </c>
      <c r="R22" s="69">
        <f t="shared" si="10"/>
        <v>0.17499999999999999</v>
      </c>
      <c r="S22" s="7"/>
      <c r="T22" s="7"/>
      <c r="U22" s="7"/>
      <c r="V22" s="7"/>
      <c r="W22" s="7"/>
    </row>
    <row r="23" spans="1:27">
      <c r="A23" s="6">
        <v>46135</v>
      </c>
      <c r="B23" s="7" t="s">
        <v>552</v>
      </c>
      <c r="C23" s="62">
        <v>0.80208333333333337</v>
      </c>
      <c r="D23" s="77" t="s">
        <v>528</v>
      </c>
      <c r="E23" s="77" t="s">
        <v>309</v>
      </c>
      <c r="F23" s="77" t="s">
        <v>529</v>
      </c>
      <c r="G23" s="77" t="s">
        <v>85</v>
      </c>
      <c r="H23" s="77" t="s">
        <v>383</v>
      </c>
      <c r="I23" s="47" t="s">
        <v>209</v>
      </c>
      <c r="J23" s="77" t="s">
        <v>309</v>
      </c>
      <c r="K23" s="77" t="s">
        <v>383</v>
      </c>
      <c r="L23" s="7">
        <v>1700</v>
      </c>
      <c r="M23" s="7">
        <v>17</v>
      </c>
      <c r="N23" s="7">
        <v>4</v>
      </c>
      <c r="O23" s="7">
        <v>0</v>
      </c>
      <c r="P23" s="7">
        <v>1</v>
      </c>
      <c r="Q23" s="69">
        <f t="shared" si="10"/>
        <v>0.01</v>
      </c>
      <c r="R23" s="69">
        <f t="shared" si="10"/>
        <v>0.23529411764705882</v>
      </c>
      <c r="S23" s="7"/>
      <c r="T23" s="7"/>
      <c r="U23" s="7"/>
      <c r="V23" s="7"/>
      <c r="W23" s="7"/>
    </row>
    <row r="24" spans="1:27">
      <c r="A24" s="6">
        <v>46135</v>
      </c>
      <c r="B24" s="7" t="s">
        <v>552</v>
      </c>
      <c r="C24" s="62">
        <v>0.77083333333333337</v>
      </c>
      <c r="D24" s="77" t="s">
        <v>530</v>
      </c>
      <c r="E24" s="77" t="s">
        <v>309</v>
      </c>
      <c r="F24" s="77" t="s">
        <v>531</v>
      </c>
      <c r="G24" s="77" t="s">
        <v>85</v>
      </c>
      <c r="H24" s="7" t="s">
        <v>350</v>
      </c>
      <c r="I24" s="47" t="s">
        <v>209</v>
      </c>
      <c r="J24" s="77" t="s">
        <v>309</v>
      </c>
      <c r="K24" s="7" t="s">
        <v>350</v>
      </c>
      <c r="L24" s="7">
        <v>5668</v>
      </c>
      <c r="M24" s="7">
        <v>34</v>
      </c>
      <c r="N24" s="7">
        <v>11</v>
      </c>
      <c r="O24" s="7">
        <v>1</v>
      </c>
      <c r="P24" s="7">
        <v>7</v>
      </c>
      <c r="Q24" s="69">
        <f t="shared" si="10"/>
        <v>5.9985885673959072E-3</v>
      </c>
      <c r="R24" s="69">
        <f t="shared" si="10"/>
        <v>0.3235294117647059</v>
      </c>
      <c r="S24" s="7"/>
      <c r="T24" s="7"/>
      <c r="U24" s="7"/>
      <c r="V24" s="7"/>
      <c r="W24" s="7"/>
    </row>
    <row r="25" spans="1:27">
      <c r="A25" s="6">
        <v>46135</v>
      </c>
      <c r="B25" s="7" t="s">
        <v>552</v>
      </c>
      <c r="C25" s="62">
        <v>0.8125</v>
      </c>
      <c r="D25" s="77" t="s">
        <v>532</v>
      </c>
      <c r="E25" s="77" t="s">
        <v>309</v>
      </c>
      <c r="F25" s="77" t="s">
        <v>533</v>
      </c>
      <c r="G25" s="77" t="s">
        <v>85</v>
      </c>
      <c r="H25" s="7" t="s">
        <v>351</v>
      </c>
      <c r="I25" s="47" t="s">
        <v>209</v>
      </c>
      <c r="J25" s="77" t="s">
        <v>309</v>
      </c>
      <c r="K25" s="7" t="s">
        <v>351</v>
      </c>
      <c r="L25" s="7">
        <v>3356</v>
      </c>
      <c r="M25" s="7">
        <v>34</v>
      </c>
      <c r="N25" s="7">
        <v>9</v>
      </c>
      <c r="O25" s="7">
        <v>0</v>
      </c>
      <c r="P25" s="7">
        <v>2</v>
      </c>
      <c r="Q25" s="69">
        <f t="shared" si="10"/>
        <v>1.0131108462455305E-2</v>
      </c>
      <c r="R25" s="69">
        <f t="shared" si="10"/>
        <v>0.26470588235294118</v>
      </c>
      <c r="S25" s="7"/>
      <c r="T25" s="7"/>
      <c r="U25" s="7"/>
      <c r="V25" s="7"/>
      <c r="W25" s="7"/>
    </row>
    <row r="26" spans="1:27">
      <c r="A26" s="6">
        <v>46135</v>
      </c>
      <c r="B26" s="7" t="s">
        <v>552</v>
      </c>
      <c r="C26" s="62">
        <v>0.85416666666666663</v>
      </c>
      <c r="D26" s="88" t="s">
        <v>538</v>
      </c>
      <c r="E26" s="88" t="s">
        <v>309</v>
      </c>
      <c r="F26" s="88" t="s">
        <v>539</v>
      </c>
      <c r="G26" s="7" t="s">
        <v>85</v>
      </c>
      <c r="H26" s="7" t="s">
        <v>210</v>
      </c>
      <c r="I26" s="47" t="s">
        <v>209</v>
      </c>
      <c r="J26" s="7" t="s">
        <v>309</v>
      </c>
      <c r="K26" s="7" t="s">
        <v>210</v>
      </c>
      <c r="L26" s="7">
        <v>535</v>
      </c>
      <c r="M26" s="7">
        <v>33</v>
      </c>
      <c r="N26" s="7">
        <v>20</v>
      </c>
      <c r="O26" s="7">
        <v>0</v>
      </c>
      <c r="P26" s="7">
        <v>0</v>
      </c>
      <c r="Q26" s="69">
        <f t="shared" si="10"/>
        <v>6.1682242990654203E-2</v>
      </c>
      <c r="R26" s="69">
        <f t="shared" si="10"/>
        <v>0.60606060606060608</v>
      </c>
      <c r="S26" s="7"/>
      <c r="T26" s="7"/>
      <c r="U26" s="7"/>
      <c r="V26" s="7"/>
      <c r="W26" s="7"/>
    </row>
    <row r="27" spans="1:27" ht="16.8">
      <c r="A27" s="6">
        <v>46135</v>
      </c>
      <c r="B27" s="7" t="s">
        <v>552</v>
      </c>
      <c r="C27" s="91">
        <v>0.96875</v>
      </c>
      <c r="D27" s="86" t="s">
        <v>513</v>
      </c>
      <c r="E27" s="7" t="s">
        <v>309</v>
      </c>
      <c r="F27" s="86" t="s">
        <v>512</v>
      </c>
      <c r="G27" s="7" t="s">
        <v>85</v>
      </c>
      <c r="H27" s="52" t="s">
        <v>157</v>
      </c>
      <c r="I27" s="98" t="s">
        <v>500</v>
      </c>
      <c r="J27" s="7" t="s">
        <v>309</v>
      </c>
      <c r="K27" s="52" t="s">
        <v>157</v>
      </c>
      <c r="L27" s="86">
        <v>230</v>
      </c>
      <c r="M27" s="86">
        <v>46</v>
      </c>
      <c r="N27" s="86">
        <v>12</v>
      </c>
      <c r="O27" s="86">
        <v>1</v>
      </c>
      <c r="P27" s="86">
        <v>0</v>
      </c>
      <c r="Q27" s="69">
        <f t="shared" si="10"/>
        <v>0.2</v>
      </c>
      <c r="R27" s="69">
        <f t="shared" si="10"/>
        <v>0.2608695652173913</v>
      </c>
      <c r="S27" s="86"/>
      <c r="T27" s="86"/>
      <c r="U27" s="86"/>
      <c r="V27" s="86"/>
      <c r="W27" s="87"/>
    </row>
    <row r="28" spans="1:27" ht="6.6" customHeight="1">
      <c r="A28" s="22"/>
      <c r="B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5"/>
      <c r="R28" s="25"/>
      <c r="S28" s="24"/>
      <c r="T28" s="24"/>
      <c r="U28" s="24"/>
      <c r="V28" s="25"/>
      <c r="W28" s="26"/>
    </row>
    <row r="29" spans="1:27">
      <c r="A29" s="6">
        <v>46136</v>
      </c>
      <c r="B29" s="7" t="s">
        <v>553</v>
      </c>
      <c r="C29" s="18" t="s">
        <v>598</v>
      </c>
      <c r="D29" s="18" t="s">
        <v>310</v>
      </c>
      <c r="E29" s="18" t="s">
        <v>309</v>
      </c>
      <c r="F29" s="18" t="s">
        <v>311</v>
      </c>
      <c r="G29" s="18" t="s">
        <v>85</v>
      </c>
      <c r="H29" s="18" t="s">
        <v>186</v>
      </c>
      <c r="I29" s="47"/>
      <c r="J29" s="18" t="s">
        <v>309</v>
      </c>
      <c r="K29" s="18" t="s">
        <v>186</v>
      </c>
      <c r="L29" s="7">
        <v>2176</v>
      </c>
      <c r="M29" s="7">
        <v>13</v>
      </c>
      <c r="N29" s="7">
        <v>6</v>
      </c>
      <c r="O29" s="7">
        <v>1</v>
      </c>
      <c r="P29" s="7">
        <v>0</v>
      </c>
      <c r="Q29" s="69">
        <f t="shared" ref="Q29:R39" si="11">M29/L29</f>
        <v>5.9742647058823525E-3</v>
      </c>
      <c r="R29" s="69">
        <f t="shared" si="11"/>
        <v>0.46153846153846156</v>
      </c>
      <c r="S29" s="7"/>
      <c r="T29" s="7"/>
      <c r="U29" s="7"/>
      <c r="V29" s="7"/>
      <c r="W29" s="7"/>
    </row>
    <row r="30" spans="1:27">
      <c r="A30" s="6">
        <v>46136</v>
      </c>
      <c r="B30" s="7" t="s">
        <v>553</v>
      </c>
      <c r="C30" s="18" t="s">
        <v>605</v>
      </c>
      <c r="D30" s="18" t="s">
        <v>604</v>
      </c>
      <c r="E30" s="18" t="s">
        <v>309</v>
      </c>
      <c r="F30" s="18" t="s">
        <v>603</v>
      </c>
      <c r="G30" s="18" t="s">
        <v>85</v>
      </c>
      <c r="H30" s="18" t="s">
        <v>186</v>
      </c>
      <c r="I30" s="14" t="s">
        <v>554</v>
      </c>
      <c r="J30" s="18"/>
      <c r="K30" s="18"/>
      <c r="L30" s="7"/>
      <c r="M30" s="7"/>
      <c r="N30" s="7"/>
      <c r="O30" s="7"/>
      <c r="P30" s="7"/>
      <c r="Q30" s="69" t="e">
        <f t="shared" si="11"/>
        <v>#DIV/0!</v>
      </c>
      <c r="R30" s="69" t="e">
        <f t="shared" si="11"/>
        <v>#DIV/0!</v>
      </c>
      <c r="S30" s="7"/>
      <c r="T30" s="7"/>
      <c r="U30" s="7"/>
      <c r="V30" s="7"/>
      <c r="W30" s="7"/>
    </row>
    <row r="31" spans="1:27">
      <c r="A31" s="6">
        <v>46136</v>
      </c>
      <c r="B31" s="7" t="s">
        <v>553</v>
      </c>
      <c r="C31" s="18" t="s">
        <v>347</v>
      </c>
      <c r="D31" s="18" t="s">
        <v>354</v>
      </c>
      <c r="E31" s="18" t="s">
        <v>309</v>
      </c>
      <c r="F31" s="18" t="s">
        <v>355</v>
      </c>
      <c r="G31" s="18" t="s">
        <v>85</v>
      </c>
      <c r="H31" s="18" t="s">
        <v>313</v>
      </c>
      <c r="I31" s="47"/>
      <c r="J31" s="18" t="s">
        <v>309</v>
      </c>
      <c r="K31" s="18" t="s">
        <v>313</v>
      </c>
      <c r="L31" s="7"/>
      <c r="M31" s="7"/>
      <c r="N31" s="7"/>
      <c r="O31" s="7"/>
      <c r="P31" s="7"/>
      <c r="Q31" s="69" t="e">
        <f t="shared" si="11"/>
        <v>#DIV/0!</v>
      </c>
      <c r="R31" s="69" t="e">
        <f t="shared" si="11"/>
        <v>#DIV/0!</v>
      </c>
      <c r="S31" s="7"/>
      <c r="T31" s="7"/>
      <c r="U31" s="7"/>
      <c r="V31" s="7"/>
      <c r="W31" s="7"/>
    </row>
    <row r="32" spans="1:27">
      <c r="A32" s="6">
        <v>46136</v>
      </c>
      <c r="B32" s="7" t="s">
        <v>553</v>
      </c>
      <c r="C32" s="18" t="s">
        <v>598</v>
      </c>
      <c r="D32" s="18" t="s">
        <v>510</v>
      </c>
      <c r="E32" s="18" t="s">
        <v>309</v>
      </c>
      <c r="F32" s="18" t="s">
        <v>509</v>
      </c>
      <c r="G32" s="18" t="s">
        <v>85</v>
      </c>
      <c r="H32" s="18" t="s">
        <v>106</v>
      </c>
      <c r="I32" s="47"/>
      <c r="J32" s="18" t="s">
        <v>309</v>
      </c>
      <c r="K32" s="18" t="s">
        <v>106</v>
      </c>
      <c r="L32" s="7">
        <v>705</v>
      </c>
      <c r="M32" s="7">
        <v>34</v>
      </c>
      <c r="N32" s="7">
        <v>10</v>
      </c>
      <c r="O32" s="7"/>
      <c r="P32" s="7"/>
      <c r="Q32" s="69">
        <f t="shared" si="11"/>
        <v>4.8226950354609929E-2</v>
      </c>
      <c r="R32" s="69">
        <f t="shared" si="11"/>
        <v>0.29411764705882354</v>
      </c>
      <c r="S32" s="7"/>
      <c r="T32" s="7"/>
      <c r="U32" s="7"/>
      <c r="V32" s="7"/>
      <c r="W32" s="7"/>
    </row>
    <row r="33" spans="1:23">
      <c r="A33" s="6">
        <v>46136</v>
      </c>
      <c r="B33" s="7" t="s">
        <v>553</v>
      </c>
      <c r="C33" s="18" t="s">
        <v>605</v>
      </c>
      <c r="D33" s="18" t="s">
        <v>604</v>
      </c>
      <c r="E33" s="18" t="s">
        <v>309</v>
      </c>
      <c r="F33" s="18" t="s">
        <v>603</v>
      </c>
      <c r="G33" s="18" t="s">
        <v>85</v>
      </c>
      <c r="H33" s="18" t="s">
        <v>106</v>
      </c>
      <c r="I33" s="14" t="s">
        <v>554</v>
      </c>
      <c r="J33" s="18"/>
      <c r="K33" s="18"/>
      <c r="L33" s="7"/>
      <c r="M33" s="7"/>
      <c r="N33" s="7"/>
      <c r="O33" s="7"/>
      <c r="P33" s="7"/>
      <c r="Q33" s="69" t="e">
        <f t="shared" si="11"/>
        <v>#DIV/0!</v>
      </c>
      <c r="R33" s="69" t="e">
        <f t="shared" si="11"/>
        <v>#DIV/0!</v>
      </c>
      <c r="S33" s="7"/>
      <c r="T33" s="7"/>
      <c r="U33" s="7"/>
      <c r="V33" s="7"/>
      <c r="W33" s="7"/>
    </row>
    <row r="34" spans="1:23">
      <c r="A34" s="6">
        <v>46136</v>
      </c>
      <c r="B34" s="7" t="s">
        <v>553</v>
      </c>
      <c r="C34" s="62">
        <v>0.79166666666666663</v>
      </c>
      <c r="D34" s="77" t="s">
        <v>573</v>
      </c>
      <c r="E34" s="77" t="s">
        <v>309</v>
      </c>
      <c r="F34" s="77" t="s">
        <v>379</v>
      </c>
      <c r="G34" s="77" t="s">
        <v>85</v>
      </c>
      <c r="H34" s="77" t="s">
        <v>380</v>
      </c>
      <c r="I34" s="84"/>
      <c r="J34" s="77" t="s">
        <v>309</v>
      </c>
      <c r="K34" s="77" t="s">
        <v>380</v>
      </c>
      <c r="L34" s="7">
        <v>3731</v>
      </c>
      <c r="M34" s="7">
        <v>34</v>
      </c>
      <c r="N34" s="7">
        <v>7</v>
      </c>
      <c r="O34" s="7">
        <v>0</v>
      </c>
      <c r="P34" s="7">
        <v>0</v>
      </c>
      <c r="Q34" s="69">
        <f t="shared" si="11"/>
        <v>9.112838381131064E-3</v>
      </c>
      <c r="R34" s="69">
        <f t="shared" si="11"/>
        <v>0.20588235294117646</v>
      </c>
      <c r="S34" s="7"/>
      <c r="T34" s="7"/>
      <c r="U34" s="7"/>
      <c r="V34" s="7"/>
      <c r="W34" s="7"/>
    </row>
    <row r="35" spans="1:23">
      <c r="A35" s="6">
        <v>46136</v>
      </c>
      <c r="B35" s="7" t="s">
        <v>553</v>
      </c>
      <c r="C35" s="62">
        <v>0.80208333333333337</v>
      </c>
      <c r="D35" s="77" t="s">
        <v>574</v>
      </c>
      <c r="E35" s="77" t="s">
        <v>309</v>
      </c>
      <c r="F35" s="77" t="s">
        <v>382</v>
      </c>
      <c r="G35" s="77"/>
      <c r="H35" s="77" t="s">
        <v>383</v>
      </c>
      <c r="I35" s="84"/>
      <c r="J35" s="77" t="s">
        <v>309</v>
      </c>
      <c r="K35" s="77" t="s">
        <v>383</v>
      </c>
      <c r="L35" s="7">
        <v>1655</v>
      </c>
      <c r="M35" s="7">
        <v>18</v>
      </c>
      <c r="N35" s="7">
        <v>8</v>
      </c>
      <c r="O35" s="7">
        <v>1</v>
      </c>
      <c r="P35" s="7">
        <v>0</v>
      </c>
      <c r="Q35" s="69">
        <f t="shared" si="11"/>
        <v>1.0876132930513595E-2</v>
      </c>
      <c r="R35" s="69">
        <f t="shared" si="11"/>
        <v>0.44444444444444442</v>
      </c>
      <c r="S35" s="7"/>
      <c r="T35" s="7"/>
      <c r="U35" s="7"/>
      <c r="V35" s="7"/>
      <c r="W35" s="7"/>
    </row>
    <row r="36" spans="1:23">
      <c r="A36" s="6">
        <v>46136</v>
      </c>
      <c r="B36" s="7" t="s">
        <v>553</v>
      </c>
      <c r="C36" s="62">
        <v>0.77083333333333337</v>
      </c>
      <c r="D36" s="7" t="s">
        <v>575</v>
      </c>
      <c r="E36" s="7" t="s">
        <v>309</v>
      </c>
      <c r="F36" s="7" t="s">
        <v>367</v>
      </c>
      <c r="G36" s="7" t="s">
        <v>85</v>
      </c>
      <c r="H36" s="7" t="s">
        <v>350</v>
      </c>
      <c r="I36" s="84"/>
      <c r="J36" s="77" t="s">
        <v>309</v>
      </c>
      <c r="K36" s="7" t="s">
        <v>350</v>
      </c>
      <c r="L36" s="7">
        <v>5594</v>
      </c>
      <c r="M36" s="7">
        <v>28</v>
      </c>
      <c r="N36" s="7">
        <v>5</v>
      </c>
      <c r="O36" s="7">
        <v>0</v>
      </c>
      <c r="P36" s="7">
        <v>0</v>
      </c>
      <c r="Q36" s="69">
        <f t="shared" si="11"/>
        <v>5.0053628888094386E-3</v>
      </c>
      <c r="R36" s="69">
        <f t="shared" si="11"/>
        <v>0.17857142857142858</v>
      </c>
      <c r="S36" s="7"/>
      <c r="T36" s="7"/>
      <c r="U36" s="7"/>
      <c r="V36" s="7"/>
      <c r="W36" s="7"/>
    </row>
    <row r="37" spans="1:23">
      <c r="A37" s="6">
        <v>46136</v>
      </c>
      <c r="B37" s="7" t="s">
        <v>553</v>
      </c>
      <c r="C37" s="62">
        <v>0.8125</v>
      </c>
      <c r="D37" s="7" t="s">
        <v>576</v>
      </c>
      <c r="E37" s="7" t="s">
        <v>309</v>
      </c>
      <c r="F37" s="7" t="s">
        <v>369</v>
      </c>
      <c r="G37" s="7" t="s">
        <v>85</v>
      </c>
      <c r="H37" s="7" t="s">
        <v>351</v>
      </c>
      <c r="I37" s="84"/>
      <c r="J37" s="77" t="s">
        <v>309</v>
      </c>
      <c r="K37" s="7" t="s">
        <v>351</v>
      </c>
      <c r="L37" s="7">
        <v>3297</v>
      </c>
      <c r="M37" s="7">
        <v>23</v>
      </c>
      <c r="N37" s="7">
        <v>8</v>
      </c>
      <c r="O37" s="7">
        <v>2</v>
      </c>
      <c r="P37" s="7">
        <v>0</v>
      </c>
      <c r="Q37" s="69">
        <f t="shared" si="11"/>
        <v>6.9760388231725808E-3</v>
      </c>
      <c r="R37" s="69">
        <f t="shared" si="11"/>
        <v>0.34782608695652173</v>
      </c>
      <c r="S37" s="7"/>
      <c r="T37" s="7"/>
      <c r="U37" s="7"/>
      <c r="V37" s="7"/>
      <c r="W37" s="7"/>
    </row>
    <row r="38" spans="1:23">
      <c r="A38" s="6">
        <v>46136</v>
      </c>
      <c r="B38" s="7" t="s">
        <v>553</v>
      </c>
      <c r="C38" s="62">
        <v>0.85416666666666663</v>
      </c>
      <c r="D38" s="88" t="s">
        <v>585</v>
      </c>
      <c r="E38" s="88" t="s">
        <v>309</v>
      </c>
      <c r="F38" s="88" t="s">
        <v>586</v>
      </c>
      <c r="G38" s="7" t="s">
        <v>85</v>
      </c>
      <c r="H38" s="7" t="s">
        <v>210</v>
      </c>
      <c r="I38" s="14" t="s">
        <v>209</v>
      </c>
      <c r="J38" s="7" t="s">
        <v>309</v>
      </c>
      <c r="K38" s="7" t="s">
        <v>210</v>
      </c>
      <c r="L38" s="7">
        <v>624</v>
      </c>
      <c r="M38" s="7">
        <v>24</v>
      </c>
      <c r="N38" s="7">
        <v>15</v>
      </c>
      <c r="O38" s="7">
        <v>0</v>
      </c>
      <c r="P38" s="7">
        <v>0</v>
      </c>
      <c r="Q38" s="69">
        <f t="shared" si="11"/>
        <v>3.8461538461538464E-2</v>
      </c>
      <c r="R38" s="69">
        <f t="shared" si="11"/>
        <v>0.625</v>
      </c>
      <c r="S38" s="7"/>
      <c r="T38" s="7"/>
      <c r="U38" s="7"/>
      <c r="V38" s="7"/>
      <c r="W38" s="7"/>
    </row>
    <row r="39" spans="1:23" ht="16.8">
      <c r="A39" s="6">
        <v>46136</v>
      </c>
      <c r="B39" s="7" t="s">
        <v>553</v>
      </c>
      <c r="C39" s="91">
        <v>0.96875</v>
      </c>
      <c r="D39" s="7" t="s">
        <v>608</v>
      </c>
      <c r="E39" s="7" t="s">
        <v>309</v>
      </c>
      <c r="F39" s="7" t="s">
        <v>367</v>
      </c>
      <c r="G39" s="7" t="s">
        <v>85</v>
      </c>
      <c r="H39" s="52" t="s">
        <v>157</v>
      </c>
      <c r="I39" s="98"/>
      <c r="J39" s="7" t="s">
        <v>309</v>
      </c>
      <c r="K39" s="52" t="s">
        <v>157</v>
      </c>
      <c r="L39" s="86">
        <v>520</v>
      </c>
      <c r="M39" s="86">
        <v>87</v>
      </c>
      <c r="N39" s="86">
        <v>21</v>
      </c>
      <c r="O39" s="86"/>
      <c r="P39" s="86"/>
      <c r="Q39" s="69">
        <f t="shared" si="11"/>
        <v>0.1673076923076923</v>
      </c>
      <c r="R39" s="69">
        <f t="shared" si="11"/>
        <v>0.2413793103448276</v>
      </c>
      <c r="S39" s="86"/>
      <c r="T39" s="86"/>
      <c r="U39" s="86"/>
      <c r="V39" s="86"/>
      <c r="W39" s="87"/>
    </row>
    <row r="40" spans="1:23" ht="6.6" customHeight="1">
      <c r="A40" s="22"/>
      <c r="B40" s="23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5"/>
      <c r="R40" s="25"/>
      <c r="S40" s="24"/>
      <c r="T40" s="24"/>
      <c r="U40" s="24"/>
      <c r="V40" s="25"/>
      <c r="W40" s="26"/>
    </row>
    <row r="41" spans="1:23">
      <c r="A41" s="6">
        <v>46137</v>
      </c>
      <c r="B41" s="7" t="s">
        <v>577</v>
      </c>
      <c r="C41" s="18" t="s">
        <v>598</v>
      </c>
      <c r="D41" s="18" t="s">
        <v>310</v>
      </c>
      <c r="E41" s="18" t="s">
        <v>309</v>
      </c>
      <c r="F41" s="18" t="s">
        <v>311</v>
      </c>
      <c r="G41" s="18" t="s">
        <v>85</v>
      </c>
      <c r="H41" s="18" t="s">
        <v>186</v>
      </c>
      <c r="I41" s="47"/>
      <c r="J41" s="18" t="s">
        <v>309</v>
      </c>
      <c r="K41" s="18" t="s">
        <v>186</v>
      </c>
      <c r="L41" s="7">
        <v>2202</v>
      </c>
      <c r="M41" s="7">
        <v>17</v>
      </c>
      <c r="N41" s="7">
        <v>6</v>
      </c>
      <c r="O41" s="7">
        <v>2</v>
      </c>
      <c r="P41" s="7">
        <v>5</v>
      </c>
      <c r="Q41" s="69">
        <f t="shared" ref="Q41:R41" si="12">M41/L41</f>
        <v>7.7202543142597642E-3</v>
      </c>
      <c r="R41" s="69">
        <f t="shared" si="12"/>
        <v>0.35294117647058826</v>
      </c>
      <c r="S41" s="7"/>
      <c r="T41" s="7"/>
      <c r="U41" s="7"/>
      <c r="V41" s="7"/>
      <c r="W41" s="7"/>
    </row>
    <row r="42" spans="1:23">
      <c r="A42" s="6">
        <v>46137</v>
      </c>
      <c r="B42" s="7" t="s">
        <v>577</v>
      </c>
      <c r="C42" s="18" t="s">
        <v>605</v>
      </c>
      <c r="D42" s="18" t="s">
        <v>604</v>
      </c>
      <c r="E42" s="18" t="s">
        <v>309</v>
      </c>
      <c r="F42" s="18" t="s">
        <v>603</v>
      </c>
      <c r="G42" s="18" t="s">
        <v>85</v>
      </c>
      <c r="H42" s="18" t="s">
        <v>186</v>
      </c>
      <c r="I42" s="29"/>
      <c r="J42" s="18"/>
      <c r="K42" s="18"/>
      <c r="L42" s="7"/>
      <c r="M42" s="7"/>
      <c r="N42" s="7"/>
      <c r="O42" s="7"/>
      <c r="P42" s="7"/>
      <c r="Q42" s="69"/>
      <c r="R42" s="69"/>
      <c r="S42" s="7"/>
      <c r="T42" s="7"/>
      <c r="U42" s="7"/>
      <c r="V42" s="7"/>
      <c r="W42" s="7"/>
    </row>
    <row r="43" spans="1:23">
      <c r="A43" s="6">
        <v>46137</v>
      </c>
      <c r="B43" s="7" t="s">
        <v>577</v>
      </c>
      <c r="C43" s="18" t="s">
        <v>347</v>
      </c>
      <c r="D43" s="18" t="s">
        <v>354</v>
      </c>
      <c r="E43" s="18" t="s">
        <v>309</v>
      </c>
      <c r="F43" s="18" t="s">
        <v>355</v>
      </c>
      <c r="G43" s="18" t="s">
        <v>85</v>
      </c>
      <c r="H43" s="18" t="s">
        <v>313</v>
      </c>
      <c r="I43" s="47"/>
      <c r="J43" s="18" t="s">
        <v>309</v>
      </c>
      <c r="K43" s="18" t="s">
        <v>313</v>
      </c>
      <c r="L43" s="7"/>
      <c r="M43" s="7"/>
      <c r="N43" s="7"/>
      <c r="O43" s="7"/>
      <c r="P43" s="7"/>
      <c r="Q43" s="69" t="e">
        <f t="shared" ref="Q43:R44" si="13">M43/L43</f>
        <v>#DIV/0!</v>
      </c>
      <c r="R43" s="69" t="e">
        <f t="shared" si="13"/>
        <v>#DIV/0!</v>
      </c>
      <c r="S43" s="7"/>
      <c r="T43" s="7"/>
      <c r="U43" s="7"/>
      <c r="V43" s="7"/>
      <c r="W43" s="7"/>
    </row>
    <row r="44" spans="1:23">
      <c r="A44" s="6">
        <v>46137</v>
      </c>
      <c r="B44" s="7" t="s">
        <v>577</v>
      </c>
      <c r="C44" s="18" t="s">
        <v>598</v>
      </c>
      <c r="D44" s="18" t="s">
        <v>510</v>
      </c>
      <c r="E44" s="18" t="s">
        <v>309</v>
      </c>
      <c r="F44" s="18" t="s">
        <v>509</v>
      </c>
      <c r="G44" s="18" t="s">
        <v>85</v>
      </c>
      <c r="H44" s="18" t="s">
        <v>106</v>
      </c>
      <c r="I44" s="47"/>
      <c r="J44" s="18" t="s">
        <v>309</v>
      </c>
      <c r="K44" s="18" t="s">
        <v>106</v>
      </c>
      <c r="L44" s="7">
        <v>788</v>
      </c>
      <c r="M44" s="7">
        <v>28</v>
      </c>
      <c r="N44" s="7">
        <v>12</v>
      </c>
      <c r="O44" s="7">
        <v>2</v>
      </c>
      <c r="P44" s="7">
        <v>1</v>
      </c>
      <c r="Q44" s="69">
        <f t="shared" si="13"/>
        <v>3.553299492385787E-2</v>
      </c>
      <c r="R44" s="69">
        <f t="shared" si="13"/>
        <v>0.42857142857142855</v>
      </c>
      <c r="S44" s="7"/>
      <c r="T44" s="86"/>
      <c r="U44" s="86"/>
      <c r="V44" s="86"/>
      <c r="W44" s="7"/>
    </row>
    <row r="45" spans="1:23">
      <c r="A45" s="6">
        <v>46137</v>
      </c>
      <c r="B45" s="7" t="s">
        <v>577</v>
      </c>
      <c r="C45" s="18" t="s">
        <v>605</v>
      </c>
      <c r="D45" s="18" t="s">
        <v>604</v>
      </c>
      <c r="E45" s="18" t="s">
        <v>309</v>
      </c>
      <c r="F45" s="18" t="s">
        <v>603</v>
      </c>
      <c r="G45" s="18" t="s">
        <v>85</v>
      </c>
      <c r="H45" s="18" t="s">
        <v>106</v>
      </c>
      <c r="I45" s="29"/>
      <c r="J45" s="18"/>
      <c r="K45" s="18"/>
      <c r="L45" s="7"/>
      <c r="M45" s="7"/>
      <c r="N45" s="7"/>
      <c r="O45" s="7"/>
      <c r="P45" s="7"/>
      <c r="Q45" s="69"/>
      <c r="R45" s="69"/>
      <c r="S45" s="7"/>
      <c r="T45" s="7"/>
      <c r="U45" s="7"/>
      <c r="V45" s="7"/>
      <c r="W45" s="7"/>
    </row>
    <row r="46" spans="1:23">
      <c r="A46" s="6">
        <v>46137</v>
      </c>
      <c r="B46" s="7" t="s">
        <v>577</v>
      </c>
      <c r="C46" s="62">
        <v>0.79166666666666663</v>
      </c>
      <c r="D46" s="77" t="s">
        <v>639</v>
      </c>
      <c r="E46" s="77" t="s">
        <v>309</v>
      </c>
      <c r="F46" s="77" t="s">
        <v>444</v>
      </c>
      <c r="G46" s="77" t="s">
        <v>85</v>
      </c>
      <c r="H46" s="77" t="s">
        <v>380</v>
      </c>
      <c r="I46" s="84"/>
      <c r="J46" s="77" t="s">
        <v>309</v>
      </c>
      <c r="K46" s="77" t="s">
        <v>380</v>
      </c>
      <c r="L46" s="7">
        <v>3725</v>
      </c>
      <c r="M46" s="7">
        <v>29</v>
      </c>
      <c r="N46" s="7">
        <v>9</v>
      </c>
      <c r="O46" s="7">
        <v>1</v>
      </c>
      <c r="P46" s="7">
        <v>1</v>
      </c>
      <c r="Q46" s="69">
        <f t="shared" ref="Q46:R51" si="14">M46/L46</f>
        <v>7.785234899328859E-3</v>
      </c>
      <c r="R46" s="69">
        <f t="shared" si="14"/>
        <v>0.31034482758620691</v>
      </c>
      <c r="S46" s="7"/>
      <c r="T46" s="7"/>
      <c r="U46" s="7"/>
      <c r="V46" s="7"/>
      <c r="W46" s="7"/>
    </row>
    <row r="47" spans="1:23">
      <c r="A47" s="6">
        <v>46137</v>
      </c>
      <c r="B47" s="7" t="s">
        <v>577</v>
      </c>
      <c r="C47" s="62">
        <v>0.80208333333333337</v>
      </c>
      <c r="D47" s="77" t="s">
        <v>640</v>
      </c>
      <c r="E47" s="77" t="s">
        <v>309</v>
      </c>
      <c r="F47" s="77" t="s">
        <v>446</v>
      </c>
      <c r="G47" s="77" t="s">
        <v>85</v>
      </c>
      <c r="H47" s="77" t="s">
        <v>383</v>
      </c>
      <c r="I47" s="84"/>
      <c r="J47" s="77" t="s">
        <v>309</v>
      </c>
      <c r="K47" s="77" t="s">
        <v>383</v>
      </c>
      <c r="L47" s="7">
        <v>1649</v>
      </c>
      <c r="M47" s="7">
        <v>12</v>
      </c>
      <c r="N47" s="7">
        <v>1</v>
      </c>
      <c r="O47" s="7">
        <v>0</v>
      </c>
      <c r="P47" s="7">
        <v>1</v>
      </c>
      <c r="Q47" s="69">
        <f t="shared" si="14"/>
        <v>7.2771376591873865E-3</v>
      </c>
      <c r="R47" s="69">
        <f t="shared" si="14"/>
        <v>8.3333333333333329E-2</v>
      </c>
      <c r="S47" s="7"/>
      <c r="T47" s="7"/>
      <c r="U47" s="7"/>
      <c r="V47" s="7"/>
      <c r="W47" s="7"/>
    </row>
    <row r="48" spans="1:23">
      <c r="A48" s="6">
        <v>46137</v>
      </c>
      <c r="B48" s="7" t="s">
        <v>577</v>
      </c>
      <c r="C48" s="62">
        <v>0.77083333333333337</v>
      </c>
      <c r="D48" s="77" t="s">
        <v>641</v>
      </c>
      <c r="E48" s="77" t="s">
        <v>309</v>
      </c>
      <c r="F48" s="77" t="s">
        <v>448</v>
      </c>
      <c r="G48" s="77" t="s">
        <v>85</v>
      </c>
      <c r="H48" s="7" t="s">
        <v>350</v>
      </c>
      <c r="I48" s="84"/>
      <c r="J48" s="77" t="s">
        <v>309</v>
      </c>
      <c r="K48" s="7" t="s">
        <v>350</v>
      </c>
      <c r="L48" s="7">
        <v>5589</v>
      </c>
      <c r="M48" s="7">
        <v>34</v>
      </c>
      <c r="N48" s="7">
        <v>11</v>
      </c>
      <c r="O48" s="7">
        <v>0</v>
      </c>
      <c r="P48" s="7">
        <v>1</v>
      </c>
      <c r="Q48" s="69">
        <f t="shared" si="14"/>
        <v>6.0833780640543924E-3</v>
      </c>
      <c r="R48" s="69">
        <f t="shared" si="14"/>
        <v>0.3235294117647059</v>
      </c>
      <c r="S48" s="7"/>
      <c r="T48" s="7"/>
      <c r="U48" s="7"/>
      <c r="V48" s="7"/>
      <c r="W48" s="7"/>
    </row>
    <row r="49" spans="1:23">
      <c r="A49" s="6">
        <v>46137</v>
      </c>
      <c r="B49" s="7" t="s">
        <v>577</v>
      </c>
      <c r="C49" s="62">
        <v>0.8125</v>
      </c>
      <c r="D49" s="77" t="s">
        <v>642</v>
      </c>
      <c r="E49" s="77" t="s">
        <v>309</v>
      </c>
      <c r="F49" s="77" t="s">
        <v>450</v>
      </c>
      <c r="G49" s="77" t="s">
        <v>85</v>
      </c>
      <c r="H49" s="7" t="s">
        <v>351</v>
      </c>
      <c r="I49" s="84"/>
      <c r="J49" s="77" t="s">
        <v>309</v>
      </c>
      <c r="K49" s="7" t="s">
        <v>351</v>
      </c>
      <c r="L49" s="7">
        <v>3290</v>
      </c>
      <c r="M49" s="7">
        <v>25</v>
      </c>
      <c r="N49" s="7">
        <v>9</v>
      </c>
      <c r="O49" s="7">
        <v>1</v>
      </c>
      <c r="P49" s="7">
        <v>0</v>
      </c>
      <c r="Q49" s="69">
        <f t="shared" si="14"/>
        <v>7.5987841945288756E-3</v>
      </c>
      <c r="R49" s="69">
        <f t="shared" si="14"/>
        <v>0.36</v>
      </c>
      <c r="S49" s="7"/>
      <c r="T49" s="7"/>
      <c r="U49" s="7"/>
      <c r="V49" s="7"/>
      <c r="W49" s="7"/>
    </row>
    <row r="50" spans="1:23">
      <c r="A50" s="6">
        <v>46137</v>
      </c>
      <c r="B50" s="7" t="s">
        <v>577</v>
      </c>
      <c r="C50" s="62">
        <v>0.85416666666666663</v>
      </c>
      <c r="D50" s="7" t="s">
        <v>643</v>
      </c>
      <c r="E50" s="7" t="s">
        <v>309</v>
      </c>
      <c r="F50" s="7" t="s">
        <v>414</v>
      </c>
      <c r="G50" s="7"/>
      <c r="H50" s="7" t="s">
        <v>210</v>
      </c>
      <c r="I50" s="29"/>
      <c r="J50" s="7" t="s">
        <v>309</v>
      </c>
      <c r="K50" s="7" t="s">
        <v>210</v>
      </c>
      <c r="L50" s="7">
        <v>732</v>
      </c>
      <c r="M50" s="7">
        <v>38</v>
      </c>
      <c r="N50" s="7">
        <v>20</v>
      </c>
      <c r="O50" s="7">
        <v>0</v>
      </c>
      <c r="P50" s="7">
        <v>0</v>
      </c>
      <c r="Q50" s="69">
        <f t="shared" si="14"/>
        <v>5.1912568306010931E-2</v>
      </c>
      <c r="R50" s="69">
        <f t="shared" si="14"/>
        <v>0.52631578947368418</v>
      </c>
      <c r="S50" s="7"/>
      <c r="T50" s="7"/>
      <c r="U50" s="7"/>
      <c r="V50" s="7"/>
      <c r="W50" s="7"/>
    </row>
    <row r="51" spans="1:23" ht="16.8">
      <c r="A51" s="6">
        <v>46137</v>
      </c>
      <c r="B51" s="7" t="s">
        <v>577</v>
      </c>
      <c r="C51" s="91">
        <v>0.96875</v>
      </c>
      <c r="D51" s="77" t="s">
        <v>664</v>
      </c>
      <c r="E51" s="7" t="s">
        <v>309</v>
      </c>
      <c r="F51" s="77" t="s">
        <v>448</v>
      </c>
      <c r="G51" s="7" t="s">
        <v>85</v>
      </c>
      <c r="H51" s="52" t="s">
        <v>157</v>
      </c>
      <c r="I51" s="98"/>
      <c r="J51" s="7" t="s">
        <v>309</v>
      </c>
      <c r="K51" s="52" t="s">
        <v>157</v>
      </c>
      <c r="L51" s="86">
        <v>617</v>
      </c>
      <c r="M51" s="86">
        <v>23</v>
      </c>
      <c r="N51" s="86">
        <v>13</v>
      </c>
      <c r="O51" s="86">
        <v>0</v>
      </c>
      <c r="P51" s="86">
        <v>0</v>
      </c>
      <c r="Q51" s="69">
        <f t="shared" si="14"/>
        <v>3.7277147487844407E-2</v>
      </c>
      <c r="R51" s="69">
        <f t="shared" si="14"/>
        <v>0.56521739130434778</v>
      </c>
      <c r="S51" s="86"/>
      <c r="T51" s="86"/>
      <c r="U51" s="86"/>
      <c r="V51" s="86"/>
      <c r="W51" s="87"/>
    </row>
    <row r="52" spans="1:23" ht="6.6" customHeight="1">
      <c r="A52" s="22"/>
      <c r="B52" s="23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5"/>
      <c r="R52" s="25"/>
      <c r="S52" s="24"/>
      <c r="T52" s="24"/>
      <c r="U52" s="24"/>
      <c r="V52" s="25"/>
      <c r="W52" s="26"/>
    </row>
    <row r="53" spans="1:23">
      <c r="A53" s="6">
        <v>46138</v>
      </c>
      <c r="B53" s="7" t="s">
        <v>578</v>
      </c>
      <c r="C53" s="18" t="s">
        <v>598</v>
      </c>
      <c r="D53" s="18" t="s">
        <v>310</v>
      </c>
      <c r="E53" s="18" t="s">
        <v>309</v>
      </c>
      <c r="F53" s="18" t="s">
        <v>311</v>
      </c>
      <c r="G53" s="18" t="s">
        <v>85</v>
      </c>
      <c r="H53" s="18" t="s">
        <v>186</v>
      </c>
      <c r="I53" s="47"/>
      <c r="J53" s="18" t="s">
        <v>309</v>
      </c>
      <c r="K53" s="18" t="s">
        <v>186</v>
      </c>
      <c r="L53" s="7">
        <v>1870</v>
      </c>
      <c r="M53" s="7">
        <v>9</v>
      </c>
      <c r="N53" s="7">
        <v>2</v>
      </c>
      <c r="O53" s="7">
        <v>0</v>
      </c>
      <c r="P53" s="7">
        <v>0</v>
      </c>
      <c r="Q53" s="69">
        <f t="shared" ref="Q53:R53" si="15">M53/L53</f>
        <v>4.8128342245989308E-3</v>
      </c>
      <c r="R53" s="69">
        <f t="shared" si="15"/>
        <v>0.22222222222222221</v>
      </c>
      <c r="S53" s="7"/>
      <c r="T53" s="7"/>
      <c r="U53" s="7"/>
      <c r="V53" s="7"/>
      <c r="W53" s="7"/>
    </row>
    <row r="54" spans="1:23">
      <c r="A54" s="6">
        <v>46138</v>
      </c>
      <c r="B54" s="7" t="s">
        <v>578</v>
      </c>
      <c r="C54" s="18" t="s">
        <v>605</v>
      </c>
      <c r="D54" s="18" t="s">
        <v>604</v>
      </c>
      <c r="E54" s="18" t="s">
        <v>309</v>
      </c>
      <c r="F54" s="18" t="s">
        <v>603</v>
      </c>
      <c r="G54" s="18" t="s">
        <v>85</v>
      </c>
      <c r="H54" s="18" t="s">
        <v>186</v>
      </c>
      <c r="I54" s="29"/>
      <c r="J54" s="18"/>
      <c r="K54" s="18"/>
      <c r="L54" s="7"/>
      <c r="M54" s="7"/>
      <c r="N54" s="7"/>
      <c r="O54" s="7"/>
      <c r="P54" s="7"/>
      <c r="Q54" s="69"/>
      <c r="R54" s="69"/>
      <c r="S54" s="7"/>
      <c r="T54" s="86"/>
      <c r="U54" s="86"/>
      <c r="V54" s="86"/>
      <c r="W54" s="7"/>
    </row>
    <row r="55" spans="1:23">
      <c r="A55" s="6">
        <v>46138</v>
      </c>
      <c r="B55" s="7" t="s">
        <v>578</v>
      </c>
      <c r="C55" s="18" t="s">
        <v>347</v>
      </c>
      <c r="D55" s="18" t="s">
        <v>354</v>
      </c>
      <c r="E55" s="18" t="s">
        <v>309</v>
      </c>
      <c r="F55" s="18" t="s">
        <v>355</v>
      </c>
      <c r="G55" s="18" t="s">
        <v>85</v>
      </c>
      <c r="H55" s="18" t="s">
        <v>313</v>
      </c>
      <c r="I55" s="47"/>
      <c r="J55" s="18" t="s">
        <v>309</v>
      </c>
      <c r="K55" s="18" t="s">
        <v>313</v>
      </c>
      <c r="L55" s="7"/>
      <c r="M55" s="7"/>
      <c r="N55" s="7"/>
      <c r="O55" s="7"/>
      <c r="P55" s="7"/>
      <c r="Q55" s="69" t="e">
        <f t="shared" ref="Q55:R56" si="16">M55/L55</f>
        <v>#DIV/0!</v>
      </c>
      <c r="R55" s="69" t="e">
        <f t="shared" si="16"/>
        <v>#DIV/0!</v>
      </c>
      <c r="S55" s="7"/>
      <c r="T55" s="7"/>
      <c r="U55" s="7"/>
      <c r="V55" s="7"/>
      <c r="W55" s="7"/>
    </row>
    <row r="56" spans="1:23">
      <c r="A56" s="6">
        <v>46138</v>
      </c>
      <c r="B56" s="7" t="s">
        <v>578</v>
      </c>
      <c r="C56" s="18" t="s">
        <v>598</v>
      </c>
      <c r="D56" s="18" t="s">
        <v>510</v>
      </c>
      <c r="E56" s="18" t="s">
        <v>309</v>
      </c>
      <c r="F56" s="18" t="s">
        <v>509</v>
      </c>
      <c r="G56" s="18" t="s">
        <v>85</v>
      </c>
      <c r="H56" s="18" t="s">
        <v>106</v>
      </c>
      <c r="I56" s="47"/>
      <c r="J56" s="18" t="s">
        <v>309</v>
      </c>
      <c r="K56" s="18" t="s">
        <v>106</v>
      </c>
      <c r="L56" s="7">
        <v>750</v>
      </c>
      <c r="M56" s="7">
        <v>8</v>
      </c>
      <c r="N56" s="7">
        <v>2</v>
      </c>
      <c r="O56" s="7">
        <v>0</v>
      </c>
      <c r="P56" s="7">
        <v>5</v>
      </c>
      <c r="Q56" s="69">
        <f t="shared" si="16"/>
        <v>1.0666666666666666E-2</v>
      </c>
      <c r="R56" s="69">
        <f t="shared" si="16"/>
        <v>0.25</v>
      </c>
      <c r="S56" s="7"/>
      <c r="T56" s="7"/>
      <c r="U56" s="7"/>
      <c r="V56" s="7"/>
      <c r="W56" s="7"/>
    </row>
    <row r="57" spans="1:23">
      <c r="A57" s="6">
        <v>46138</v>
      </c>
      <c r="B57" s="7" t="s">
        <v>578</v>
      </c>
      <c r="C57" s="18" t="s">
        <v>605</v>
      </c>
      <c r="D57" s="18" t="s">
        <v>604</v>
      </c>
      <c r="E57" s="18" t="s">
        <v>309</v>
      </c>
      <c r="F57" s="18" t="s">
        <v>603</v>
      </c>
      <c r="G57" s="18" t="s">
        <v>85</v>
      </c>
      <c r="H57" s="18" t="s">
        <v>106</v>
      </c>
      <c r="I57" s="29"/>
      <c r="J57" s="18"/>
      <c r="K57" s="18"/>
      <c r="L57" s="7"/>
      <c r="M57" s="7"/>
      <c r="N57" s="7"/>
      <c r="O57" s="7"/>
      <c r="P57" s="7"/>
      <c r="Q57" s="69"/>
      <c r="R57" s="69"/>
      <c r="S57" s="7"/>
      <c r="T57" s="7"/>
      <c r="U57" s="7"/>
      <c r="V57" s="7"/>
      <c r="W57" s="7"/>
    </row>
    <row r="58" spans="1:23">
      <c r="A58" s="6">
        <v>46138</v>
      </c>
      <c r="B58" s="7" t="s">
        <v>578</v>
      </c>
      <c r="C58" s="62">
        <v>0.79166666666666663</v>
      </c>
      <c r="D58" s="77" t="s">
        <v>656</v>
      </c>
      <c r="E58" s="77" t="s">
        <v>309</v>
      </c>
      <c r="F58" s="77" t="s">
        <v>527</v>
      </c>
      <c r="G58" s="77" t="s">
        <v>85</v>
      </c>
      <c r="H58" s="77" t="s">
        <v>380</v>
      </c>
      <c r="I58" s="84"/>
      <c r="J58" s="77" t="s">
        <v>309</v>
      </c>
      <c r="K58" s="77" t="s">
        <v>380</v>
      </c>
      <c r="L58" s="7">
        <v>3718</v>
      </c>
      <c r="M58" s="7">
        <v>30</v>
      </c>
      <c r="N58" s="7">
        <v>7</v>
      </c>
      <c r="O58" s="7">
        <v>0</v>
      </c>
      <c r="P58" s="7">
        <v>2</v>
      </c>
      <c r="Q58" s="69">
        <f t="shared" ref="Q58:R63" si="17">M58/L58</f>
        <v>8.0688542227003758E-3</v>
      </c>
      <c r="R58" s="69">
        <f t="shared" si="17"/>
        <v>0.23333333333333334</v>
      </c>
      <c r="S58" s="7"/>
      <c r="T58" s="7"/>
      <c r="U58" s="7"/>
      <c r="V58" s="7"/>
      <c r="W58" s="7"/>
    </row>
    <row r="59" spans="1:23">
      <c r="A59" s="6">
        <v>46138</v>
      </c>
      <c r="B59" s="7" t="s">
        <v>578</v>
      </c>
      <c r="C59" s="62">
        <v>0.80208333333333337</v>
      </c>
      <c r="D59" s="77" t="s">
        <v>657</v>
      </c>
      <c r="E59" s="77" t="s">
        <v>309</v>
      </c>
      <c r="F59" s="77" t="s">
        <v>529</v>
      </c>
      <c r="G59" s="77" t="s">
        <v>85</v>
      </c>
      <c r="H59" s="77" t="s">
        <v>383</v>
      </c>
      <c r="I59" s="84"/>
      <c r="J59" s="77" t="s">
        <v>309</v>
      </c>
      <c r="K59" s="77" t="s">
        <v>383</v>
      </c>
      <c r="L59" s="7">
        <v>1646</v>
      </c>
      <c r="M59" s="7">
        <v>7</v>
      </c>
      <c r="N59" s="7">
        <v>2</v>
      </c>
      <c r="O59" s="7">
        <v>0</v>
      </c>
      <c r="P59" s="7">
        <v>0</v>
      </c>
      <c r="Q59" s="69">
        <f t="shared" si="17"/>
        <v>4.2527339003645198E-3</v>
      </c>
      <c r="R59" s="69">
        <f t="shared" si="17"/>
        <v>0.2857142857142857</v>
      </c>
      <c r="S59" s="7"/>
      <c r="T59" s="7"/>
      <c r="U59" s="7"/>
      <c r="V59" s="7"/>
      <c r="W59" s="7"/>
    </row>
    <row r="60" spans="1:23">
      <c r="A60" s="6">
        <v>46138</v>
      </c>
      <c r="B60" s="7" t="s">
        <v>578</v>
      </c>
      <c r="C60" s="62">
        <v>0.77083333333333337</v>
      </c>
      <c r="D60" s="77" t="s">
        <v>658</v>
      </c>
      <c r="E60" s="77" t="s">
        <v>309</v>
      </c>
      <c r="F60" s="77" t="s">
        <v>531</v>
      </c>
      <c r="G60" s="77" t="s">
        <v>85</v>
      </c>
      <c r="H60" s="7" t="s">
        <v>350</v>
      </c>
      <c r="I60" s="84"/>
      <c r="J60" s="77" t="s">
        <v>309</v>
      </c>
      <c r="K60" s="7" t="s">
        <v>350</v>
      </c>
      <c r="L60" s="7">
        <v>5579</v>
      </c>
      <c r="M60" s="7">
        <v>23</v>
      </c>
      <c r="N60" s="7">
        <v>6</v>
      </c>
      <c r="O60" s="7">
        <v>0</v>
      </c>
      <c r="P60" s="7">
        <v>2</v>
      </c>
      <c r="Q60" s="69">
        <f t="shared" si="17"/>
        <v>4.1226026169564438E-3</v>
      </c>
      <c r="R60" s="69">
        <f t="shared" si="17"/>
        <v>0.2608695652173913</v>
      </c>
      <c r="S60" s="7"/>
      <c r="T60" s="7"/>
      <c r="U60" s="7"/>
      <c r="V60" s="7"/>
      <c r="W60" s="7"/>
    </row>
    <row r="61" spans="1:23">
      <c r="A61" s="6">
        <v>46138</v>
      </c>
      <c r="B61" s="7" t="s">
        <v>578</v>
      </c>
      <c r="C61" s="62">
        <v>0.8125</v>
      </c>
      <c r="D61" s="77" t="s">
        <v>659</v>
      </c>
      <c r="E61" s="77" t="s">
        <v>309</v>
      </c>
      <c r="F61" s="77" t="s">
        <v>533</v>
      </c>
      <c r="G61" s="77" t="s">
        <v>85</v>
      </c>
      <c r="H61" s="7" t="s">
        <v>351</v>
      </c>
      <c r="I61" s="84"/>
      <c r="J61" s="77" t="s">
        <v>309</v>
      </c>
      <c r="K61" s="7" t="s">
        <v>351</v>
      </c>
      <c r="L61" s="7">
        <v>3282</v>
      </c>
      <c r="M61" s="7">
        <v>13</v>
      </c>
      <c r="N61" s="7">
        <v>7</v>
      </c>
      <c r="O61" s="7">
        <v>2</v>
      </c>
      <c r="P61" s="7">
        <v>0</v>
      </c>
      <c r="Q61" s="69">
        <f t="shared" si="17"/>
        <v>3.9609993906154781E-3</v>
      </c>
      <c r="R61" s="69">
        <f t="shared" si="17"/>
        <v>0.53846153846153844</v>
      </c>
      <c r="S61" s="7"/>
      <c r="T61" s="7"/>
      <c r="U61" s="7"/>
      <c r="V61" s="7"/>
      <c r="W61" s="7"/>
    </row>
    <row r="62" spans="1:23">
      <c r="A62" s="6">
        <v>46138</v>
      </c>
      <c r="B62" s="7" t="s">
        <v>578</v>
      </c>
      <c r="C62" s="62">
        <v>0.85416666666666663</v>
      </c>
      <c r="D62" s="88" t="s">
        <v>660</v>
      </c>
      <c r="E62" s="88" t="s">
        <v>309</v>
      </c>
      <c r="F62" s="88" t="s">
        <v>539</v>
      </c>
      <c r="G62" s="7" t="s">
        <v>85</v>
      </c>
      <c r="H62" s="7" t="s">
        <v>210</v>
      </c>
      <c r="I62" s="29"/>
      <c r="J62" s="7" t="s">
        <v>309</v>
      </c>
      <c r="K62" s="7" t="s">
        <v>210</v>
      </c>
      <c r="L62" s="7">
        <v>798</v>
      </c>
      <c r="M62" s="7">
        <v>28</v>
      </c>
      <c r="N62" s="7">
        <v>18</v>
      </c>
      <c r="O62" s="7">
        <v>0</v>
      </c>
      <c r="P62" s="7">
        <v>0</v>
      </c>
      <c r="Q62" s="69">
        <f t="shared" si="17"/>
        <v>3.5087719298245612E-2</v>
      </c>
      <c r="R62" s="69">
        <f t="shared" si="17"/>
        <v>0.6428571428571429</v>
      </c>
      <c r="S62" s="7"/>
      <c r="T62" s="7"/>
      <c r="U62" s="7"/>
      <c r="V62" s="7"/>
      <c r="W62" s="7"/>
    </row>
    <row r="63" spans="1:23" ht="16.8">
      <c r="A63" s="6">
        <v>46138</v>
      </c>
      <c r="B63" s="7" t="s">
        <v>578</v>
      </c>
      <c r="C63" s="91">
        <v>0.96875</v>
      </c>
      <c r="D63" s="86" t="s">
        <v>661</v>
      </c>
      <c r="E63" s="7" t="s">
        <v>309</v>
      </c>
      <c r="F63" s="86" t="s">
        <v>512</v>
      </c>
      <c r="G63" s="7" t="s">
        <v>85</v>
      </c>
      <c r="H63" s="52" t="s">
        <v>157</v>
      </c>
      <c r="I63" s="98"/>
      <c r="J63" s="7" t="s">
        <v>309</v>
      </c>
      <c r="K63" s="52" t="s">
        <v>157</v>
      </c>
      <c r="L63" s="86">
        <v>675</v>
      </c>
      <c r="M63" s="86">
        <v>33</v>
      </c>
      <c r="N63" s="86">
        <v>12</v>
      </c>
      <c r="O63" s="86">
        <v>2</v>
      </c>
      <c r="P63" s="86">
        <v>0</v>
      </c>
      <c r="Q63" s="69">
        <f t="shared" si="17"/>
        <v>4.8888888888888891E-2</v>
      </c>
      <c r="R63" s="69">
        <f t="shared" si="17"/>
        <v>0.36363636363636365</v>
      </c>
      <c r="S63" s="86"/>
      <c r="T63" s="86"/>
      <c r="U63" s="86"/>
      <c r="V63" s="86"/>
      <c r="W63" s="87"/>
    </row>
    <row r="64" spans="1:23" ht="6.6" customHeight="1">
      <c r="A64" s="22"/>
      <c r="B64" s="23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5"/>
      <c r="R64" s="25"/>
      <c r="S64" s="24"/>
      <c r="T64" s="24"/>
      <c r="U64" s="24"/>
      <c r="V64" s="25"/>
      <c r="W64" s="26"/>
    </row>
    <row r="65" spans="1:23">
      <c r="A65" s="6">
        <v>46139</v>
      </c>
      <c r="B65" s="7" t="s">
        <v>301</v>
      </c>
      <c r="C65" s="18" t="s">
        <v>598</v>
      </c>
      <c r="D65" s="18" t="s">
        <v>310</v>
      </c>
      <c r="E65" s="18" t="s">
        <v>309</v>
      </c>
      <c r="F65" s="18" t="s">
        <v>311</v>
      </c>
      <c r="G65" s="18" t="s">
        <v>85</v>
      </c>
      <c r="H65" s="18" t="s">
        <v>186</v>
      </c>
      <c r="I65" s="47"/>
      <c r="J65" s="18" t="s">
        <v>309</v>
      </c>
      <c r="K65" s="18" t="s">
        <v>186</v>
      </c>
      <c r="L65" s="7">
        <v>1933</v>
      </c>
      <c r="M65" s="7">
        <v>10</v>
      </c>
      <c r="N65" s="7">
        <v>1</v>
      </c>
      <c r="O65" s="7">
        <v>1</v>
      </c>
      <c r="P65" s="7">
        <v>0</v>
      </c>
      <c r="Q65" s="69">
        <f t="shared" ref="Q65:R77" si="18">M65/L65</f>
        <v>5.1733057423693739E-3</v>
      </c>
      <c r="R65" s="69">
        <f t="shared" si="18"/>
        <v>0.1</v>
      </c>
      <c r="S65" s="7"/>
      <c r="T65" s="7">
        <v>767</v>
      </c>
      <c r="U65" s="7">
        <v>10</v>
      </c>
      <c r="V65" s="7">
        <v>2</v>
      </c>
      <c r="W65" s="7"/>
    </row>
    <row r="66" spans="1:23">
      <c r="A66" s="6">
        <v>46139</v>
      </c>
      <c r="B66" s="7" t="s">
        <v>301</v>
      </c>
      <c r="C66" s="18" t="s">
        <v>605</v>
      </c>
      <c r="D66" s="18" t="s">
        <v>604</v>
      </c>
      <c r="E66" s="18" t="s">
        <v>309</v>
      </c>
      <c r="F66" s="18" t="s">
        <v>603</v>
      </c>
      <c r="G66" s="18" t="s">
        <v>85</v>
      </c>
      <c r="H66" s="18" t="s">
        <v>186</v>
      </c>
      <c r="I66" s="29"/>
      <c r="J66" s="18" t="s">
        <v>309</v>
      </c>
      <c r="K66" s="18" t="s">
        <v>186</v>
      </c>
      <c r="L66" s="7"/>
      <c r="M66" s="7"/>
      <c r="N66" s="7"/>
      <c r="O66" s="7"/>
      <c r="P66" s="7"/>
      <c r="Q66" s="69" t="e">
        <f t="shared" si="18"/>
        <v>#DIV/0!</v>
      </c>
      <c r="R66" s="69" t="e">
        <f t="shared" si="18"/>
        <v>#DIV/0!</v>
      </c>
      <c r="S66" s="7"/>
      <c r="T66" s="7">
        <v>1914</v>
      </c>
      <c r="U66" s="7">
        <v>1176</v>
      </c>
      <c r="V66" s="7">
        <v>912</v>
      </c>
      <c r="W66" s="7"/>
    </row>
    <row r="67" spans="1:23">
      <c r="A67" s="6">
        <v>46139</v>
      </c>
      <c r="B67" s="7" t="s">
        <v>301</v>
      </c>
      <c r="C67" s="18" t="s">
        <v>347</v>
      </c>
      <c r="D67" s="18" t="s">
        <v>354</v>
      </c>
      <c r="E67" s="18" t="s">
        <v>309</v>
      </c>
      <c r="F67" s="18" t="s">
        <v>355</v>
      </c>
      <c r="G67" s="18" t="s">
        <v>85</v>
      </c>
      <c r="H67" s="18" t="s">
        <v>313</v>
      </c>
      <c r="I67" s="47"/>
      <c r="J67" s="18" t="s">
        <v>309</v>
      </c>
      <c r="K67" s="18" t="s">
        <v>313</v>
      </c>
      <c r="L67" s="7"/>
      <c r="M67" s="7"/>
      <c r="N67" s="7"/>
      <c r="O67" s="7"/>
      <c r="P67" s="7"/>
      <c r="Q67" s="69" t="e">
        <f t="shared" si="18"/>
        <v>#DIV/0!</v>
      </c>
      <c r="R67" s="69" t="e">
        <f t="shared" si="18"/>
        <v>#DIV/0!</v>
      </c>
      <c r="S67" s="7"/>
      <c r="T67" s="86">
        <v>2492</v>
      </c>
      <c r="U67" s="86">
        <v>1765</v>
      </c>
      <c r="V67" s="86">
        <v>1331</v>
      </c>
      <c r="W67" s="7"/>
    </row>
    <row r="68" spans="1:23">
      <c r="A68" s="6">
        <v>46139</v>
      </c>
      <c r="B68" s="7" t="s">
        <v>301</v>
      </c>
      <c r="C68" s="18" t="s">
        <v>598</v>
      </c>
      <c r="D68" s="18" t="s">
        <v>510</v>
      </c>
      <c r="E68" s="18" t="s">
        <v>309</v>
      </c>
      <c r="F68" s="18" t="s">
        <v>509</v>
      </c>
      <c r="G68" s="18" t="s">
        <v>85</v>
      </c>
      <c r="H68" s="18" t="s">
        <v>106</v>
      </c>
      <c r="I68" s="47"/>
      <c r="J68" s="18" t="s">
        <v>309</v>
      </c>
      <c r="K68" s="18" t="s">
        <v>106</v>
      </c>
      <c r="L68" s="7">
        <v>767</v>
      </c>
      <c r="M68" s="7">
        <v>10</v>
      </c>
      <c r="N68" s="7">
        <v>2</v>
      </c>
      <c r="O68" s="7">
        <v>4</v>
      </c>
      <c r="P68" s="7">
        <v>0</v>
      </c>
      <c r="Q68" s="69">
        <f t="shared" si="18"/>
        <v>1.303780964797914E-2</v>
      </c>
      <c r="R68" s="69">
        <f t="shared" si="18"/>
        <v>0.2</v>
      </c>
      <c r="S68" s="7"/>
      <c r="T68" s="86">
        <v>1497</v>
      </c>
      <c r="U68" s="86">
        <v>1199</v>
      </c>
      <c r="V68" s="86">
        <v>1111</v>
      </c>
      <c r="W68" s="7"/>
    </row>
    <row r="69" spans="1:23">
      <c r="A69" s="6">
        <v>46139</v>
      </c>
      <c r="B69" s="7" t="s">
        <v>301</v>
      </c>
      <c r="C69" s="18" t="s">
        <v>605</v>
      </c>
      <c r="D69" s="18" t="s">
        <v>604</v>
      </c>
      <c r="E69" s="18" t="s">
        <v>309</v>
      </c>
      <c r="F69" s="18" t="s">
        <v>603</v>
      </c>
      <c r="G69" s="18" t="s">
        <v>85</v>
      </c>
      <c r="H69" s="18" t="s">
        <v>106</v>
      </c>
      <c r="I69" s="29"/>
      <c r="J69" s="18" t="s">
        <v>309</v>
      </c>
      <c r="K69" s="18" t="s">
        <v>106</v>
      </c>
      <c r="L69" s="7"/>
      <c r="M69" s="7"/>
      <c r="N69" s="7"/>
      <c r="O69" s="7"/>
      <c r="P69" s="7"/>
      <c r="Q69" s="69" t="e">
        <f t="shared" si="18"/>
        <v>#DIV/0!</v>
      </c>
      <c r="R69" s="69" t="e">
        <f t="shared" si="18"/>
        <v>#DIV/0!</v>
      </c>
      <c r="S69" s="7"/>
      <c r="T69" s="7">
        <f>SUM(T65:T68)</f>
        <v>6670</v>
      </c>
      <c r="U69" s="7">
        <f>SUM(U65:U68)</f>
        <v>4150</v>
      </c>
      <c r="V69" s="7">
        <f>SUM(V65:V68)</f>
        <v>3356</v>
      </c>
      <c r="W69" s="7"/>
    </row>
    <row r="70" spans="1:23">
      <c r="A70" s="6">
        <v>46139</v>
      </c>
      <c r="B70" s="7" t="s">
        <v>301</v>
      </c>
      <c r="C70" s="62">
        <v>0.79166666666666663</v>
      </c>
      <c r="D70" t="s">
        <v>733</v>
      </c>
      <c r="E70" s="77" t="s">
        <v>309</v>
      </c>
      <c r="F70" t="s">
        <v>734</v>
      </c>
      <c r="G70" s="77" t="s">
        <v>85</v>
      </c>
      <c r="H70" s="77" t="s">
        <v>380</v>
      </c>
      <c r="I70" s="14" t="s">
        <v>209</v>
      </c>
      <c r="J70" s="77" t="s">
        <v>309</v>
      </c>
      <c r="K70" s="77" t="s">
        <v>380</v>
      </c>
      <c r="L70" s="7">
        <v>3712</v>
      </c>
      <c r="M70" s="7">
        <v>29</v>
      </c>
      <c r="N70" s="7">
        <v>9</v>
      </c>
      <c r="O70" s="7">
        <v>0</v>
      </c>
      <c r="P70" s="7">
        <v>1</v>
      </c>
      <c r="Q70" s="69">
        <f t="shared" si="18"/>
        <v>7.8125E-3</v>
      </c>
      <c r="R70" s="69">
        <f t="shared" si="18"/>
        <v>0.31034482758620691</v>
      </c>
      <c r="S70" s="7"/>
      <c r="T70" s="7"/>
      <c r="U70" s="7"/>
      <c r="V70" s="7"/>
      <c r="W70" s="7"/>
    </row>
    <row r="71" spans="1:23">
      <c r="A71" s="6">
        <v>46139</v>
      </c>
      <c r="B71" s="7" t="s">
        <v>301</v>
      </c>
      <c r="C71" s="62">
        <v>0.80208333333333337</v>
      </c>
      <c r="D71" t="s">
        <v>735</v>
      </c>
      <c r="E71" s="77" t="s">
        <v>309</v>
      </c>
      <c r="F71" t="s">
        <v>736</v>
      </c>
      <c r="G71" s="77" t="s">
        <v>85</v>
      </c>
      <c r="H71" s="77" t="s">
        <v>383</v>
      </c>
      <c r="I71" s="14" t="s">
        <v>209</v>
      </c>
      <c r="J71" s="77" t="s">
        <v>309</v>
      </c>
      <c r="K71" s="77" t="s">
        <v>383</v>
      </c>
      <c r="L71" s="7">
        <v>1642</v>
      </c>
      <c r="M71" s="7">
        <v>17</v>
      </c>
      <c r="N71" s="7">
        <v>7</v>
      </c>
      <c r="O71" s="7">
        <v>0</v>
      </c>
      <c r="P71" s="7">
        <v>1</v>
      </c>
      <c r="Q71" s="69">
        <f t="shared" si="18"/>
        <v>1.0353227771010963E-2</v>
      </c>
      <c r="R71" s="69">
        <f t="shared" si="18"/>
        <v>0.41176470588235292</v>
      </c>
      <c r="S71" s="7"/>
      <c r="T71" s="7"/>
      <c r="U71" s="7"/>
      <c r="V71" s="7"/>
      <c r="W71" s="7"/>
    </row>
    <row r="72" spans="1:23">
      <c r="A72" s="6">
        <v>46139</v>
      </c>
      <c r="B72" s="7" t="s">
        <v>301</v>
      </c>
      <c r="C72" s="62">
        <v>0.77083333333333337</v>
      </c>
      <c r="D72" t="s">
        <v>737</v>
      </c>
      <c r="E72" s="77" t="s">
        <v>309</v>
      </c>
      <c r="F72" t="s">
        <v>738</v>
      </c>
      <c r="G72" s="77" t="s">
        <v>85</v>
      </c>
      <c r="H72" s="7" t="s">
        <v>350</v>
      </c>
      <c r="I72" s="14" t="s">
        <v>209</v>
      </c>
      <c r="J72" s="77" t="s">
        <v>309</v>
      </c>
      <c r="K72" s="7" t="s">
        <v>350</v>
      </c>
      <c r="L72" s="7">
        <v>5571</v>
      </c>
      <c r="M72" s="7">
        <v>29</v>
      </c>
      <c r="N72" s="7">
        <v>4</v>
      </c>
      <c r="O72" s="7">
        <v>0</v>
      </c>
      <c r="P72" s="7">
        <v>1</v>
      </c>
      <c r="Q72" s="69">
        <f t="shared" si="18"/>
        <v>5.2055286304074676E-3</v>
      </c>
      <c r="R72" s="69">
        <f t="shared" si="18"/>
        <v>0.13793103448275862</v>
      </c>
      <c r="S72" s="7"/>
      <c r="T72" s="7"/>
      <c r="U72" s="7"/>
      <c r="V72" s="7"/>
      <c r="W72" s="7"/>
    </row>
    <row r="73" spans="1:23">
      <c r="A73" s="6">
        <v>46139</v>
      </c>
      <c r="B73" s="7" t="s">
        <v>301</v>
      </c>
      <c r="C73" s="62">
        <v>0.8125</v>
      </c>
      <c r="D73" t="s">
        <v>739</v>
      </c>
      <c r="E73" s="77" t="s">
        <v>309</v>
      </c>
      <c r="F73" t="s">
        <v>740</v>
      </c>
      <c r="G73" s="77" t="s">
        <v>85</v>
      </c>
      <c r="H73" s="87" t="s">
        <v>351</v>
      </c>
      <c r="I73" s="14" t="s">
        <v>209</v>
      </c>
      <c r="J73" s="77" t="s">
        <v>309</v>
      </c>
      <c r="K73" s="7" t="s">
        <v>351</v>
      </c>
      <c r="L73" s="7">
        <v>3278</v>
      </c>
      <c r="M73" s="7">
        <v>23</v>
      </c>
      <c r="N73" s="7">
        <v>7</v>
      </c>
      <c r="O73" s="7">
        <v>0</v>
      </c>
      <c r="P73" s="7">
        <v>1</v>
      </c>
      <c r="Q73" s="69">
        <f t="shared" si="18"/>
        <v>7.0164734594264791E-3</v>
      </c>
      <c r="R73" s="69">
        <f t="shared" si="18"/>
        <v>0.30434782608695654</v>
      </c>
      <c r="S73" s="7"/>
      <c r="T73" s="7"/>
      <c r="U73" s="7"/>
      <c r="V73" s="7"/>
      <c r="W73" s="7"/>
    </row>
    <row r="74" spans="1:23">
      <c r="A74" s="6">
        <v>46139</v>
      </c>
      <c r="B74" s="7" t="s">
        <v>301</v>
      </c>
      <c r="C74" s="62">
        <v>0.85416666666666663</v>
      </c>
      <c r="D74" t="s">
        <v>741</v>
      </c>
      <c r="E74" s="88" t="s">
        <v>309</v>
      </c>
      <c r="F74" t="s">
        <v>742</v>
      </c>
      <c r="G74" s="77" t="s">
        <v>85</v>
      </c>
      <c r="H74" s="87" t="s">
        <v>210</v>
      </c>
      <c r="I74" s="14" t="s">
        <v>209</v>
      </c>
      <c r="J74" s="7" t="s">
        <v>309</v>
      </c>
      <c r="K74" s="7" t="s">
        <v>210</v>
      </c>
      <c r="L74" s="7">
        <v>862</v>
      </c>
      <c r="M74" s="7">
        <v>31</v>
      </c>
      <c r="N74" s="7">
        <v>18</v>
      </c>
      <c r="O74" s="7">
        <v>1</v>
      </c>
      <c r="P74" s="7">
        <v>0</v>
      </c>
      <c r="Q74" s="69">
        <f t="shared" si="18"/>
        <v>3.5962877030162411E-2</v>
      </c>
      <c r="R74" s="69">
        <f t="shared" si="18"/>
        <v>0.58064516129032262</v>
      </c>
      <c r="S74" s="7"/>
      <c r="T74" s="7"/>
      <c r="U74" s="7"/>
      <c r="V74" s="7"/>
      <c r="W74" s="7"/>
    </row>
    <row r="75" spans="1:23" ht="16.8">
      <c r="A75" s="6">
        <v>46139</v>
      </c>
      <c r="B75" s="7" t="s">
        <v>301</v>
      </c>
      <c r="C75" s="62">
        <v>0.96875</v>
      </c>
      <c r="D75" t="s">
        <v>743</v>
      </c>
      <c r="E75" s="7" t="s">
        <v>309</v>
      </c>
      <c r="F75" t="s">
        <v>734</v>
      </c>
      <c r="G75" s="77" t="s">
        <v>85</v>
      </c>
      <c r="H75" s="104" t="s">
        <v>157</v>
      </c>
      <c r="I75" s="14"/>
      <c r="J75" s="7" t="s">
        <v>309</v>
      </c>
      <c r="K75" s="52" t="s">
        <v>157</v>
      </c>
      <c r="L75" s="7">
        <v>1914</v>
      </c>
      <c r="M75" s="7">
        <v>1176</v>
      </c>
      <c r="N75" s="7">
        <v>912</v>
      </c>
      <c r="O75" s="7">
        <v>0</v>
      </c>
      <c r="P75" s="7">
        <v>1</v>
      </c>
      <c r="Q75" s="69">
        <f t="shared" si="18"/>
        <v>0.61442006269592475</v>
      </c>
      <c r="R75" s="69">
        <f t="shared" si="18"/>
        <v>0.77551020408163263</v>
      </c>
      <c r="S75" s="86"/>
      <c r="T75" s="86"/>
      <c r="U75" s="86"/>
      <c r="V75" s="86"/>
      <c r="W75" s="87"/>
    </row>
    <row r="76" spans="1:23" ht="16.8">
      <c r="A76" s="6">
        <v>46139</v>
      </c>
      <c r="B76" s="7" t="s">
        <v>301</v>
      </c>
      <c r="C76" s="62" t="s">
        <v>720</v>
      </c>
      <c r="D76" s="111" t="s">
        <v>747</v>
      </c>
      <c r="E76" s="77" t="s">
        <v>28</v>
      </c>
      <c r="F76" s="77" t="s">
        <v>715</v>
      </c>
      <c r="G76" s="77"/>
      <c r="H76" s="110" t="s">
        <v>157</v>
      </c>
      <c r="I76" s="113"/>
      <c r="J76" s="7"/>
      <c r="K76" s="109"/>
      <c r="L76" s="86">
        <v>2492</v>
      </c>
      <c r="M76" s="86">
        <v>1765</v>
      </c>
      <c r="N76" s="86">
        <v>1331</v>
      </c>
      <c r="O76" s="86">
        <v>0</v>
      </c>
      <c r="P76" s="86">
        <v>0</v>
      </c>
      <c r="Q76" s="69">
        <f t="shared" si="18"/>
        <v>0.7082664526484751</v>
      </c>
      <c r="R76" s="69">
        <f t="shared" si="18"/>
        <v>0.75410764872521241</v>
      </c>
      <c r="S76" s="86"/>
      <c r="T76" s="86"/>
      <c r="U76" s="86"/>
      <c r="V76" s="86"/>
      <c r="W76" s="87"/>
    </row>
    <row r="77" spans="1:23" ht="16.8">
      <c r="A77" s="6">
        <v>46139</v>
      </c>
      <c r="B77" s="7" t="s">
        <v>301</v>
      </c>
      <c r="C77" s="62"/>
      <c r="D77" t="s">
        <v>744</v>
      </c>
      <c r="E77" s="86" t="s">
        <v>309</v>
      </c>
      <c r="F77" t="s">
        <v>738</v>
      </c>
      <c r="G77" s="77" t="s">
        <v>85</v>
      </c>
      <c r="H77" s="93" t="s">
        <v>685</v>
      </c>
      <c r="I77" s="113" t="s">
        <v>686</v>
      </c>
      <c r="J77" s="7" t="s">
        <v>309</v>
      </c>
      <c r="K77" s="93" t="s">
        <v>685</v>
      </c>
      <c r="L77" s="86">
        <v>1497</v>
      </c>
      <c r="M77" s="86">
        <v>1199</v>
      </c>
      <c r="N77" s="86">
        <v>1111</v>
      </c>
      <c r="O77" s="86">
        <v>0</v>
      </c>
      <c r="P77" s="86">
        <v>3</v>
      </c>
      <c r="Q77" s="69">
        <f t="shared" si="18"/>
        <v>0.80093520374081495</v>
      </c>
      <c r="R77" s="69">
        <f t="shared" si="18"/>
        <v>0.92660550458715596</v>
      </c>
      <c r="S77" s="86"/>
      <c r="T77" s="86"/>
      <c r="U77" s="86"/>
      <c r="V77" s="86"/>
      <c r="W77" s="87"/>
    </row>
    <row r="78" spans="1:23" ht="6.6" customHeight="1">
      <c r="A78" s="22"/>
      <c r="B78" s="23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5"/>
      <c r="R78" s="25"/>
      <c r="S78" s="24"/>
      <c r="T78" s="24"/>
      <c r="U78" s="24"/>
      <c r="V78" s="25"/>
      <c r="W78" s="26"/>
    </row>
    <row r="79" spans="1:23">
      <c r="A79" s="6">
        <v>46140</v>
      </c>
      <c r="B79" s="7" t="s">
        <v>316</v>
      </c>
      <c r="C79" s="18" t="s">
        <v>598</v>
      </c>
      <c r="D79" s="18" t="s">
        <v>310</v>
      </c>
      <c r="E79" s="18" t="s">
        <v>309</v>
      </c>
      <c r="F79" s="18" t="s">
        <v>311</v>
      </c>
      <c r="G79" s="18" t="s">
        <v>85</v>
      </c>
      <c r="H79" s="18" t="s">
        <v>186</v>
      </c>
      <c r="I79" s="47"/>
      <c r="J79" s="18" t="s">
        <v>309</v>
      </c>
      <c r="K79" s="18" t="s">
        <v>186</v>
      </c>
      <c r="L79" s="7">
        <v>1998</v>
      </c>
      <c r="M79" s="7">
        <v>18</v>
      </c>
      <c r="N79" s="7">
        <v>5</v>
      </c>
      <c r="O79" s="7">
        <v>0</v>
      </c>
      <c r="P79" s="7">
        <v>0</v>
      </c>
      <c r="Q79" s="69">
        <f t="shared" ref="Q79:R91" si="19">M79/L79</f>
        <v>9.0090090090090089E-3</v>
      </c>
      <c r="R79" s="69">
        <f t="shared" si="19"/>
        <v>0.27777777777777779</v>
      </c>
      <c r="S79" s="7"/>
      <c r="T79" s="7"/>
      <c r="U79" s="7"/>
      <c r="V79" s="7"/>
      <c r="W79" s="7"/>
    </row>
    <row r="80" spans="1:23">
      <c r="A80" s="6">
        <v>46140</v>
      </c>
      <c r="B80" s="7" t="s">
        <v>316</v>
      </c>
      <c r="C80" s="18" t="s">
        <v>605</v>
      </c>
      <c r="D80" s="18" t="s">
        <v>604</v>
      </c>
      <c r="E80" s="18" t="s">
        <v>309</v>
      </c>
      <c r="F80" s="18" t="s">
        <v>603</v>
      </c>
      <c r="G80" s="18" t="s">
        <v>85</v>
      </c>
      <c r="H80" s="18" t="s">
        <v>186</v>
      </c>
      <c r="I80" s="29"/>
      <c r="J80" s="18" t="s">
        <v>309</v>
      </c>
      <c r="K80" s="18" t="s">
        <v>186</v>
      </c>
      <c r="L80" s="7"/>
      <c r="M80" s="7"/>
      <c r="N80" s="7"/>
      <c r="O80" s="7"/>
      <c r="P80" s="7"/>
      <c r="Q80" s="69" t="e">
        <f t="shared" si="19"/>
        <v>#DIV/0!</v>
      </c>
      <c r="R80" s="69" t="e">
        <f t="shared" si="19"/>
        <v>#DIV/0!</v>
      </c>
      <c r="S80" s="7"/>
      <c r="T80" s="7"/>
      <c r="U80" s="7"/>
      <c r="V80" s="7"/>
      <c r="W80" s="7"/>
    </row>
    <row r="81" spans="1:23">
      <c r="A81" s="6">
        <v>46140</v>
      </c>
      <c r="B81" s="7" t="s">
        <v>316</v>
      </c>
      <c r="C81" s="18" t="s">
        <v>347</v>
      </c>
      <c r="D81" s="18" t="s">
        <v>354</v>
      </c>
      <c r="E81" s="18" t="s">
        <v>309</v>
      </c>
      <c r="F81" s="18" t="s">
        <v>355</v>
      </c>
      <c r="G81" s="18" t="s">
        <v>85</v>
      </c>
      <c r="H81" s="18" t="s">
        <v>313</v>
      </c>
      <c r="I81" s="47"/>
      <c r="J81" s="18" t="s">
        <v>309</v>
      </c>
      <c r="K81" s="18" t="s">
        <v>313</v>
      </c>
      <c r="L81" s="7"/>
      <c r="M81" s="7"/>
      <c r="N81" s="7"/>
      <c r="O81" s="7"/>
      <c r="P81" s="7"/>
      <c r="Q81" s="69" t="e">
        <f t="shared" si="19"/>
        <v>#DIV/0!</v>
      </c>
      <c r="R81" s="69" t="e">
        <f t="shared" si="19"/>
        <v>#DIV/0!</v>
      </c>
      <c r="S81" s="7"/>
      <c r="T81" s="86"/>
      <c r="U81" s="86"/>
      <c r="V81" s="86"/>
      <c r="W81" s="7"/>
    </row>
    <row r="82" spans="1:23">
      <c r="A82" s="6">
        <v>46140</v>
      </c>
      <c r="B82" s="7" t="s">
        <v>316</v>
      </c>
      <c r="C82" s="18" t="s">
        <v>598</v>
      </c>
      <c r="D82" s="18" t="s">
        <v>510</v>
      </c>
      <c r="E82" s="18" t="s">
        <v>309</v>
      </c>
      <c r="F82" s="18" t="s">
        <v>509</v>
      </c>
      <c r="G82" s="18" t="s">
        <v>85</v>
      </c>
      <c r="H82" s="18" t="s">
        <v>106</v>
      </c>
      <c r="I82" s="47"/>
      <c r="J82" s="18" t="s">
        <v>309</v>
      </c>
      <c r="K82" s="18" t="s">
        <v>106</v>
      </c>
      <c r="L82" s="7">
        <v>692</v>
      </c>
      <c r="M82" s="7">
        <v>6</v>
      </c>
      <c r="N82" s="7">
        <v>3</v>
      </c>
      <c r="O82" s="7">
        <v>0</v>
      </c>
      <c r="P82" s="7">
        <v>0</v>
      </c>
      <c r="Q82" s="69">
        <f t="shared" si="19"/>
        <v>8.670520231213872E-3</v>
      </c>
      <c r="R82" s="69">
        <f t="shared" si="19"/>
        <v>0.5</v>
      </c>
      <c r="S82" s="7"/>
      <c r="T82" s="86"/>
      <c r="U82" s="86"/>
      <c r="V82" s="86"/>
      <c r="W82" s="7"/>
    </row>
    <row r="83" spans="1:23">
      <c r="A83" s="6">
        <v>46140</v>
      </c>
      <c r="B83" s="7" t="s">
        <v>316</v>
      </c>
      <c r="C83" s="18" t="s">
        <v>605</v>
      </c>
      <c r="D83" s="18" t="s">
        <v>604</v>
      </c>
      <c r="E83" s="18" t="s">
        <v>309</v>
      </c>
      <c r="F83" s="18" t="s">
        <v>603</v>
      </c>
      <c r="G83" s="18" t="s">
        <v>85</v>
      </c>
      <c r="H83" s="18" t="s">
        <v>106</v>
      </c>
      <c r="I83" s="29"/>
      <c r="J83" s="18" t="s">
        <v>309</v>
      </c>
      <c r="K83" s="18" t="s">
        <v>106</v>
      </c>
      <c r="L83" s="7"/>
      <c r="M83" s="7"/>
      <c r="N83" s="7"/>
      <c r="O83" s="7"/>
      <c r="P83" s="7"/>
      <c r="Q83" s="69" t="e">
        <f t="shared" si="19"/>
        <v>#DIV/0!</v>
      </c>
      <c r="R83" s="69" t="e">
        <f t="shared" si="19"/>
        <v>#DIV/0!</v>
      </c>
      <c r="S83" s="7"/>
      <c r="T83" s="7"/>
      <c r="U83" s="7"/>
      <c r="V83" s="7"/>
      <c r="W83" s="7"/>
    </row>
    <row r="84" spans="1:23">
      <c r="A84" s="6">
        <v>46140</v>
      </c>
      <c r="B84" s="7" t="s">
        <v>316</v>
      </c>
      <c r="C84" s="62">
        <v>0.79166666666666663</v>
      </c>
      <c r="D84" t="s">
        <v>817</v>
      </c>
      <c r="E84" s="77" t="s">
        <v>309</v>
      </c>
      <c r="F84" t="s">
        <v>734</v>
      </c>
      <c r="G84" s="141" t="s">
        <v>85</v>
      </c>
      <c r="H84" s="77" t="s">
        <v>380</v>
      </c>
      <c r="I84" s="14" t="s">
        <v>785</v>
      </c>
      <c r="J84" s="77" t="s">
        <v>309</v>
      </c>
      <c r="K84" s="77" t="s">
        <v>380</v>
      </c>
      <c r="L84" s="7">
        <v>3703</v>
      </c>
      <c r="M84" s="7">
        <v>25</v>
      </c>
      <c r="N84" s="7">
        <v>5</v>
      </c>
      <c r="O84" s="7">
        <v>0</v>
      </c>
      <c r="P84" s="7">
        <v>1</v>
      </c>
      <c r="Q84" s="69">
        <f t="shared" si="19"/>
        <v>6.7512827437213067E-3</v>
      </c>
      <c r="R84" s="69">
        <f t="shared" si="19"/>
        <v>0.2</v>
      </c>
      <c r="S84" s="7"/>
      <c r="T84" s="7"/>
      <c r="U84" s="7"/>
      <c r="V84" s="7"/>
      <c r="W84" s="7"/>
    </row>
    <row r="85" spans="1:23">
      <c r="A85" s="6">
        <v>46140</v>
      </c>
      <c r="B85" s="7" t="s">
        <v>316</v>
      </c>
      <c r="C85" s="62">
        <v>0.80208333333333337</v>
      </c>
      <c r="D85" t="s">
        <v>818</v>
      </c>
      <c r="E85" s="77" t="s">
        <v>309</v>
      </c>
      <c r="F85" t="s">
        <v>736</v>
      </c>
      <c r="G85" s="141" t="s">
        <v>85</v>
      </c>
      <c r="H85" s="77" t="s">
        <v>383</v>
      </c>
      <c r="I85" s="14" t="s">
        <v>785</v>
      </c>
      <c r="J85" s="77" t="s">
        <v>309</v>
      </c>
      <c r="K85" s="77" t="s">
        <v>383</v>
      </c>
      <c r="L85" s="7">
        <v>1636</v>
      </c>
      <c r="M85" s="7">
        <v>18</v>
      </c>
      <c r="N85" s="7">
        <v>7</v>
      </c>
      <c r="O85" s="7">
        <v>0</v>
      </c>
      <c r="P85" s="7">
        <v>0</v>
      </c>
      <c r="Q85" s="69">
        <f t="shared" si="19"/>
        <v>1.1002444987775062E-2</v>
      </c>
      <c r="R85" s="69">
        <f t="shared" si="19"/>
        <v>0.3888888888888889</v>
      </c>
      <c r="S85" s="7"/>
      <c r="T85" s="7"/>
      <c r="U85" s="7"/>
      <c r="V85" s="7"/>
      <c r="W85" s="7"/>
    </row>
    <row r="86" spans="1:23">
      <c r="A86" s="6">
        <v>46140</v>
      </c>
      <c r="B86" s="7" t="s">
        <v>316</v>
      </c>
      <c r="C86" s="62">
        <v>0.77083333333333337</v>
      </c>
      <c r="D86" t="s">
        <v>819</v>
      </c>
      <c r="E86" s="77" t="s">
        <v>309</v>
      </c>
      <c r="F86" t="s">
        <v>820</v>
      </c>
      <c r="G86" s="77" t="s">
        <v>85</v>
      </c>
      <c r="H86" s="7" t="s">
        <v>350</v>
      </c>
      <c r="I86" s="14" t="s">
        <v>785</v>
      </c>
      <c r="J86" s="77" t="s">
        <v>309</v>
      </c>
      <c r="K86" s="7" t="s">
        <v>350</v>
      </c>
      <c r="L86" s="7">
        <v>5566</v>
      </c>
      <c r="M86" s="7">
        <v>34</v>
      </c>
      <c r="N86" s="7">
        <v>9</v>
      </c>
      <c r="O86" s="7">
        <v>1</v>
      </c>
      <c r="P86" s="7">
        <v>0</v>
      </c>
      <c r="Q86" s="69">
        <f t="shared" si="19"/>
        <v>6.1085159899389148E-3</v>
      </c>
      <c r="R86" s="69">
        <f t="shared" si="19"/>
        <v>0.26470588235294118</v>
      </c>
      <c r="S86" s="7"/>
      <c r="T86" s="7"/>
      <c r="U86" s="7"/>
      <c r="V86" s="7"/>
      <c r="W86" s="7"/>
    </row>
    <row r="87" spans="1:23">
      <c r="A87" s="6">
        <v>46140</v>
      </c>
      <c r="B87" s="7" t="s">
        <v>316</v>
      </c>
      <c r="C87" s="62">
        <v>0.8125</v>
      </c>
      <c r="D87" t="s">
        <v>821</v>
      </c>
      <c r="E87" s="77" t="s">
        <v>309</v>
      </c>
      <c r="F87" t="s">
        <v>740</v>
      </c>
      <c r="G87" s="141" t="s">
        <v>85</v>
      </c>
      <c r="H87" s="87" t="s">
        <v>351</v>
      </c>
      <c r="I87" s="14" t="s">
        <v>785</v>
      </c>
      <c r="J87" s="77" t="s">
        <v>309</v>
      </c>
      <c r="K87" s="7" t="s">
        <v>351</v>
      </c>
      <c r="L87" s="7">
        <v>3270</v>
      </c>
      <c r="M87" s="7">
        <v>23</v>
      </c>
      <c r="N87" s="7">
        <v>9</v>
      </c>
      <c r="O87" s="7">
        <v>1</v>
      </c>
      <c r="P87" s="7">
        <v>0</v>
      </c>
      <c r="Q87" s="69">
        <f t="shared" si="19"/>
        <v>7.033639143730887E-3</v>
      </c>
      <c r="R87" s="69">
        <f t="shared" si="19"/>
        <v>0.39130434782608697</v>
      </c>
      <c r="S87" s="7"/>
      <c r="T87" s="7"/>
      <c r="U87" s="7"/>
      <c r="V87" s="7"/>
      <c r="W87" s="7"/>
    </row>
    <row r="88" spans="1:23">
      <c r="A88" s="6">
        <v>46140</v>
      </c>
      <c r="B88" s="7" t="s">
        <v>316</v>
      </c>
      <c r="C88" s="62">
        <v>0.85416666666666663</v>
      </c>
      <c r="D88" s="88" t="s">
        <v>822</v>
      </c>
      <c r="E88" s="88" t="s">
        <v>309</v>
      </c>
      <c r="F88" s="88" t="s">
        <v>539</v>
      </c>
      <c r="G88" s="7" t="s">
        <v>85</v>
      </c>
      <c r="H88" s="87" t="s">
        <v>210</v>
      </c>
      <c r="I88" s="14"/>
      <c r="J88" s="7" t="s">
        <v>309</v>
      </c>
      <c r="K88" s="7" t="s">
        <v>210</v>
      </c>
      <c r="L88" s="7">
        <v>942</v>
      </c>
      <c r="M88" s="7">
        <v>36</v>
      </c>
      <c r="N88" s="7">
        <v>16</v>
      </c>
      <c r="O88" s="7">
        <v>0</v>
      </c>
      <c r="P88" s="7">
        <v>0</v>
      </c>
      <c r="Q88" s="69">
        <f t="shared" si="19"/>
        <v>3.8216560509554139E-2</v>
      </c>
      <c r="R88" s="69">
        <f t="shared" si="19"/>
        <v>0.44444444444444442</v>
      </c>
      <c r="S88" s="7"/>
      <c r="T88" s="7"/>
      <c r="U88" s="7"/>
      <c r="V88" s="7"/>
      <c r="W88" s="7"/>
    </row>
    <row r="89" spans="1:23" ht="16.8">
      <c r="A89" s="6">
        <v>46140</v>
      </c>
      <c r="B89" s="7" t="s">
        <v>316</v>
      </c>
      <c r="C89" s="62">
        <v>0.96875</v>
      </c>
      <c r="D89" t="s">
        <v>823</v>
      </c>
      <c r="E89" s="7" t="s">
        <v>309</v>
      </c>
      <c r="F89" t="s">
        <v>734</v>
      </c>
      <c r="G89" s="77" t="s">
        <v>85</v>
      </c>
      <c r="H89" s="104" t="s">
        <v>157</v>
      </c>
      <c r="I89" s="14" t="s">
        <v>785</v>
      </c>
      <c r="J89" s="7" t="s">
        <v>309</v>
      </c>
      <c r="K89" s="52" t="s">
        <v>157</v>
      </c>
      <c r="L89" s="7">
        <v>1302</v>
      </c>
      <c r="M89" s="7">
        <v>617</v>
      </c>
      <c r="N89" s="7">
        <v>434</v>
      </c>
      <c r="O89" s="7">
        <v>0</v>
      </c>
      <c r="P89" s="7">
        <v>0</v>
      </c>
      <c r="Q89" s="69">
        <f t="shared" si="19"/>
        <v>0.47388632872503839</v>
      </c>
      <c r="R89" s="69">
        <f t="shared" si="19"/>
        <v>0.70340356564019446</v>
      </c>
      <c r="S89" s="86"/>
      <c r="T89" s="86"/>
      <c r="U89" s="86"/>
      <c r="V89" s="86"/>
      <c r="W89" s="87"/>
    </row>
    <row r="90" spans="1:23" ht="16.8">
      <c r="A90" s="6">
        <v>46140</v>
      </c>
      <c r="B90" s="7" t="s">
        <v>316</v>
      </c>
      <c r="C90" s="62" t="s">
        <v>720</v>
      </c>
      <c r="D90" s="111" t="s">
        <v>824</v>
      </c>
      <c r="E90" s="7" t="s">
        <v>309</v>
      </c>
      <c r="F90" t="s">
        <v>820</v>
      </c>
      <c r="G90" s="77"/>
      <c r="H90" s="110" t="s">
        <v>157</v>
      </c>
      <c r="I90" s="113" t="s">
        <v>785</v>
      </c>
      <c r="J90" s="7"/>
      <c r="K90" s="109"/>
      <c r="L90" s="86">
        <v>5560</v>
      </c>
      <c r="M90" s="86">
        <v>55</v>
      </c>
      <c r="N90" s="86">
        <v>14</v>
      </c>
      <c r="O90" s="86">
        <v>2</v>
      </c>
      <c r="P90" s="86">
        <v>0</v>
      </c>
      <c r="Q90" s="69">
        <f t="shared" si="19"/>
        <v>9.892086330935251E-3</v>
      </c>
      <c r="R90" s="69">
        <f t="shared" si="19"/>
        <v>0.25454545454545452</v>
      </c>
      <c r="S90" s="86"/>
      <c r="T90" s="86"/>
      <c r="U90" s="86"/>
      <c r="V90" s="86"/>
      <c r="W90" s="87"/>
    </row>
    <row r="91" spans="1:23" ht="16.8">
      <c r="A91" s="6">
        <v>46140</v>
      </c>
      <c r="B91" s="7" t="s">
        <v>316</v>
      </c>
      <c r="C91" s="62"/>
      <c r="D91" t="s">
        <v>825</v>
      </c>
      <c r="E91" s="86" t="s">
        <v>309</v>
      </c>
      <c r="F91" t="s">
        <v>738</v>
      </c>
      <c r="G91" s="77" t="s">
        <v>85</v>
      </c>
      <c r="H91" s="93" t="s">
        <v>685</v>
      </c>
      <c r="I91" s="113" t="s">
        <v>686</v>
      </c>
      <c r="J91" s="7" t="s">
        <v>309</v>
      </c>
      <c r="K91" s="93" t="s">
        <v>685</v>
      </c>
      <c r="L91" s="86">
        <v>1497</v>
      </c>
      <c r="M91" s="86">
        <v>1460</v>
      </c>
      <c r="N91" s="86">
        <v>1103</v>
      </c>
      <c r="O91" s="86">
        <v>0</v>
      </c>
      <c r="P91" s="86">
        <v>3</v>
      </c>
      <c r="Q91" s="69">
        <f t="shared" si="19"/>
        <v>0.97528390113560459</v>
      </c>
      <c r="R91" s="69">
        <f t="shared" si="19"/>
        <v>0.7554794520547945</v>
      </c>
      <c r="S91" s="86"/>
      <c r="T91" s="86"/>
      <c r="U91" s="86"/>
      <c r="V91" s="86"/>
      <c r="W91" s="87"/>
    </row>
    <row r="92" spans="1:23" ht="6.6" customHeight="1">
      <c r="A92" s="22"/>
      <c r="B92" s="23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5"/>
      <c r="R92" s="25"/>
      <c r="S92" s="24"/>
      <c r="T92" s="24"/>
      <c r="U92" s="24"/>
      <c r="V92" s="25"/>
      <c r="W92" s="26"/>
    </row>
    <row r="93" spans="1:23">
      <c r="A93" s="169">
        <v>46141</v>
      </c>
      <c r="B93" s="18" t="s">
        <v>392</v>
      </c>
      <c r="C93" s="18" t="s">
        <v>598</v>
      </c>
      <c r="D93" s="18" t="s">
        <v>310</v>
      </c>
      <c r="E93" s="18" t="s">
        <v>309</v>
      </c>
      <c r="F93" s="18" t="s">
        <v>311</v>
      </c>
      <c r="G93" s="18" t="s">
        <v>85</v>
      </c>
      <c r="H93" s="18" t="s">
        <v>186</v>
      </c>
      <c r="I93" s="47"/>
      <c r="J93" s="18" t="s">
        <v>309</v>
      </c>
      <c r="K93" s="18" t="s">
        <v>186</v>
      </c>
      <c r="L93" s="7">
        <v>1841</v>
      </c>
      <c r="M93" s="7">
        <v>16</v>
      </c>
      <c r="N93" s="7">
        <v>2</v>
      </c>
      <c r="O93" s="7">
        <v>0</v>
      </c>
      <c r="P93" s="7">
        <v>2</v>
      </c>
      <c r="Q93" s="69">
        <f t="shared" ref="Q93:Q106" si="20">M93/L93</f>
        <v>8.690928843020097E-3</v>
      </c>
      <c r="R93" s="69">
        <f t="shared" ref="R93:R106" si="21">N93/M93</f>
        <v>0.125</v>
      </c>
      <c r="S93" s="7"/>
      <c r="T93" s="7">
        <v>675</v>
      </c>
      <c r="U93" s="7">
        <v>16</v>
      </c>
      <c r="V93" s="7">
        <v>1</v>
      </c>
      <c r="W93" s="7"/>
    </row>
    <row r="94" spans="1:23">
      <c r="A94" s="169">
        <v>46141</v>
      </c>
      <c r="B94" s="18" t="s">
        <v>392</v>
      </c>
      <c r="C94" s="18" t="s">
        <v>605</v>
      </c>
      <c r="D94" s="18" t="s">
        <v>604</v>
      </c>
      <c r="E94" s="18" t="s">
        <v>309</v>
      </c>
      <c r="F94" s="18" t="s">
        <v>603</v>
      </c>
      <c r="G94" s="18" t="s">
        <v>85</v>
      </c>
      <c r="H94" s="18" t="s">
        <v>186</v>
      </c>
      <c r="I94" s="29"/>
      <c r="J94" s="18" t="s">
        <v>309</v>
      </c>
      <c r="K94" s="18" t="s">
        <v>186</v>
      </c>
      <c r="L94" s="7"/>
      <c r="M94" s="7"/>
      <c r="N94" s="7"/>
      <c r="O94" s="7"/>
      <c r="P94" s="7"/>
      <c r="Q94" s="69" t="e">
        <f t="shared" si="20"/>
        <v>#DIV/0!</v>
      </c>
      <c r="R94" s="69" t="e">
        <f t="shared" si="21"/>
        <v>#DIV/0!</v>
      </c>
      <c r="S94" s="7"/>
      <c r="T94" s="7">
        <v>1248</v>
      </c>
      <c r="U94" s="7">
        <v>238</v>
      </c>
      <c r="V94" s="7">
        <v>31</v>
      </c>
      <c r="W94" s="7"/>
    </row>
    <row r="95" spans="1:23">
      <c r="A95" s="169">
        <v>46141</v>
      </c>
      <c r="B95" s="18" t="s">
        <v>392</v>
      </c>
      <c r="C95" s="18" t="s">
        <v>347</v>
      </c>
      <c r="D95" s="18" t="s">
        <v>354</v>
      </c>
      <c r="E95" s="18" t="s">
        <v>309</v>
      </c>
      <c r="F95" s="18" t="s">
        <v>355</v>
      </c>
      <c r="G95" s="18" t="s">
        <v>85</v>
      </c>
      <c r="H95" s="18" t="s">
        <v>313</v>
      </c>
      <c r="I95" s="47"/>
      <c r="J95" s="18" t="s">
        <v>309</v>
      </c>
      <c r="K95" s="18" t="s">
        <v>313</v>
      </c>
      <c r="L95" s="7"/>
      <c r="M95" s="7"/>
      <c r="N95" s="7"/>
      <c r="O95" s="7"/>
      <c r="P95" s="7"/>
      <c r="Q95" s="69" t="e">
        <f t="shared" si="20"/>
        <v>#DIV/0!</v>
      </c>
      <c r="R95" s="69" t="e">
        <f t="shared" si="21"/>
        <v>#DIV/0!</v>
      </c>
      <c r="S95" s="7"/>
      <c r="T95" s="86">
        <f>SUM(T93:T94)</f>
        <v>1923</v>
      </c>
      <c r="U95" s="86">
        <f>SUM(U93:U94)</f>
        <v>254</v>
      </c>
      <c r="V95" s="86">
        <f>SUM(V93:V94)</f>
        <v>32</v>
      </c>
      <c r="W95" s="7"/>
    </row>
    <row r="96" spans="1:23">
      <c r="A96" s="169">
        <v>46141</v>
      </c>
      <c r="B96" s="18" t="s">
        <v>392</v>
      </c>
      <c r="C96" s="18" t="s">
        <v>598</v>
      </c>
      <c r="D96" s="18" t="s">
        <v>510</v>
      </c>
      <c r="E96" s="18" t="s">
        <v>309</v>
      </c>
      <c r="F96" s="18" t="s">
        <v>509</v>
      </c>
      <c r="G96" s="18" t="s">
        <v>85</v>
      </c>
      <c r="H96" s="18" t="s">
        <v>106</v>
      </c>
      <c r="I96" s="47"/>
      <c r="J96" s="18" t="s">
        <v>309</v>
      </c>
      <c r="K96" s="18" t="s">
        <v>106</v>
      </c>
      <c r="L96" s="7">
        <v>675</v>
      </c>
      <c r="M96" s="7">
        <v>16</v>
      </c>
      <c r="N96" s="7">
        <v>1</v>
      </c>
      <c r="O96" s="7">
        <v>3</v>
      </c>
      <c r="P96" s="7">
        <v>0</v>
      </c>
      <c r="Q96" s="69">
        <f t="shared" si="20"/>
        <v>2.3703703703703703E-2</v>
      </c>
      <c r="R96" s="69">
        <f t="shared" si="21"/>
        <v>6.25E-2</v>
      </c>
      <c r="S96" s="7"/>
      <c r="T96" s="86"/>
      <c r="U96" s="86"/>
      <c r="V96" s="86"/>
      <c r="W96" s="7"/>
    </row>
    <row r="97" spans="1:23">
      <c r="A97" s="169">
        <v>46141</v>
      </c>
      <c r="B97" s="18" t="s">
        <v>392</v>
      </c>
      <c r="C97" s="18" t="s">
        <v>605</v>
      </c>
      <c r="D97" s="18" t="s">
        <v>604</v>
      </c>
      <c r="E97" s="18" t="s">
        <v>309</v>
      </c>
      <c r="F97" s="18" t="s">
        <v>603</v>
      </c>
      <c r="G97" s="18" t="s">
        <v>85</v>
      </c>
      <c r="H97" s="18" t="s">
        <v>106</v>
      </c>
      <c r="I97" s="29"/>
      <c r="J97" s="18" t="s">
        <v>309</v>
      </c>
      <c r="K97" s="18" t="s">
        <v>106</v>
      </c>
      <c r="L97" s="7"/>
      <c r="M97" s="7"/>
      <c r="N97" s="7"/>
      <c r="O97" s="7"/>
      <c r="P97" s="7"/>
      <c r="Q97" s="69" t="e">
        <f t="shared" si="20"/>
        <v>#DIV/0!</v>
      </c>
      <c r="R97" s="69" t="e">
        <f t="shared" si="21"/>
        <v>#DIV/0!</v>
      </c>
      <c r="S97" s="7"/>
      <c r="T97" s="7"/>
      <c r="U97" s="7"/>
      <c r="V97" s="7"/>
      <c r="W97" s="7"/>
    </row>
    <row r="98" spans="1:23">
      <c r="A98" s="6">
        <v>46141</v>
      </c>
      <c r="B98" s="7" t="s">
        <v>392</v>
      </c>
      <c r="C98" s="62">
        <v>0.79166666666666663</v>
      </c>
      <c r="D98" s="86" t="s">
        <v>959</v>
      </c>
      <c r="E98" s="88" t="s">
        <v>309</v>
      </c>
      <c r="F98" s="86" t="s">
        <v>512</v>
      </c>
      <c r="G98" s="141" t="s">
        <v>85</v>
      </c>
      <c r="H98" s="77" t="s">
        <v>380</v>
      </c>
      <c r="I98" s="14" t="s">
        <v>785</v>
      </c>
      <c r="J98" s="77" t="s">
        <v>309</v>
      </c>
      <c r="K98" s="77" t="s">
        <v>380</v>
      </c>
      <c r="L98" s="7">
        <v>3696</v>
      </c>
      <c r="M98" s="7">
        <v>26</v>
      </c>
      <c r="N98" s="7">
        <v>5</v>
      </c>
      <c r="O98" s="7">
        <v>0</v>
      </c>
      <c r="P98" s="7">
        <v>0</v>
      </c>
      <c r="Q98" s="69">
        <f t="shared" si="20"/>
        <v>7.034632034632035E-3</v>
      </c>
      <c r="R98" s="69">
        <f t="shared" si="21"/>
        <v>0.19230769230769232</v>
      </c>
      <c r="S98" s="7"/>
      <c r="T98" s="7"/>
      <c r="U98" s="7"/>
      <c r="V98" s="7"/>
      <c r="W98" s="7"/>
    </row>
    <row r="99" spans="1:23">
      <c r="A99" s="6">
        <v>46141</v>
      </c>
      <c r="B99" s="7" t="s">
        <v>392</v>
      </c>
      <c r="C99" s="62">
        <v>0.80208333333333337</v>
      </c>
      <c r="D99" t="s">
        <v>960</v>
      </c>
      <c r="E99" s="7" t="s">
        <v>309</v>
      </c>
      <c r="F99" t="s">
        <v>961</v>
      </c>
      <c r="G99" s="141" t="s">
        <v>85</v>
      </c>
      <c r="H99" s="77" t="s">
        <v>383</v>
      </c>
      <c r="I99" s="14" t="s">
        <v>785</v>
      </c>
      <c r="J99" s="77" t="s">
        <v>309</v>
      </c>
      <c r="K99" s="77" t="s">
        <v>383</v>
      </c>
      <c r="L99" s="7">
        <v>1629</v>
      </c>
      <c r="M99" s="7">
        <v>12</v>
      </c>
      <c r="N99" s="7">
        <v>4</v>
      </c>
      <c r="O99" s="7">
        <v>0</v>
      </c>
      <c r="P99" s="7">
        <v>0</v>
      </c>
      <c r="Q99" s="69">
        <f t="shared" si="20"/>
        <v>7.3664825046040518E-3</v>
      </c>
      <c r="R99" s="69">
        <f t="shared" si="21"/>
        <v>0.33333333333333331</v>
      </c>
      <c r="S99" s="7"/>
      <c r="T99" s="7"/>
      <c r="U99" s="7"/>
      <c r="V99" s="7"/>
      <c r="W99" s="7"/>
    </row>
    <row r="100" spans="1:23">
      <c r="A100" s="6">
        <v>46141</v>
      </c>
      <c r="B100" s="7" t="s">
        <v>392</v>
      </c>
      <c r="C100" s="62">
        <v>0.77083333333333337</v>
      </c>
      <c r="D100" t="s">
        <v>962</v>
      </c>
      <c r="E100" s="7" t="s">
        <v>309</v>
      </c>
      <c r="F100" t="s">
        <v>963</v>
      </c>
      <c r="G100" s="77" t="s">
        <v>85</v>
      </c>
      <c r="H100" s="7" t="s">
        <v>350</v>
      </c>
      <c r="I100" s="14" t="s">
        <v>785</v>
      </c>
      <c r="J100" s="77" t="s">
        <v>309</v>
      </c>
      <c r="K100" s="7" t="s">
        <v>350</v>
      </c>
      <c r="L100" s="7">
        <v>5553</v>
      </c>
      <c r="M100" s="7">
        <v>24</v>
      </c>
      <c r="N100" s="7">
        <v>4</v>
      </c>
      <c r="O100" s="7">
        <v>0</v>
      </c>
      <c r="P100" s="7">
        <v>2</v>
      </c>
      <c r="Q100" s="69">
        <f t="shared" si="20"/>
        <v>4.3219881145326851E-3</v>
      </c>
      <c r="R100" s="69">
        <f t="shared" si="21"/>
        <v>0.16666666666666666</v>
      </c>
      <c r="S100" s="7"/>
      <c r="T100" s="7"/>
      <c r="U100" s="7"/>
      <c r="V100" s="7"/>
      <c r="W100" s="7"/>
    </row>
    <row r="101" spans="1:23">
      <c r="A101" s="6">
        <v>46141</v>
      </c>
      <c r="B101" s="7" t="s">
        <v>392</v>
      </c>
      <c r="C101" s="62">
        <v>0.8125</v>
      </c>
      <c r="D101" s="88" t="s">
        <v>964</v>
      </c>
      <c r="E101" s="88" t="s">
        <v>309</v>
      </c>
      <c r="F101" s="88" t="s">
        <v>450</v>
      </c>
      <c r="G101" s="88" t="s">
        <v>85</v>
      </c>
      <c r="H101" s="7" t="s">
        <v>351</v>
      </c>
      <c r="I101" s="14" t="s">
        <v>934</v>
      </c>
      <c r="J101" s="77" t="s">
        <v>309</v>
      </c>
      <c r="K101" s="7" t="s">
        <v>351</v>
      </c>
      <c r="L101" s="7">
        <v>3114</v>
      </c>
      <c r="M101" s="7">
        <v>8</v>
      </c>
      <c r="N101" s="7">
        <v>1</v>
      </c>
      <c r="O101" s="7">
        <v>0</v>
      </c>
      <c r="P101" s="7">
        <v>1</v>
      </c>
      <c r="Q101" s="69">
        <f t="shared" si="20"/>
        <v>2.569043031470777E-3</v>
      </c>
      <c r="R101" s="69">
        <f t="shared" si="21"/>
        <v>0.125</v>
      </c>
      <c r="S101" s="7"/>
      <c r="T101" s="7"/>
      <c r="U101" s="7"/>
      <c r="V101" s="7"/>
      <c r="W101" s="7"/>
    </row>
    <row r="102" spans="1:23">
      <c r="A102" s="6">
        <v>46141</v>
      </c>
      <c r="B102" s="7" t="s">
        <v>392</v>
      </c>
      <c r="C102" s="62">
        <v>0.85416666666666663</v>
      </c>
      <c r="D102" s="7" t="s">
        <v>965</v>
      </c>
      <c r="E102" s="7" t="s">
        <v>309</v>
      </c>
      <c r="F102" s="7" t="s">
        <v>414</v>
      </c>
      <c r="G102" s="7"/>
      <c r="H102" s="87" t="s">
        <v>210</v>
      </c>
      <c r="I102" s="14"/>
      <c r="J102" s="7" t="s">
        <v>309</v>
      </c>
      <c r="K102" s="7" t="s">
        <v>210</v>
      </c>
      <c r="L102" s="7">
        <v>1019</v>
      </c>
      <c r="M102" s="7">
        <v>26</v>
      </c>
      <c r="N102" s="7">
        <v>12</v>
      </c>
      <c r="O102" s="7">
        <v>0</v>
      </c>
      <c r="P102" s="7">
        <v>0</v>
      </c>
      <c r="Q102" s="69">
        <f t="shared" si="20"/>
        <v>2.5515210991167811E-2</v>
      </c>
      <c r="R102" s="69">
        <f t="shared" si="21"/>
        <v>0.46153846153846156</v>
      </c>
      <c r="S102" s="7"/>
      <c r="T102" s="7"/>
      <c r="U102" s="7"/>
      <c r="V102" s="7"/>
      <c r="W102" s="7"/>
    </row>
    <row r="103" spans="1:23" ht="16.8">
      <c r="A103" s="6">
        <v>46141</v>
      </c>
      <c r="B103" s="7" t="s">
        <v>392</v>
      </c>
      <c r="C103" s="62">
        <v>0.96875</v>
      </c>
      <c r="D103" t="s">
        <v>966</v>
      </c>
      <c r="E103" s="7" t="s">
        <v>309</v>
      </c>
      <c r="F103" s="7" t="s">
        <v>967</v>
      </c>
      <c r="G103" s="7" t="s">
        <v>85</v>
      </c>
      <c r="H103" s="104" t="s">
        <v>157</v>
      </c>
      <c r="I103" s="14" t="s">
        <v>934</v>
      </c>
      <c r="J103" s="7" t="s">
        <v>309</v>
      </c>
      <c r="K103" s="52" t="s">
        <v>157</v>
      </c>
      <c r="L103" s="7">
        <v>794</v>
      </c>
      <c r="M103" s="7">
        <v>189</v>
      </c>
      <c r="N103" s="7">
        <v>18</v>
      </c>
      <c r="O103" s="7">
        <v>7</v>
      </c>
      <c r="P103" s="7">
        <v>1</v>
      </c>
      <c r="Q103" s="69">
        <f t="shared" si="20"/>
        <v>0.23803526448362719</v>
      </c>
      <c r="R103" s="69">
        <f t="shared" si="21"/>
        <v>9.5238095238095233E-2</v>
      </c>
      <c r="S103" s="86"/>
      <c r="T103" s="86"/>
      <c r="U103" s="86"/>
      <c r="V103" s="86"/>
      <c r="W103" s="87"/>
    </row>
    <row r="104" spans="1:23" ht="16.8">
      <c r="A104" s="6">
        <v>46141</v>
      </c>
      <c r="B104" s="7" t="s">
        <v>392</v>
      </c>
      <c r="C104" s="62" t="s">
        <v>720</v>
      </c>
      <c r="D104" s="88" t="s">
        <v>996</v>
      </c>
      <c r="E104" s="7" t="s">
        <v>309</v>
      </c>
      <c r="F104" s="77" t="s">
        <v>968</v>
      </c>
      <c r="G104" s="77"/>
      <c r="H104" s="7" t="s">
        <v>149</v>
      </c>
      <c r="I104" s="113" t="s">
        <v>785</v>
      </c>
      <c r="J104" s="7"/>
      <c r="K104" s="109"/>
      <c r="L104" s="86">
        <v>454</v>
      </c>
      <c r="M104" s="86">
        <v>49</v>
      </c>
      <c r="N104" s="86">
        <v>13</v>
      </c>
      <c r="O104" s="86">
        <v>1</v>
      </c>
      <c r="P104" s="86">
        <v>0</v>
      </c>
      <c r="Q104" s="69">
        <f t="shared" si="20"/>
        <v>0.10792951541850221</v>
      </c>
      <c r="R104" s="69">
        <f t="shared" si="21"/>
        <v>0.26530612244897961</v>
      </c>
      <c r="S104" s="86"/>
      <c r="T104" s="86"/>
      <c r="U104" s="86"/>
      <c r="V104" s="86"/>
      <c r="W104" s="87"/>
    </row>
    <row r="105" spans="1:23" ht="16.8">
      <c r="A105" s="6">
        <v>46141</v>
      </c>
      <c r="B105" s="7" t="s">
        <v>392</v>
      </c>
      <c r="C105" s="62"/>
      <c r="D105" t="s">
        <v>969</v>
      </c>
      <c r="E105" s="86" t="s">
        <v>309</v>
      </c>
      <c r="F105" t="s">
        <v>738</v>
      </c>
      <c r="G105" s="77" t="s">
        <v>85</v>
      </c>
      <c r="H105" s="93" t="s">
        <v>685</v>
      </c>
      <c r="I105" s="113" t="s">
        <v>686</v>
      </c>
      <c r="J105" s="7" t="s">
        <v>309</v>
      </c>
      <c r="K105" s="93" t="s">
        <v>685</v>
      </c>
      <c r="L105" s="86">
        <v>1497</v>
      </c>
      <c r="M105" s="86">
        <v>1473</v>
      </c>
      <c r="N105" s="86">
        <v>1098</v>
      </c>
      <c r="O105" s="86">
        <v>0</v>
      </c>
      <c r="P105" s="86">
        <v>3</v>
      </c>
      <c r="Q105" s="69">
        <f t="shared" si="20"/>
        <v>0.98396793587174347</v>
      </c>
      <c r="R105" s="69">
        <f t="shared" si="21"/>
        <v>0.74541751527494904</v>
      </c>
      <c r="S105" s="86"/>
      <c r="T105" s="86"/>
      <c r="U105" s="86"/>
      <c r="V105" s="86"/>
      <c r="W105" s="87"/>
    </row>
    <row r="106" spans="1:23" ht="16.8">
      <c r="A106" s="6">
        <v>46141</v>
      </c>
      <c r="B106" s="7" t="s">
        <v>392</v>
      </c>
      <c r="C106" s="62"/>
      <c r="D106" t="s">
        <v>970</v>
      </c>
      <c r="E106" s="86" t="s">
        <v>309</v>
      </c>
      <c r="F106" t="s">
        <v>738</v>
      </c>
      <c r="G106" s="77" t="s">
        <v>85</v>
      </c>
      <c r="H106" s="93" t="s">
        <v>685</v>
      </c>
      <c r="I106" s="113" t="s">
        <v>686</v>
      </c>
      <c r="J106" s="7" t="s">
        <v>309</v>
      </c>
      <c r="K106" s="93" t="s">
        <v>685</v>
      </c>
      <c r="L106" s="86">
        <v>331</v>
      </c>
      <c r="M106" s="86">
        <v>183</v>
      </c>
      <c r="N106" s="86">
        <v>132</v>
      </c>
      <c r="O106" s="86">
        <v>0</v>
      </c>
      <c r="P106" s="86">
        <v>0</v>
      </c>
      <c r="Q106" s="69">
        <f t="shared" si="20"/>
        <v>0.55287009063444104</v>
      </c>
      <c r="R106" s="69">
        <f t="shared" si="21"/>
        <v>0.72131147540983609</v>
      </c>
      <c r="S106" s="86"/>
      <c r="T106" s="86"/>
      <c r="U106" s="86"/>
      <c r="V106" s="86"/>
      <c r="W106" s="87"/>
    </row>
    <row r="107" spans="1:23" ht="6.6" customHeight="1">
      <c r="A107" s="22"/>
      <c r="B107" s="23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5"/>
      <c r="R107" s="25"/>
      <c r="S107" s="24"/>
      <c r="T107" s="24"/>
      <c r="U107" s="24"/>
      <c r="V107" s="25"/>
      <c r="W107" s="26"/>
    </row>
    <row r="108" spans="1:23">
      <c r="A108" s="169">
        <v>46142</v>
      </c>
      <c r="B108" s="18" t="s">
        <v>552</v>
      </c>
      <c r="C108" s="18" t="s">
        <v>598</v>
      </c>
      <c r="D108" s="18" t="s">
        <v>310</v>
      </c>
      <c r="E108" s="18" t="s">
        <v>309</v>
      </c>
      <c r="F108" s="18" t="s">
        <v>311</v>
      </c>
      <c r="G108" s="18" t="s">
        <v>85</v>
      </c>
      <c r="H108" s="18" t="s">
        <v>186</v>
      </c>
      <c r="I108" s="47"/>
      <c r="J108" s="18" t="s">
        <v>309</v>
      </c>
      <c r="K108" s="18" t="s">
        <v>186</v>
      </c>
      <c r="L108" s="7">
        <v>1974</v>
      </c>
      <c r="M108" s="7">
        <v>15</v>
      </c>
      <c r="N108" s="7">
        <v>4</v>
      </c>
      <c r="O108" s="7">
        <v>0</v>
      </c>
      <c r="P108" s="7">
        <v>0</v>
      </c>
      <c r="Q108" s="69">
        <f t="shared" ref="Q108:R123" si="22">M108/L108</f>
        <v>7.5987841945288756E-3</v>
      </c>
      <c r="R108" s="69">
        <f t="shared" si="22"/>
        <v>0.26666666666666666</v>
      </c>
      <c r="S108" s="7"/>
      <c r="T108" s="7"/>
      <c r="U108" s="7"/>
      <c r="V108" s="7"/>
      <c r="W108" s="7"/>
    </row>
    <row r="109" spans="1:23">
      <c r="A109" s="169">
        <v>46142</v>
      </c>
      <c r="B109" s="18" t="s">
        <v>552</v>
      </c>
      <c r="C109" s="18" t="s">
        <v>605</v>
      </c>
      <c r="D109" s="18" t="s">
        <v>604</v>
      </c>
      <c r="E109" s="18" t="s">
        <v>309</v>
      </c>
      <c r="F109" s="18" t="s">
        <v>603</v>
      </c>
      <c r="G109" s="18" t="s">
        <v>85</v>
      </c>
      <c r="H109" s="18" t="s">
        <v>186</v>
      </c>
      <c r="I109" s="29"/>
      <c r="J109" s="18" t="s">
        <v>309</v>
      </c>
      <c r="K109" s="18" t="s">
        <v>186</v>
      </c>
      <c r="L109" s="7"/>
      <c r="M109" s="7"/>
      <c r="N109" s="7"/>
      <c r="O109" s="7"/>
      <c r="P109" s="7"/>
      <c r="Q109" s="69" t="e">
        <f t="shared" si="22"/>
        <v>#DIV/0!</v>
      </c>
      <c r="R109" s="69" t="e">
        <f t="shared" si="22"/>
        <v>#DIV/0!</v>
      </c>
      <c r="S109" s="7"/>
      <c r="T109" s="7"/>
      <c r="U109" s="7"/>
      <c r="V109" s="7"/>
      <c r="W109" s="7"/>
    </row>
    <row r="110" spans="1:23">
      <c r="A110" s="169">
        <v>46142</v>
      </c>
      <c r="B110" s="18" t="s">
        <v>552</v>
      </c>
      <c r="C110" s="18" t="s">
        <v>347</v>
      </c>
      <c r="D110" s="18" t="s">
        <v>354</v>
      </c>
      <c r="E110" s="18" t="s">
        <v>309</v>
      </c>
      <c r="F110" s="18" t="s">
        <v>355</v>
      </c>
      <c r="G110" s="18" t="s">
        <v>85</v>
      </c>
      <c r="H110" s="18" t="s">
        <v>313</v>
      </c>
      <c r="I110" s="47"/>
      <c r="J110" s="18" t="s">
        <v>309</v>
      </c>
      <c r="K110" s="18" t="s">
        <v>313</v>
      </c>
      <c r="L110" s="7"/>
      <c r="M110" s="7"/>
      <c r="N110" s="7"/>
      <c r="O110" s="7"/>
      <c r="P110" s="7"/>
      <c r="Q110" s="69" t="e">
        <f t="shared" si="22"/>
        <v>#DIV/0!</v>
      </c>
      <c r="R110" s="69" t="e">
        <f t="shared" si="22"/>
        <v>#DIV/0!</v>
      </c>
      <c r="S110" s="7"/>
      <c r="T110" s="7"/>
      <c r="U110" s="7"/>
      <c r="V110" s="7"/>
      <c r="W110" s="7"/>
    </row>
    <row r="111" spans="1:23">
      <c r="A111" s="169">
        <v>46142</v>
      </c>
      <c r="B111" s="18" t="s">
        <v>552</v>
      </c>
      <c r="C111" s="18" t="s">
        <v>598</v>
      </c>
      <c r="D111" s="18" t="s">
        <v>510</v>
      </c>
      <c r="E111" s="18" t="s">
        <v>309</v>
      </c>
      <c r="F111" s="18" t="s">
        <v>509</v>
      </c>
      <c r="G111" s="18" t="s">
        <v>85</v>
      </c>
      <c r="H111" s="18" t="s">
        <v>106</v>
      </c>
      <c r="I111" s="47"/>
      <c r="J111" s="18" t="s">
        <v>309</v>
      </c>
      <c r="K111" s="18" t="s">
        <v>106</v>
      </c>
      <c r="L111" s="7">
        <v>943</v>
      </c>
      <c r="M111" s="7">
        <v>16</v>
      </c>
      <c r="N111" s="7">
        <v>3</v>
      </c>
      <c r="O111" s="7">
        <v>0</v>
      </c>
      <c r="P111" s="7">
        <v>2</v>
      </c>
      <c r="Q111" s="69">
        <f t="shared" si="22"/>
        <v>1.6967126193001062E-2</v>
      </c>
      <c r="R111" s="69">
        <f t="shared" si="22"/>
        <v>0.1875</v>
      </c>
      <c r="S111" s="7"/>
      <c r="T111" s="7"/>
      <c r="U111" s="7"/>
      <c r="V111" s="7"/>
      <c r="W111" s="7"/>
    </row>
    <row r="112" spans="1:23">
      <c r="A112" s="169">
        <v>46142</v>
      </c>
      <c r="B112" s="18" t="s">
        <v>552</v>
      </c>
      <c r="C112" s="18" t="s">
        <v>605</v>
      </c>
      <c r="D112" s="18" t="s">
        <v>604</v>
      </c>
      <c r="E112" s="18" t="s">
        <v>309</v>
      </c>
      <c r="F112" s="18" t="s">
        <v>603</v>
      </c>
      <c r="G112" s="18" t="s">
        <v>85</v>
      </c>
      <c r="H112" s="18" t="s">
        <v>106</v>
      </c>
      <c r="I112" s="29"/>
      <c r="J112" s="18" t="s">
        <v>309</v>
      </c>
      <c r="K112" s="18" t="s">
        <v>106</v>
      </c>
      <c r="L112" s="7"/>
      <c r="M112" s="7"/>
      <c r="N112" s="7"/>
      <c r="O112" s="7"/>
      <c r="P112" s="7"/>
      <c r="Q112" s="69" t="e">
        <f t="shared" si="22"/>
        <v>#DIV/0!</v>
      </c>
      <c r="R112" s="69" t="e">
        <f t="shared" si="22"/>
        <v>#DIV/0!</v>
      </c>
      <c r="S112" s="7"/>
      <c r="T112" s="7"/>
      <c r="U112" s="7"/>
      <c r="V112" s="7"/>
      <c r="W112" s="7"/>
    </row>
    <row r="113" spans="1:23">
      <c r="A113" s="6">
        <v>46142</v>
      </c>
      <c r="B113" s="7" t="s">
        <v>552</v>
      </c>
      <c r="C113" s="62"/>
      <c r="D113" s="7" t="s">
        <v>1117</v>
      </c>
      <c r="E113" s="7" t="s">
        <v>309</v>
      </c>
      <c r="F113" s="7" t="s">
        <v>738</v>
      </c>
      <c r="G113" s="77"/>
      <c r="H113" s="77" t="s">
        <v>685</v>
      </c>
      <c r="I113" s="14"/>
      <c r="J113" s="7" t="s">
        <v>309</v>
      </c>
      <c r="K113" s="77" t="s">
        <v>685</v>
      </c>
      <c r="L113" s="7">
        <v>1497</v>
      </c>
      <c r="M113" s="7">
        <v>1477</v>
      </c>
      <c r="N113" s="7">
        <v>1008</v>
      </c>
      <c r="O113" s="7">
        <v>0</v>
      </c>
      <c r="P113" s="7">
        <v>3</v>
      </c>
      <c r="Q113" s="69">
        <f t="shared" si="22"/>
        <v>0.98663994655978626</v>
      </c>
      <c r="R113" s="69">
        <f t="shared" si="22"/>
        <v>0.68246445497630337</v>
      </c>
      <c r="S113" s="7"/>
      <c r="T113" s="7"/>
      <c r="U113" s="7"/>
      <c r="V113" s="7"/>
      <c r="W113" s="7"/>
    </row>
    <row r="114" spans="1:23">
      <c r="A114" s="6">
        <v>46142</v>
      </c>
      <c r="B114" s="7" t="s">
        <v>552</v>
      </c>
      <c r="C114" s="62"/>
      <c r="D114" s="7" t="s">
        <v>1118</v>
      </c>
      <c r="E114" s="7" t="s">
        <v>309</v>
      </c>
      <c r="F114" s="7" t="s">
        <v>738</v>
      </c>
      <c r="G114" s="77"/>
      <c r="H114" s="77" t="s">
        <v>685</v>
      </c>
      <c r="I114" s="14"/>
      <c r="J114" s="7" t="s">
        <v>309</v>
      </c>
      <c r="K114" s="77" t="s">
        <v>685</v>
      </c>
      <c r="L114" s="7">
        <v>1497</v>
      </c>
      <c r="M114" s="7">
        <v>1476</v>
      </c>
      <c r="N114" s="7">
        <v>1073</v>
      </c>
      <c r="O114" s="7">
        <v>0</v>
      </c>
      <c r="P114" s="7">
        <v>3</v>
      </c>
      <c r="Q114" s="69">
        <f t="shared" si="22"/>
        <v>0.98597194388777554</v>
      </c>
      <c r="R114" s="69">
        <f t="shared" si="22"/>
        <v>0.72696476964769652</v>
      </c>
      <c r="S114" s="7"/>
      <c r="T114" s="7"/>
      <c r="U114" s="7"/>
      <c r="V114" s="7"/>
      <c r="W114" s="7"/>
    </row>
    <row r="115" spans="1:23">
      <c r="A115" s="6">
        <v>46142</v>
      </c>
      <c r="B115" s="7" t="s">
        <v>552</v>
      </c>
      <c r="C115" s="62"/>
      <c r="D115" s="7" t="s">
        <v>1119</v>
      </c>
      <c r="E115" s="7" t="s">
        <v>309</v>
      </c>
      <c r="F115" s="7" t="s">
        <v>738</v>
      </c>
      <c r="G115" s="77"/>
      <c r="H115" s="77" t="s">
        <v>1001</v>
      </c>
      <c r="I115" s="14"/>
      <c r="J115" s="7" t="s">
        <v>309</v>
      </c>
      <c r="K115" s="77" t="s">
        <v>1001</v>
      </c>
      <c r="L115" s="7">
        <v>331</v>
      </c>
      <c r="M115" s="7">
        <v>306</v>
      </c>
      <c r="N115" s="7">
        <v>223</v>
      </c>
      <c r="O115" s="7">
        <v>0</v>
      </c>
      <c r="P115" s="7">
        <v>0</v>
      </c>
      <c r="Q115" s="69">
        <f t="shared" si="22"/>
        <v>0.92447129909365555</v>
      </c>
      <c r="R115" s="69">
        <f t="shared" si="22"/>
        <v>0.72875816993464049</v>
      </c>
      <c r="S115" s="7"/>
      <c r="T115" s="7"/>
      <c r="U115" s="7"/>
      <c r="V115" s="7"/>
      <c r="W115" s="7"/>
    </row>
    <row r="116" spans="1:23">
      <c r="A116" s="6">
        <v>46142</v>
      </c>
      <c r="B116" s="7" t="s">
        <v>552</v>
      </c>
      <c r="C116" s="62"/>
      <c r="D116" s="7" t="s">
        <v>1120</v>
      </c>
      <c r="E116" s="7" t="s">
        <v>309</v>
      </c>
      <c r="F116" s="7" t="s">
        <v>738</v>
      </c>
      <c r="G116" s="77"/>
      <c r="H116" s="77" t="s">
        <v>1001</v>
      </c>
      <c r="I116" s="14"/>
      <c r="J116" s="7" t="s">
        <v>309</v>
      </c>
      <c r="K116" s="77" t="s">
        <v>1001</v>
      </c>
      <c r="L116" s="7">
        <v>331</v>
      </c>
      <c r="M116" s="7">
        <v>306</v>
      </c>
      <c r="N116" s="7">
        <v>214</v>
      </c>
      <c r="O116" s="7">
        <v>0</v>
      </c>
      <c r="P116" s="7">
        <v>0</v>
      </c>
      <c r="Q116" s="69">
        <f t="shared" si="22"/>
        <v>0.92447129909365555</v>
      </c>
      <c r="R116" s="69">
        <f t="shared" si="22"/>
        <v>0.69934640522875813</v>
      </c>
      <c r="S116" s="7"/>
      <c r="T116" s="7"/>
      <c r="U116" s="7"/>
      <c r="V116" s="7"/>
      <c r="W116" s="7"/>
    </row>
    <row r="117" spans="1:23">
      <c r="A117" s="6">
        <v>46142</v>
      </c>
      <c r="B117" s="7" t="s">
        <v>552</v>
      </c>
      <c r="C117" s="62">
        <v>0.79166666666666663</v>
      </c>
      <c r="D117" s="77" t="s">
        <v>1121</v>
      </c>
      <c r="E117" s="77" t="s">
        <v>309</v>
      </c>
      <c r="F117" s="77" t="s">
        <v>527</v>
      </c>
      <c r="G117" s="77" t="s">
        <v>85</v>
      </c>
      <c r="H117" s="77" t="s">
        <v>380</v>
      </c>
      <c r="I117" s="14"/>
      <c r="J117" s="77" t="s">
        <v>309</v>
      </c>
      <c r="K117" s="77" t="s">
        <v>380</v>
      </c>
      <c r="L117" s="7">
        <v>3668</v>
      </c>
      <c r="M117" s="7">
        <v>23</v>
      </c>
      <c r="N117" s="7">
        <v>5</v>
      </c>
      <c r="O117" s="7">
        <v>0</v>
      </c>
      <c r="P117" s="7">
        <v>0</v>
      </c>
      <c r="Q117" s="69">
        <f t="shared" si="22"/>
        <v>6.2704471101417665E-3</v>
      </c>
      <c r="R117" s="69">
        <f t="shared" si="22"/>
        <v>0.21739130434782608</v>
      </c>
      <c r="S117" s="7"/>
      <c r="T117" s="7"/>
      <c r="U117" s="7"/>
      <c r="V117" s="7"/>
      <c r="W117" s="7"/>
    </row>
    <row r="118" spans="1:23">
      <c r="A118" s="6">
        <v>46142</v>
      </c>
      <c r="B118" s="7" t="s">
        <v>552</v>
      </c>
      <c r="C118" s="62">
        <v>0.80208333333333337</v>
      </c>
      <c r="D118" s="77" t="s">
        <v>1122</v>
      </c>
      <c r="E118" s="77" t="s">
        <v>309</v>
      </c>
      <c r="F118" s="77" t="s">
        <v>529</v>
      </c>
      <c r="G118" s="77" t="s">
        <v>85</v>
      </c>
      <c r="H118" s="77" t="s">
        <v>383</v>
      </c>
      <c r="I118" s="14"/>
      <c r="J118" s="77" t="s">
        <v>309</v>
      </c>
      <c r="K118" s="77" t="s">
        <v>383</v>
      </c>
      <c r="L118" s="7">
        <v>1623</v>
      </c>
      <c r="M118" s="7">
        <v>10</v>
      </c>
      <c r="N118" s="7">
        <v>4</v>
      </c>
      <c r="O118" s="7">
        <v>0</v>
      </c>
      <c r="P118" s="7">
        <v>0</v>
      </c>
      <c r="Q118" s="69">
        <f t="shared" si="22"/>
        <v>6.1614294516327784E-3</v>
      </c>
      <c r="R118" s="69">
        <f t="shared" si="22"/>
        <v>0.4</v>
      </c>
      <c r="S118" s="7"/>
      <c r="T118" s="7"/>
      <c r="U118" s="7"/>
      <c r="V118" s="7"/>
      <c r="W118" s="7"/>
    </row>
    <row r="119" spans="1:23">
      <c r="A119" s="6">
        <v>46142</v>
      </c>
      <c r="B119" s="7" t="s">
        <v>552</v>
      </c>
      <c r="C119" s="62">
        <v>0.77083333333333337</v>
      </c>
      <c r="D119" s="77" t="s">
        <v>1123</v>
      </c>
      <c r="E119" s="77" t="s">
        <v>309</v>
      </c>
      <c r="F119" t="s">
        <v>1124</v>
      </c>
      <c r="G119" s="77" t="s">
        <v>85</v>
      </c>
      <c r="H119" s="7" t="s">
        <v>350</v>
      </c>
      <c r="I119" s="14" t="s">
        <v>1065</v>
      </c>
      <c r="J119" s="77" t="s">
        <v>309</v>
      </c>
      <c r="K119" s="7" t="s">
        <v>350</v>
      </c>
      <c r="L119" s="7">
        <v>5546</v>
      </c>
      <c r="M119" s="7">
        <v>31</v>
      </c>
      <c r="N119" s="7">
        <v>10</v>
      </c>
      <c r="O119" s="7">
        <v>1</v>
      </c>
      <c r="P119" s="7">
        <v>2</v>
      </c>
      <c r="Q119" s="69">
        <f t="shared" si="22"/>
        <v>5.5896141363144611E-3</v>
      </c>
      <c r="R119" s="69">
        <f t="shared" si="22"/>
        <v>0.32258064516129031</v>
      </c>
      <c r="S119" s="7"/>
      <c r="T119" s="7"/>
      <c r="U119" s="7"/>
      <c r="V119" s="7"/>
      <c r="W119" s="7"/>
    </row>
    <row r="120" spans="1:23">
      <c r="A120" s="6">
        <v>46142</v>
      </c>
      <c r="B120" s="7" t="s">
        <v>552</v>
      </c>
      <c r="C120" s="62">
        <v>0.8125</v>
      </c>
      <c r="D120" s="77" t="s">
        <v>1125</v>
      </c>
      <c r="E120" s="77" t="s">
        <v>309</v>
      </c>
      <c r="F120" s="77" t="s">
        <v>533</v>
      </c>
      <c r="G120" s="77" t="s">
        <v>85</v>
      </c>
      <c r="H120" s="7" t="s">
        <v>351</v>
      </c>
      <c r="I120" s="14"/>
      <c r="J120" s="77" t="s">
        <v>309</v>
      </c>
      <c r="K120" s="7" t="s">
        <v>351</v>
      </c>
      <c r="L120" s="7">
        <v>3254</v>
      </c>
      <c r="M120" s="7">
        <v>25</v>
      </c>
      <c r="N120" s="7">
        <v>7</v>
      </c>
      <c r="O120" s="7">
        <v>1</v>
      </c>
      <c r="P120" s="7">
        <v>0</v>
      </c>
      <c r="Q120" s="69">
        <f t="shared" si="22"/>
        <v>7.6828518746158573E-3</v>
      </c>
      <c r="R120" s="69">
        <f t="shared" si="22"/>
        <v>0.28000000000000003</v>
      </c>
      <c r="S120" s="7"/>
      <c r="T120" s="7"/>
      <c r="U120" s="7"/>
      <c r="V120" s="7"/>
      <c r="W120" s="7"/>
    </row>
    <row r="121" spans="1:23">
      <c r="A121" s="6">
        <v>46142</v>
      </c>
      <c r="B121" s="7" t="s">
        <v>552</v>
      </c>
      <c r="C121" s="62">
        <v>0.85416666666666663</v>
      </c>
      <c r="D121" s="88" t="s">
        <v>1126</v>
      </c>
      <c r="E121" s="88" t="s">
        <v>309</v>
      </c>
      <c r="F121" s="88" t="s">
        <v>539</v>
      </c>
      <c r="G121" s="77" t="s">
        <v>85</v>
      </c>
      <c r="H121" s="7" t="s">
        <v>210</v>
      </c>
      <c r="I121" s="14"/>
      <c r="J121" s="7" t="s">
        <v>309</v>
      </c>
      <c r="K121" s="7" t="s">
        <v>210</v>
      </c>
      <c r="L121" s="7">
        <v>1095</v>
      </c>
      <c r="M121" s="7">
        <v>24</v>
      </c>
      <c r="N121" s="7">
        <v>14</v>
      </c>
      <c r="O121" s="7">
        <v>0</v>
      </c>
      <c r="P121" s="7">
        <v>0</v>
      </c>
      <c r="Q121" s="69">
        <f t="shared" si="22"/>
        <v>2.1917808219178082E-2</v>
      </c>
      <c r="R121" s="69">
        <f t="shared" si="22"/>
        <v>0.58333333333333337</v>
      </c>
      <c r="S121" s="7"/>
      <c r="T121" s="7"/>
      <c r="U121" s="7"/>
      <c r="V121" s="7"/>
      <c r="W121" s="7"/>
    </row>
    <row r="122" spans="1:23" ht="16.8">
      <c r="A122" s="6">
        <v>46142</v>
      </c>
      <c r="B122" s="7" t="s">
        <v>552</v>
      </c>
      <c r="C122" s="62">
        <v>0.96875</v>
      </c>
      <c r="D122" s="86" t="s">
        <v>1127</v>
      </c>
      <c r="E122" s="7" t="s">
        <v>309</v>
      </c>
      <c r="F122" s="86" t="s">
        <v>512</v>
      </c>
      <c r="G122" s="77" t="s">
        <v>85</v>
      </c>
      <c r="H122" s="52" t="s">
        <v>157</v>
      </c>
      <c r="I122" s="14" t="s">
        <v>1065</v>
      </c>
      <c r="J122" s="7" t="s">
        <v>309</v>
      </c>
      <c r="K122" s="52" t="s">
        <v>157</v>
      </c>
      <c r="L122" s="7">
        <v>1044</v>
      </c>
      <c r="M122" s="7">
        <v>59</v>
      </c>
      <c r="N122" s="7">
        <v>9</v>
      </c>
      <c r="O122" s="7">
        <v>2</v>
      </c>
      <c r="P122" s="7">
        <v>0</v>
      </c>
      <c r="Q122" s="69">
        <f t="shared" si="22"/>
        <v>5.6513409961685822E-2</v>
      </c>
      <c r="R122" s="69">
        <f t="shared" si="22"/>
        <v>0.15254237288135594</v>
      </c>
      <c r="S122" s="7"/>
      <c r="T122" s="7"/>
      <c r="U122" s="7"/>
      <c r="V122" s="7"/>
      <c r="W122" s="7"/>
    </row>
    <row r="123" spans="1:23">
      <c r="A123" s="6">
        <v>46142</v>
      </c>
      <c r="B123" s="7" t="s">
        <v>552</v>
      </c>
      <c r="C123" s="62" t="s">
        <v>720</v>
      </c>
      <c r="D123" s="77" t="s">
        <v>1128</v>
      </c>
      <c r="E123" s="7" t="s">
        <v>309</v>
      </c>
      <c r="F123" s="77" t="s">
        <v>529</v>
      </c>
      <c r="G123" s="77" t="s">
        <v>85</v>
      </c>
      <c r="H123" s="7" t="s">
        <v>149</v>
      </c>
      <c r="I123" s="14"/>
      <c r="J123" s="7" t="s">
        <v>309</v>
      </c>
      <c r="K123" s="7" t="s">
        <v>149</v>
      </c>
      <c r="L123" s="7">
        <v>600</v>
      </c>
      <c r="M123" s="7">
        <v>161</v>
      </c>
      <c r="N123" s="7">
        <v>35</v>
      </c>
      <c r="O123" s="7">
        <v>5</v>
      </c>
      <c r="P123" s="7">
        <v>0</v>
      </c>
      <c r="Q123" s="69">
        <f t="shared" si="22"/>
        <v>0.26833333333333331</v>
      </c>
      <c r="R123" s="69">
        <f t="shared" si="22"/>
        <v>0.21739130434782608</v>
      </c>
      <c r="S123" s="7"/>
      <c r="T123" s="7"/>
      <c r="U123" s="7"/>
      <c r="V123" s="7"/>
      <c r="W123" s="7"/>
    </row>
    <row r="124" spans="1:23" ht="6.6" customHeight="1">
      <c r="A124" s="22"/>
      <c r="B124" s="23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5"/>
      <c r="R124" s="25"/>
      <c r="S124" s="24"/>
      <c r="T124" s="24"/>
      <c r="U124" s="24"/>
      <c r="V124" s="25"/>
      <c r="W124" s="26"/>
    </row>
    <row r="125" spans="1:23">
      <c r="A125" s="169">
        <v>46143</v>
      </c>
      <c r="B125" s="18" t="s">
        <v>553</v>
      </c>
      <c r="C125" s="18" t="s">
        <v>598</v>
      </c>
      <c r="D125" s="18" t="s">
        <v>310</v>
      </c>
      <c r="E125" s="18" t="s">
        <v>309</v>
      </c>
      <c r="F125" s="18" t="s">
        <v>311</v>
      </c>
      <c r="G125" s="18" t="s">
        <v>85</v>
      </c>
      <c r="H125" s="18" t="s">
        <v>186</v>
      </c>
      <c r="I125" s="47"/>
      <c r="J125" s="18" t="s">
        <v>309</v>
      </c>
      <c r="K125" s="18" t="s">
        <v>186</v>
      </c>
      <c r="L125" s="7">
        <v>1951</v>
      </c>
      <c r="M125" s="7">
        <v>15</v>
      </c>
      <c r="N125" s="7">
        <v>4</v>
      </c>
      <c r="O125" s="7">
        <v>1</v>
      </c>
      <c r="P125" s="7">
        <v>5</v>
      </c>
      <c r="Q125" s="69">
        <f t="shared" ref="Q125:R143" si="23">M125/L125</f>
        <v>7.6883649410558691E-3</v>
      </c>
      <c r="R125" s="69">
        <f t="shared" si="23"/>
        <v>0.26666666666666666</v>
      </c>
      <c r="S125" s="7"/>
      <c r="T125" s="7"/>
      <c r="U125" s="7"/>
      <c r="V125" s="7"/>
      <c r="W125" s="7"/>
    </row>
    <row r="126" spans="1:23">
      <c r="A126" s="169">
        <v>46143</v>
      </c>
      <c r="B126" s="18" t="s">
        <v>553</v>
      </c>
      <c r="C126" s="18" t="s">
        <v>605</v>
      </c>
      <c r="D126" s="18" t="s">
        <v>604</v>
      </c>
      <c r="E126" s="18" t="s">
        <v>309</v>
      </c>
      <c r="F126" s="18" t="s">
        <v>603</v>
      </c>
      <c r="G126" s="18" t="s">
        <v>85</v>
      </c>
      <c r="H126" s="18" t="s">
        <v>186</v>
      </c>
      <c r="I126" s="29"/>
      <c r="J126" s="18" t="s">
        <v>309</v>
      </c>
      <c r="K126" s="18" t="s">
        <v>186</v>
      </c>
      <c r="L126" s="7"/>
      <c r="M126" s="7"/>
      <c r="N126" s="7"/>
      <c r="O126" s="7"/>
      <c r="P126" s="7"/>
      <c r="Q126" s="69" t="e">
        <f t="shared" si="23"/>
        <v>#DIV/0!</v>
      </c>
      <c r="R126" s="69" t="e">
        <f t="shared" si="23"/>
        <v>#DIV/0!</v>
      </c>
      <c r="S126" s="7"/>
      <c r="T126" s="7"/>
      <c r="U126" s="7"/>
      <c r="V126" s="7"/>
      <c r="W126" s="7"/>
    </row>
    <row r="127" spans="1:23">
      <c r="A127" s="169">
        <v>46143</v>
      </c>
      <c r="B127" s="18" t="s">
        <v>553</v>
      </c>
      <c r="C127" s="18" t="s">
        <v>347</v>
      </c>
      <c r="D127" s="18" t="s">
        <v>354</v>
      </c>
      <c r="E127" s="18" t="s">
        <v>309</v>
      </c>
      <c r="F127" s="18" t="s">
        <v>355</v>
      </c>
      <c r="G127" s="18" t="s">
        <v>85</v>
      </c>
      <c r="H127" s="18" t="s">
        <v>313</v>
      </c>
      <c r="I127" s="47"/>
      <c r="J127" s="18" t="s">
        <v>309</v>
      </c>
      <c r="K127" s="18" t="s">
        <v>313</v>
      </c>
      <c r="L127" s="7"/>
      <c r="M127" s="7"/>
      <c r="N127" s="7"/>
      <c r="O127" s="7"/>
      <c r="P127" s="7"/>
      <c r="Q127" s="69" t="e">
        <f t="shared" si="23"/>
        <v>#DIV/0!</v>
      </c>
      <c r="R127" s="69" t="e">
        <f t="shared" si="23"/>
        <v>#DIV/0!</v>
      </c>
      <c r="S127" s="7"/>
      <c r="T127" s="7"/>
      <c r="U127" s="7"/>
      <c r="V127" s="7"/>
      <c r="W127" s="7"/>
    </row>
    <row r="128" spans="1:23">
      <c r="A128" s="169">
        <v>46143</v>
      </c>
      <c r="B128" s="18" t="s">
        <v>553</v>
      </c>
      <c r="C128" s="18" t="s">
        <v>598</v>
      </c>
      <c r="D128" s="18" t="s">
        <v>510</v>
      </c>
      <c r="E128" s="18" t="s">
        <v>309</v>
      </c>
      <c r="F128" s="18" t="s">
        <v>509</v>
      </c>
      <c r="G128" s="18" t="s">
        <v>85</v>
      </c>
      <c r="H128" s="18" t="s">
        <v>106</v>
      </c>
      <c r="I128" s="47"/>
      <c r="J128" s="18" t="s">
        <v>309</v>
      </c>
      <c r="K128" s="18" t="s">
        <v>106</v>
      </c>
      <c r="L128" s="7">
        <v>956</v>
      </c>
      <c r="M128" s="7">
        <v>22</v>
      </c>
      <c r="N128" s="7">
        <v>6</v>
      </c>
      <c r="O128" s="7">
        <v>1</v>
      </c>
      <c r="P128" s="7">
        <v>0</v>
      </c>
      <c r="Q128" s="69">
        <f t="shared" si="23"/>
        <v>2.3012552301255231E-2</v>
      </c>
      <c r="R128" s="69">
        <f t="shared" si="23"/>
        <v>0.27272727272727271</v>
      </c>
      <c r="S128" s="7"/>
      <c r="T128" s="7"/>
      <c r="U128" s="7"/>
      <c r="V128" s="7"/>
      <c r="W128" s="7"/>
    </row>
    <row r="129" spans="1:27">
      <c r="A129" s="169">
        <v>46143</v>
      </c>
      <c r="B129" s="18" t="s">
        <v>553</v>
      </c>
      <c r="C129" s="18" t="s">
        <v>605</v>
      </c>
      <c r="D129" s="18" t="s">
        <v>604</v>
      </c>
      <c r="E129" s="18" t="s">
        <v>309</v>
      </c>
      <c r="F129" s="18" t="s">
        <v>603</v>
      </c>
      <c r="G129" s="18" t="s">
        <v>85</v>
      </c>
      <c r="H129" s="18" t="s">
        <v>106</v>
      </c>
      <c r="I129" s="29"/>
      <c r="J129" s="18" t="s">
        <v>309</v>
      </c>
      <c r="K129" s="18" t="s">
        <v>106</v>
      </c>
      <c r="L129" s="7"/>
      <c r="M129" s="7"/>
      <c r="N129" s="7"/>
      <c r="O129" s="7"/>
      <c r="P129" s="7"/>
      <c r="Q129" s="69" t="e">
        <f t="shared" si="23"/>
        <v>#DIV/0!</v>
      </c>
      <c r="R129" s="69" t="e">
        <f t="shared" si="23"/>
        <v>#DIV/0!</v>
      </c>
      <c r="S129" s="7"/>
      <c r="T129" s="7"/>
      <c r="U129" s="7"/>
      <c r="V129" s="7"/>
      <c r="W129" s="7"/>
    </row>
    <row r="130" spans="1:27">
      <c r="A130" s="169"/>
      <c r="B130" s="18"/>
      <c r="C130" s="18"/>
      <c r="D130" s="18" t="s">
        <v>510</v>
      </c>
      <c r="E130" s="18" t="s">
        <v>309</v>
      </c>
      <c r="F130" s="18" t="s">
        <v>509</v>
      </c>
      <c r="G130" s="18"/>
      <c r="H130" s="18"/>
      <c r="I130" s="182" t="s">
        <v>1132</v>
      </c>
      <c r="J130" s="18"/>
      <c r="K130" s="18"/>
      <c r="L130" s="7"/>
      <c r="M130" s="7"/>
      <c r="N130" s="7"/>
      <c r="O130" s="7"/>
      <c r="P130" s="7"/>
      <c r="Q130" s="69" t="e">
        <f t="shared" si="23"/>
        <v>#DIV/0!</v>
      </c>
      <c r="R130" s="69" t="e">
        <f t="shared" si="23"/>
        <v>#DIV/0!</v>
      </c>
      <c r="S130" s="7"/>
      <c r="T130" s="7"/>
      <c r="U130" s="7"/>
      <c r="V130" s="7"/>
      <c r="W130" s="7"/>
    </row>
    <row r="131" spans="1:27">
      <c r="A131" s="169"/>
      <c r="B131" s="18"/>
      <c r="C131" s="18"/>
      <c r="D131" s="18" t="s">
        <v>604</v>
      </c>
      <c r="E131" s="18" t="s">
        <v>309</v>
      </c>
      <c r="F131" s="18" t="s">
        <v>603</v>
      </c>
      <c r="G131" s="18"/>
      <c r="H131" s="18"/>
      <c r="I131" s="182" t="s">
        <v>1133</v>
      </c>
      <c r="J131" s="18"/>
      <c r="K131" s="18"/>
      <c r="L131" s="7"/>
      <c r="M131" s="7"/>
      <c r="N131" s="7"/>
      <c r="O131" s="7"/>
      <c r="P131" s="7"/>
      <c r="Q131" s="69" t="e">
        <f t="shared" si="23"/>
        <v>#DIV/0!</v>
      </c>
      <c r="R131" s="69" t="e">
        <f t="shared" si="23"/>
        <v>#DIV/0!</v>
      </c>
      <c r="S131" s="7"/>
      <c r="T131" s="7"/>
      <c r="U131" s="7"/>
      <c r="V131" s="7"/>
      <c r="W131" s="7"/>
    </row>
    <row r="132" spans="1:27">
      <c r="A132" s="6">
        <v>46143</v>
      </c>
      <c r="B132" s="7" t="s">
        <v>553</v>
      </c>
      <c r="C132" s="62"/>
      <c r="D132" s="7" t="s">
        <v>1452</v>
      </c>
      <c r="E132" s="7" t="s">
        <v>309</v>
      </c>
      <c r="F132" s="7" t="s">
        <v>738</v>
      </c>
      <c r="G132" s="77"/>
      <c r="H132" s="77" t="s">
        <v>685</v>
      </c>
      <c r="I132" s="14"/>
      <c r="J132" s="7" t="s">
        <v>309</v>
      </c>
      <c r="K132" s="77" t="s">
        <v>685</v>
      </c>
      <c r="L132" s="7">
        <v>1497</v>
      </c>
      <c r="M132" s="7">
        <v>1476</v>
      </c>
      <c r="N132" s="7">
        <v>1045</v>
      </c>
      <c r="O132" s="7">
        <v>0</v>
      </c>
      <c r="P132" s="7">
        <v>3</v>
      </c>
      <c r="Q132" s="69">
        <f t="shared" si="23"/>
        <v>0.98597194388777554</v>
      </c>
      <c r="R132" s="69">
        <f t="shared" si="23"/>
        <v>0.70799457994579951</v>
      </c>
      <c r="S132" s="7"/>
      <c r="T132" s="7"/>
      <c r="U132" s="7"/>
      <c r="V132" s="7"/>
      <c r="W132" s="7"/>
    </row>
    <row r="133" spans="1:27">
      <c r="A133" s="6">
        <v>46143</v>
      </c>
      <c r="B133" s="7" t="s">
        <v>553</v>
      </c>
      <c r="C133" s="62"/>
      <c r="D133" s="7" t="s">
        <v>1453</v>
      </c>
      <c r="E133" s="7" t="s">
        <v>309</v>
      </c>
      <c r="F133" s="7" t="s">
        <v>738</v>
      </c>
      <c r="G133" s="77"/>
      <c r="H133" s="77" t="s">
        <v>685</v>
      </c>
      <c r="I133" s="14"/>
      <c r="J133" s="7" t="s">
        <v>309</v>
      </c>
      <c r="K133" s="77" t="s">
        <v>685</v>
      </c>
      <c r="L133" s="7">
        <v>1497</v>
      </c>
      <c r="M133" s="7">
        <v>1477</v>
      </c>
      <c r="N133" s="7">
        <v>1075</v>
      </c>
      <c r="O133" s="7">
        <v>0</v>
      </c>
      <c r="P133" s="7">
        <v>3</v>
      </c>
      <c r="Q133" s="69">
        <f t="shared" si="23"/>
        <v>0.98663994655978626</v>
      </c>
      <c r="R133" s="69">
        <f t="shared" si="23"/>
        <v>0.7278266756939743</v>
      </c>
      <c r="S133" s="7"/>
      <c r="T133" s="7"/>
      <c r="U133" s="7"/>
      <c r="V133" s="7"/>
      <c r="W133" s="7"/>
    </row>
    <row r="134" spans="1:27">
      <c r="A134" s="6">
        <v>46143</v>
      </c>
      <c r="B134" s="7" t="s">
        <v>553</v>
      </c>
      <c r="C134" s="62"/>
      <c r="D134" s="7" t="s">
        <v>1454</v>
      </c>
      <c r="E134" s="7" t="s">
        <v>309</v>
      </c>
      <c r="F134" s="7" t="s">
        <v>738</v>
      </c>
      <c r="G134" s="77"/>
      <c r="H134" s="77" t="s">
        <v>1001</v>
      </c>
      <c r="I134" s="14"/>
      <c r="J134" s="7" t="s">
        <v>309</v>
      </c>
      <c r="K134" s="77" t="s">
        <v>1001</v>
      </c>
      <c r="L134" s="7">
        <v>288</v>
      </c>
      <c r="M134" s="7">
        <v>264</v>
      </c>
      <c r="N134" s="7">
        <v>190</v>
      </c>
      <c r="O134" s="7">
        <v>0</v>
      </c>
      <c r="P134" s="7">
        <v>0</v>
      </c>
      <c r="Q134" s="69">
        <f t="shared" si="23"/>
        <v>0.91666666666666663</v>
      </c>
      <c r="R134" s="69">
        <f t="shared" si="23"/>
        <v>0.71969696969696972</v>
      </c>
      <c r="S134" s="7"/>
      <c r="T134" s="7"/>
      <c r="U134" s="7"/>
      <c r="V134" s="7"/>
      <c r="W134" s="7"/>
    </row>
    <row r="135" spans="1:27">
      <c r="A135" s="6">
        <v>46143</v>
      </c>
      <c r="B135" s="7" t="s">
        <v>553</v>
      </c>
      <c r="C135" s="62"/>
      <c r="D135" s="7" t="s">
        <v>1455</v>
      </c>
      <c r="E135" s="7" t="s">
        <v>309</v>
      </c>
      <c r="F135" s="7" t="s">
        <v>738</v>
      </c>
      <c r="G135" s="77"/>
      <c r="H135" s="77" t="s">
        <v>1001</v>
      </c>
      <c r="I135" s="14"/>
      <c r="J135" s="7" t="s">
        <v>309</v>
      </c>
      <c r="K135" s="77" t="s">
        <v>1001</v>
      </c>
      <c r="L135" s="7">
        <v>288</v>
      </c>
      <c r="M135" s="7">
        <v>265</v>
      </c>
      <c r="N135" s="7">
        <v>198</v>
      </c>
      <c r="O135" s="7">
        <v>0</v>
      </c>
      <c r="P135" s="7">
        <v>0</v>
      </c>
      <c r="Q135" s="69">
        <f t="shared" si="23"/>
        <v>0.92013888888888884</v>
      </c>
      <c r="R135" s="69">
        <f t="shared" si="23"/>
        <v>0.74716981132075466</v>
      </c>
      <c r="S135" s="7"/>
      <c r="T135" s="7"/>
      <c r="U135" s="7"/>
      <c r="V135" s="7"/>
      <c r="W135" s="7"/>
      <c r="Y135" s="7"/>
      <c r="Z135" s="7"/>
      <c r="AA135" s="7"/>
    </row>
    <row r="136" spans="1:27">
      <c r="A136" s="6">
        <v>46143</v>
      </c>
      <c r="B136" s="7" t="s">
        <v>553</v>
      </c>
      <c r="C136" s="62"/>
      <c r="D136" s="7" t="s">
        <v>1456</v>
      </c>
      <c r="E136" s="7"/>
      <c r="F136" s="7"/>
      <c r="G136" s="77"/>
      <c r="H136" s="77" t="s">
        <v>1001</v>
      </c>
      <c r="I136" s="14"/>
      <c r="J136" s="7" t="s">
        <v>309</v>
      </c>
      <c r="K136" s="77" t="s">
        <v>1001</v>
      </c>
      <c r="L136" s="7">
        <v>288</v>
      </c>
      <c r="M136" s="7">
        <v>262</v>
      </c>
      <c r="N136" s="7">
        <v>192</v>
      </c>
      <c r="O136" s="7">
        <v>0</v>
      </c>
      <c r="P136" s="7">
        <v>0</v>
      </c>
      <c r="Q136" s="69">
        <f t="shared" si="23"/>
        <v>0.90972222222222221</v>
      </c>
      <c r="R136" s="69">
        <f t="shared" si="23"/>
        <v>0.73282442748091603</v>
      </c>
      <c r="S136" s="7"/>
      <c r="T136" s="7"/>
      <c r="U136" s="7"/>
      <c r="V136" s="7"/>
      <c r="W136" s="7"/>
      <c r="Y136" s="7"/>
      <c r="Z136" s="7"/>
      <c r="AA136" s="7"/>
    </row>
    <row r="137" spans="1:27">
      <c r="A137" s="6">
        <v>46143</v>
      </c>
      <c r="B137" s="7" t="s">
        <v>553</v>
      </c>
      <c r="C137" s="62">
        <v>0.79166666666666663</v>
      </c>
      <c r="D137" s="77" t="s">
        <v>1457</v>
      </c>
      <c r="E137" s="77" t="s">
        <v>309</v>
      </c>
      <c r="F137" s="77" t="s">
        <v>379</v>
      </c>
      <c r="G137" s="77" t="s">
        <v>85</v>
      </c>
      <c r="H137" s="77" t="s">
        <v>380</v>
      </c>
      <c r="I137" s="14"/>
      <c r="J137" s="77" t="s">
        <v>309</v>
      </c>
      <c r="K137" s="77" t="s">
        <v>380</v>
      </c>
      <c r="L137" s="7">
        <v>3683</v>
      </c>
      <c r="M137" s="7">
        <v>21</v>
      </c>
      <c r="N137" s="7">
        <v>6</v>
      </c>
      <c r="O137" s="7">
        <v>0</v>
      </c>
      <c r="P137" s="7">
        <v>3</v>
      </c>
      <c r="Q137" s="69">
        <f t="shared" si="23"/>
        <v>5.7018734727124626E-3</v>
      </c>
      <c r="R137" s="69">
        <f t="shared" si="23"/>
        <v>0.2857142857142857</v>
      </c>
      <c r="S137" s="7"/>
      <c r="T137" s="7"/>
      <c r="U137" s="7"/>
      <c r="V137" s="7"/>
      <c r="W137" s="7"/>
      <c r="Y137" s="7"/>
      <c r="Z137" s="7"/>
      <c r="AA137" s="7"/>
    </row>
    <row r="138" spans="1:27">
      <c r="A138" s="6">
        <v>46143</v>
      </c>
      <c r="B138" s="7" t="s">
        <v>553</v>
      </c>
      <c r="C138" s="62">
        <v>0.80208333333333337</v>
      </c>
      <c r="D138" s="77" t="s">
        <v>1458</v>
      </c>
      <c r="E138" s="77" t="s">
        <v>309</v>
      </c>
      <c r="F138" s="77" t="s">
        <v>382</v>
      </c>
      <c r="G138" s="77" t="s">
        <v>85</v>
      </c>
      <c r="H138" s="77" t="s">
        <v>383</v>
      </c>
      <c r="I138" s="14"/>
      <c r="J138" s="77" t="s">
        <v>309</v>
      </c>
      <c r="K138" s="77" t="s">
        <v>383</v>
      </c>
      <c r="L138" s="7">
        <v>1622</v>
      </c>
      <c r="M138" s="7">
        <v>14</v>
      </c>
      <c r="N138" s="7">
        <v>7</v>
      </c>
      <c r="O138" s="7">
        <v>0</v>
      </c>
      <c r="P138" s="7">
        <v>0</v>
      </c>
      <c r="Q138" s="69">
        <f t="shared" si="23"/>
        <v>8.6313193588162754E-3</v>
      </c>
      <c r="R138" s="69">
        <f t="shared" si="23"/>
        <v>0.5</v>
      </c>
      <c r="S138" s="7"/>
      <c r="T138" s="7"/>
      <c r="U138" s="7"/>
      <c r="V138" s="7"/>
      <c r="W138" s="7"/>
      <c r="Y138" s="7"/>
      <c r="Z138" s="7"/>
      <c r="AA138" s="7"/>
    </row>
    <row r="139" spans="1:27">
      <c r="A139" s="6">
        <v>46143</v>
      </c>
      <c r="B139" s="7" t="s">
        <v>553</v>
      </c>
      <c r="C139" s="62">
        <v>0.77083333333333337</v>
      </c>
      <c r="D139" s="7" t="s">
        <v>1459</v>
      </c>
      <c r="E139" s="7" t="s">
        <v>309</v>
      </c>
      <c r="F139" s="7" t="s">
        <v>367</v>
      </c>
      <c r="G139" s="77" t="s">
        <v>85</v>
      </c>
      <c r="H139" s="7" t="s">
        <v>350</v>
      </c>
      <c r="I139" s="14" t="s">
        <v>1065</v>
      </c>
      <c r="J139" s="77" t="s">
        <v>309</v>
      </c>
      <c r="K139" s="7" t="s">
        <v>350</v>
      </c>
      <c r="L139" s="7">
        <v>5541</v>
      </c>
      <c r="M139" s="7">
        <v>23</v>
      </c>
      <c r="N139" s="7">
        <v>8</v>
      </c>
      <c r="O139" s="7">
        <v>0</v>
      </c>
      <c r="P139" s="7">
        <v>2</v>
      </c>
      <c r="Q139" s="69">
        <f t="shared" si="23"/>
        <v>4.1508752932683628E-3</v>
      </c>
      <c r="R139" s="69">
        <f t="shared" si="23"/>
        <v>0.34782608695652173</v>
      </c>
      <c r="S139" s="7"/>
      <c r="T139" s="7"/>
      <c r="U139" s="7"/>
      <c r="V139" s="7"/>
      <c r="W139" s="7"/>
      <c r="Y139" s="7"/>
      <c r="Z139" s="7"/>
      <c r="AA139" s="7"/>
    </row>
    <row r="140" spans="1:27">
      <c r="A140" s="6">
        <v>46143</v>
      </c>
      <c r="B140" s="7" t="s">
        <v>553</v>
      </c>
      <c r="C140" s="62">
        <v>0.8125</v>
      </c>
      <c r="D140" s="7" t="s">
        <v>1460</v>
      </c>
      <c r="E140" s="7" t="s">
        <v>309</v>
      </c>
      <c r="F140" s="7" t="s">
        <v>369</v>
      </c>
      <c r="G140" s="77" t="s">
        <v>85</v>
      </c>
      <c r="H140" s="7" t="s">
        <v>351</v>
      </c>
      <c r="I140" s="14"/>
      <c r="J140" s="77" t="s">
        <v>309</v>
      </c>
      <c r="K140" s="7" t="s">
        <v>351</v>
      </c>
      <c r="L140" s="7">
        <v>3251</v>
      </c>
      <c r="M140" s="7">
        <v>18</v>
      </c>
      <c r="N140" s="7">
        <v>8</v>
      </c>
      <c r="O140" s="7">
        <v>0</v>
      </c>
      <c r="P140" s="7">
        <v>1</v>
      </c>
      <c r="Q140" s="69">
        <f t="shared" si="23"/>
        <v>5.5367579206398029E-3</v>
      </c>
      <c r="R140" s="69">
        <f t="shared" si="23"/>
        <v>0.44444444444444442</v>
      </c>
      <c r="S140" s="7"/>
      <c r="T140" s="7"/>
      <c r="U140" s="7"/>
      <c r="V140" s="7"/>
      <c r="W140" s="7"/>
      <c r="Y140" s="7"/>
      <c r="Z140" s="7"/>
      <c r="AA140" s="7"/>
    </row>
    <row r="141" spans="1:27">
      <c r="A141" s="6">
        <v>46143</v>
      </c>
      <c r="B141" s="7" t="s">
        <v>553</v>
      </c>
      <c r="C141" s="62">
        <v>0.85416666666666663</v>
      </c>
      <c r="D141" s="88" t="s">
        <v>1461</v>
      </c>
      <c r="E141" s="88" t="s">
        <v>309</v>
      </c>
      <c r="F141" s="88" t="s">
        <v>586</v>
      </c>
      <c r="G141" s="77" t="s">
        <v>85</v>
      </c>
      <c r="H141" s="7" t="s">
        <v>210</v>
      </c>
      <c r="I141" s="14"/>
      <c r="J141" s="7" t="s">
        <v>309</v>
      </c>
      <c r="K141" s="7" t="s">
        <v>210</v>
      </c>
      <c r="L141" s="7">
        <v>1698</v>
      </c>
      <c r="M141" s="7">
        <v>429</v>
      </c>
      <c r="N141" s="7">
        <v>326</v>
      </c>
      <c r="O141" s="7">
        <v>1</v>
      </c>
      <c r="P141" s="7">
        <v>0</v>
      </c>
      <c r="Q141" s="69">
        <f t="shared" si="23"/>
        <v>0.25265017667844525</v>
      </c>
      <c r="R141" s="69">
        <f t="shared" si="23"/>
        <v>0.75990675990675993</v>
      </c>
      <c r="S141" s="7"/>
      <c r="T141" s="7"/>
      <c r="U141" s="7"/>
      <c r="V141" s="7"/>
      <c r="W141" s="7"/>
    </row>
    <row r="142" spans="1:27" ht="16.8">
      <c r="A142" s="6">
        <v>46143</v>
      </c>
      <c r="B142" s="7" t="s">
        <v>553</v>
      </c>
      <c r="C142" s="62">
        <v>0.96875</v>
      </c>
      <c r="D142" s="7" t="s">
        <v>1462</v>
      </c>
      <c r="E142" s="7" t="s">
        <v>309</v>
      </c>
      <c r="F142" s="7" t="s">
        <v>367</v>
      </c>
      <c r="G142" s="77" t="s">
        <v>85</v>
      </c>
      <c r="H142" s="52" t="s">
        <v>157</v>
      </c>
      <c r="I142" s="14" t="s">
        <v>1065</v>
      </c>
      <c r="J142" s="7" t="s">
        <v>309</v>
      </c>
      <c r="K142" s="52" t="s">
        <v>157</v>
      </c>
      <c r="L142" s="7">
        <v>1757</v>
      </c>
      <c r="M142" s="7">
        <v>367</v>
      </c>
      <c r="N142" s="7">
        <v>59</v>
      </c>
      <c r="O142" s="7">
        <v>13</v>
      </c>
      <c r="P142" s="7">
        <v>1</v>
      </c>
      <c r="Q142" s="69">
        <f t="shared" si="23"/>
        <v>0.20887877063175869</v>
      </c>
      <c r="R142" s="69">
        <f t="shared" si="23"/>
        <v>0.16076294277929154</v>
      </c>
      <c r="S142" s="7"/>
      <c r="T142" s="7"/>
      <c r="U142" s="7"/>
      <c r="V142" s="7"/>
      <c r="W142" s="7"/>
    </row>
    <row r="143" spans="1:27">
      <c r="A143" s="6">
        <v>46143</v>
      </c>
      <c r="B143" s="7" t="s">
        <v>553</v>
      </c>
      <c r="C143" s="62" t="s">
        <v>720</v>
      </c>
      <c r="D143" s="88" t="s">
        <v>1463</v>
      </c>
      <c r="E143" s="7" t="s">
        <v>309</v>
      </c>
      <c r="F143" s="77"/>
      <c r="G143" s="77" t="s">
        <v>85</v>
      </c>
      <c r="H143" s="7" t="s">
        <v>149</v>
      </c>
      <c r="I143" s="14"/>
      <c r="J143" s="7" t="s">
        <v>309</v>
      </c>
      <c r="K143" s="7" t="s">
        <v>149</v>
      </c>
      <c r="L143" s="7">
        <v>941</v>
      </c>
      <c r="M143" s="7">
        <v>72</v>
      </c>
      <c r="N143" s="7">
        <v>20</v>
      </c>
      <c r="O143" s="7">
        <v>0</v>
      </c>
      <c r="P143" s="7">
        <v>0</v>
      </c>
      <c r="Q143" s="69">
        <f t="shared" si="23"/>
        <v>7.6514346439957498E-2</v>
      </c>
      <c r="R143" s="69">
        <f t="shared" si="23"/>
        <v>0.27777777777777779</v>
      </c>
      <c r="S143" s="7"/>
      <c r="T143" s="7"/>
      <c r="U143" s="7"/>
      <c r="V143" s="7"/>
      <c r="W143" s="7"/>
    </row>
    <row r="144" spans="1:27" ht="6.6" customHeight="1">
      <c r="A144" s="22"/>
      <c r="B144" s="23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5"/>
      <c r="R144" s="25"/>
      <c r="S144" s="24"/>
      <c r="T144" s="24"/>
      <c r="U144" s="24"/>
      <c r="V144" s="25"/>
      <c r="W144" s="26"/>
    </row>
    <row r="145" spans="1:23">
      <c r="A145" s="169">
        <v>46144</v>
      </c>
      <c r="B145" s="18" t="s">
        <v>577</v>
      </c>
      <c r="C145" s="18" t="s">
        <v>598</v>
      </c>
      <c r="D145" s="18" t="s">
        <v>310</v>
      </c>
      <c r="E145" s="18" t="s">
        <v>309</v>
      </c>
      <c r="F145" s="18" t="s">
        <v>311</v>
      </c>
      <c r="G145" s="18" t="s">
        <v>85</v>
      </c>
      <c r="H145" s="18" t="s">
        <v>186</v>
      </c>
      <c r="I145" s="47"/>
      <c r="J145" s="18" t="s">
        <v>309</v>
      </c>
      <c r="K145" s="18" t="s">
        <v>186</v>
      </c>
      <c r="L145" s="7">
        <v>1857</v>
      </c>
      <c r="M145" s="7">
        <v>10</v>
      </c>
      <c r="N145" s="7">
        <v>3</v>
      </c>
      <c r="O145" s="7">
        <v>0</v>
      </c>
      <c r="P145" s="7">
        <v>1</v>
      </c>
      <c r="Q145" s="69">
        <f t="shared" ref="Q145:R164" si="24">M145/L145</f>
        <v>5.3850296176628969E-3</v>
      </c>
      <c r="R145" s="69">
        <f t="shared" si="24"/>
        <v>0.3</v>
      </c>
      <c r="S145" s="7"/>
      <c r="T145" s="7"/>
      <c r="U145" s="7"/>
      <c r="V145" s="7"/>
      <c r="W145" s="7"/>
    </row>
    <row r="146" spans="1:23">
      <c r="A146" s="169">
        <v>46144</v>
      </c>
      <c r="B146" s="18" t="s">
        <v>577</v>
      </c>
      <c r="C146" s="18" t="s">
        <v>605</v>
      </c>
      <c r="D146" s="18" t="s">
        <v>604</v>
      </c>
      <c r="E146" s="18" t="s">
        <v>309</v>
      </c>
      <c r="F146" s="18" t="s">
        <v>603</v>
      </c>
      <c r="G146" s="18" t="s">
        <v>85</v>
      </c>
      <c r="H146" s="18" t="s">
        <v>186</v>
      </c>
      <c r="I146" s="29"/>
      <c r="J146" s="18" t="s">
        <v>309</v>
      </c>
      <c r="K146" s="18" t="s">
        <v>186</v>
      </c>
      <c r="L146" s="7"/>
      <c r="M146" s="7"/>
      <c r="N146" s="7"/>
      <c r="O146" s="7"/>
      <c r="P146" s="7"/>
      <c r="Q146" s="69" t="e">
        <f t="shared" si="24"/>
        <v>#DIV/0!</v>
      </c>
      <c r="R146" s="69" t="e">
        <f t="shared" si="24"/>
        <v>#DIV/0!</v>
      </c>
      <c r="S146" s="7"/>
      <c r="T146" s="7"/>
      <c r="U146" s="7"/>
      <c r="V146" s="7"/>
      <c r="W146" s="7"/>
    </row>
    <row r="147" spans="1:23">
      <c r="A147" s="169">
        <v>46144</v>
      </c>
      <c r="B147" s="18" t="s">
        <v>577</v>
      </c>
      <c r="C147" s="18" t="s">
        <v>347</v>
      </c>
      <c r="D147" s="18" t="s">
        <v>354</v>
      </c>
      <c r="E147" s="18" t="s">
        <v>309</v>
      </c>
      <c r="F147" s="18" t="s">
        <v>355</v>
      </c>
      <c r="G147" s="18" t="s">
        <v>85</v>
      </c>
      <c r="H147" s="18" t="s">
        <v>313</v>
      </c>
      <c r="I147" s="47"/>
      <c r="J147" s="18" t="s">
        <v>309</v>
      </c>
      <c r="K147" s="18" t="s">
        <v>313</v>
      </c>
      <c r="L147" s="7"/>
      <c r="M147" s="7"/>
      <c r="N147" s="7"/>
      <c r="O147" s="7"/>
      <c r="P147" s="7"/>
      <c r="Q147" s="69" t="e">
        <f t="shared" si="24"/>
        <v>#DIV/0!</v>
      </c>
      <c r="R147" s="69" t="e">
        <f t="shared" si="24"/>
        <v>#DIV/0!</v>
      </c>
      <c r="S147" s="7"/>
      <c r="T147" s="7"/>
      <c r="U147" s="7"/>
      <c r="V147" s="7"/>
      <c r="W147" s="7"/>
    </row>
    <row r="148" spans="1:23">
      <c r="A148" s="169">
        <v>46144</v>
      </c>
      <c r="B148" s="18" t="s">
        <v>577</v>
      </c>
      <c r="C148" s="18" t="s">
        <v>598</v>
      </c>
      <c r="D148" s="18" t="s">
        <v>510</v>
      </c>
      <c r="E148" s="18" t="s">
        <v>309</v>
      </c>
      <c r="F148" s="18" t="s">
        <v>509</v>
      </c>
      <c r="G148" s="18" t="s">
        <v>85</v>
      </c>
      <c r="H148" s="18" t="s">
        <v>106</v>
      </c>
      <c r="I148" s="47"/>
      <c r="J148" s="18" t="s">
        <v>309</v>
      </c>
      <c r="K148" s="18" t="s">
        <v>106</v>
      </c>
      <c r="L148" s="7">
        <v>873</v>
      </c>
      <c r="M148" s="7">
        <v>19</v>
      </c>
      <c r="N148" s="7">
        <v>1</v>
      </c>
      <c r="O148" s="7">
        <v>0</v>
      </c>
      <c r="P148" s="7">
        <v>5</v>
      </c>
      <c r="Q148" s="69">
        <f t="shared" si="24"/>
        <v>2.1764032073310423E-2</v>
      </c>
      <c r="R148" s="69">
        <f t="shared" si="24"/>
        <v>5.2631578947368418E-2</v>
      </c>
      <c r="S148" s="7"/>
      <c r="T148" s="7"/>
      <c r="U148" s="7"/>
      <c r="V148" s="7"/>
      <c r="W148" s="7"/>
    </row>
    <row r="149" spans="1:23">
      <c r="A149" s="169">
        <v>46144</v>
      </c>
      <c r="B149" s="18" t="s">
        <v>577</v>
      </c>
      <c r="C149" s="18" t="s">
        <v>605</v>
      </c>
      <c r="D149" s="18" t="s">
        <v>604</v>
      </c>
      <c r="E149" s="18" t="s">
        <v>309</v>
      </c>
      <c r="F149" s="18" t="s">
        <v>603</v>
      </c>
      <c r="G149" s="18" t="s">
        <v>85</v>
      </c>
      <c r="H149" s="18" t="s">
        <v>106</v>
      </c>
      <c r="I149" s="29"/>
      <c r="J149" s="18" t="s">
        <v>309</v>
      </c>
      <c r="K149" s="18" t="s">
        <v>106</v>
      </c>
      <c r="L149" s="7"/>
      <c r="M149" s="7"/>
      <c r="N149" s="7"/>
      <c r="O149" s="7"/>
      <c r="P149" s="7"/>
      <c r="Q149" s="69" t="e">
        <f t="shared" si="24"/>
        <v>#DIV/0!</v>
      </c>
      <c r="R149" s="69" t="e">
        <f t="shared" si="24"/>
        <v>#DIV/0!</v>
      </c>
      <c r="S149" s="7"/>
      <c r="T149" s="7"/>
      <c r="U149" s="7"/>
      <c r="V149" s="7"/>
      <c r="W149" s="7"/>
    </row>
    <row r="150" spans="1:23">
      <c r="A150" s="169">
        <v>46144</v>
      </c>
      <c r="B150" s="18" t="s">
        <v>577</v>
      </c>
      <c r="C150" s="18"/>
      <c r="D150" s="18"/>
      <c r="E150" s="18"/>
      <c r="F150" s="18"/>
      <c r="G150" s="18"/>
      <c r="H150" s="18" t="s">
        <v>1134</v>
      </c>
      <c r="I150" s="182" t="s">
        <v>1132</v>
      </c>
      <c r="J150" s="18" t="s">
        <v>309</v>
      </c>
      <c r="K150" s="18" t="s">
        <v>1134</v>
      </c>
      <c r="L150" s="7"/>
      <c r="M150" s="7"/>
      <c r="N150" s="7"/>
      <c r="O150" s="7"/>
      <c r="P150" s="7"/>
      <c r="Q150" s="69" t="e">
        <f t="shared" si="24"/>
        <v>#DIV/0!</v>
      </c>
      <c r="R150" s="69" t="e">
        <f t="shared" si="24"/>
        <v>#DIV/0!</v>
      </c>
      <c r="S150" s="7"/>
      <c r="T150" s="7"/>
      <c r="U150" s="7"/>
      <c r="V150" s="7"/>
      <c r="W150" s="7"/>
    </row>
    <row r="151" spans="1:23">
      <c r="A151" s="169">
        <v>46144</v>
      </c>
      <c r="B151" s="18" t="s">
        <v>577</v>
      </c>
      <c r="C151" s="18"/>
      <c r="D151" s="18"/>
      <c r="E151" s="18"/>
      <c r="F151" s="18"/>
      <c r="G151" s="18"/>
      <c r="H151" s="18" t="s">
        <v>1135</v>
      </c>
      <c r="I151" s="182" t="s">
        <v>1133</v>
      </c>
      <c r="J151" s="18" t="s">
        <v>309</v>
      </c>
      <c r="K151" s="18" t="s">
        <v>1135</v>
      </c>
      <c r="L151" s="7"/>
      <c r="M151" s="7"/>
      <c r="N151" s="7"/>
      <c r="O151" s="7"/>
      <c r="P151" s="7"/>
      <c r="Q151" s="69" t="e">
        <f t="shared" si="24"/>
        <v>#DIV/0!</v>
      </c>
      <c r="R151" s="69" t="e">
        <f t="shared" si="24"/>
        <v>#DIV/0!</v>
      </c>
      <c r="S151" s="7"/>
      <c r="T151" s="7"/>
      <c r="U151" s="7"/>
      <c r="V151" s="7"/>
      <c r="W151" s="7"/>
    </row>
    <row r="152" spans="1:23">
      <c r="A152" s="6">
        <v>46144</v>
      </c>
      <c r="B152" s="7" t="s">
        <v>577</v>
      </c>
      <c r="C152" s="62"/>
      <c r="D152" s="7" t="s">
        <v>1464</v>
      </c>
      <c r="E152" s="7" t="s">
        <v>309</v>
      </c>
      <c r="F152" s="7" t="s">
        <v>738</v>
      </c>
      <c r="G152" s="77"/>
      <c r="H152" s="77" t="s">
        <v>685</v>
      </c>
      <c r="I152" s="14"/>
      <c r="J152" s="7" t="s">
        <v>309</v>
      </c>
      <c r="K152" s="77" t="s">
        <v>685</v>
      </c>
      <c r="L152" s="7">
        <v>1497</v>
      </c>
      <c r="M152" s="7">
        <v>1778</v>
      </c>
      <c r="N152" s="7">
        <v>1098</v>
      </c>
      <c r="O152" s="7">
        <v>0</v>
      </c>
      <c r="P152" s="7">
        <v>3</v>
      </c>
      <c r="Q152" s="69">
        <f t="shared" si="24"/>
        <v>1.1877087508350033</v>
      </c>
      <c r="R152" s="69">
        <f t="shared" si="24"/>
        <v>0.61754780652418451</v>
      </c>
      <c r="S152" s="7"/>
      <c r="T152" s="7"/>
      <c r="U152" s="7"/>
      <c r="V152" s="7"/>
      <c r="W152" s="7"/>
    </row>
    <row r="153" spans="1:23">
      <c r="A153" s="6">
        <v>46144</v>
      </c>
      <c r="B153" s="7" t="s">
        <v>577</v>
      </c>
      <c r="C153" s="62"/>
      <c r="D153" s="7" t="s">
        <v>1465</v>
      </c>
      <c r="E153" s="7" t="s">
        <v>309</v>
      </c>
      <c r="F153" s="7" t="s">
        <v>738</v>
      </c>
      <c r="G153" s="77"/>
      <c r="H153" s="77" t="s">
        <v>685</v>
      </c>
      <c r="I153" s="14"/>
      <c r="J153" s="7" t="s">
        <v>309</v>
      </c>
      <c r="K153" s="77" t="s">
        <v>685</v>
      </c>
      <c r="L153" s="7">
        <v>1497</v>
      </c>
      <c r="M153" s="7">
        <v>1478</v>
      </c>
      <c r="N153" s="7">
        <v>1098</v>
      </c>
      <c r="O153" s="7">
        <v>0</v>
      </c>
      <c r="P153" s="7">
        <v>3</v>
      </c>
      <c r="Q153" s="69">
        <f t="shared" si="24"/>
        <v>0.98730794923179688</v>
      </c>
      <c r="R153" s="69">
        <f t="shared" si="24"/>
        <v>0.74289580514208386</v>
      </c>
      <c r="S153" s="7"/>
      <c r="T153" s="7"/>
      <c r="U153" s="7"/>
      <c r="V153" s="7"/>
      <c r="W153" s="7"/>
    </row>
    <row r="154" spans="1:23">
      <c r="A154" s="6">
        <v>46144</v>
      </c>
      <c r="B154" s="7" t="s">
        <v>577</v>
      </c>
      <c r="C154" s="62"/>
      <c r="D154" s="7" t="s">
        <v>1466</v>
      </c>
      <c r="E154" s="7" t="s">
        <v>309</v>
      </c>
      <c r="F154" s="7" t="s">
        <v>738</v>
      </c>
      <c r="G154" s="77"/>
      <c r="H154" s="77" t="s">
        <v>1001</v>
      </c>
      <c r="I154" s="14"/>
      <c r="J154" s="7" t="s">
        <v>309</v>
      </c>
      <c r="K154" s="77" t="s">
        <v>1001</v>
      </c>
      <c r="L154" s="7">
        <v>288</v>
      </c>
      <c r="M154" s="7">
        <v>261</v>
      </c>
      <c r="N154" s="7">
        <v>202</v>
      </c>
      <c r="O154" s="7">
        <v>0</v>
      </c>
      <c r="P154" s="7">
        <v>0</v>
      </c>
      <c r="Q154" s="69">
        <f t="shared" si="24"/>
        <v>0.90625</v>
      </c>
      <c r="R154" s="69">
        <f t="shared" si="24"/>
        <v>0.77394636015325668</v>
      </c>
      <c r="S154" s="7"/>
      <c r="T154" s="7"/>
      <c r="U154" s="7"/>
      <c r="V154" s="7"/>
      <c r="W154" s="7"/>
    </row>
    <row r="155" spans="1:23">
      <c r="A155" s="6">
        <v>46144</v>
      </c>
      <c r="B155" s="7" t="s">
        <v>577</v>
      </c>
      <c r="C155" s="62"/>
      <c r="D155" s="7" t="s">
        <v>1467</v>
      </c>
      <c r="E155" s="7" t="s">
        <v>309</v>
      </c>
      <c r="F155" s="7" t="s">
        <v>738</v>
      </c>
      <c r="G155" s="77"/>
      <c r="H155" s="77" t="s">
        <v>1001</v>
      </c>
      <c r="I155" s="14"/>
      <c r="J155" s="7" t="s">
        <v>309</v>
      </c>
      <c r="K155" s="77" t="s">
        <v>1001</v>
      </c>
      <c r="L155" s="7">
        <v>288</v>
      </c>
      <c r="M155" s="7">
        <v>262</v>
      </c>
      <c r="N155" s="7">
        <v>196</v>
      </c>
      <c r="O155" s="7">
        <v>0</v>
      </c>
      <c r="P155" s="7">
        <v>0</v>
      </c>
      <c r="Q155" s="69">
        <f t="shared" si="24"/>
        <v>0.90972222222222221</v>
      </c>
      <c r="R155" s="69">
        <f t="shared" si="24"/>
        <v>0.74809160305343514</v>
      </c>
      <c r="S155" s="7"/>
      <c r="T155" s="7"/>
      <c r="U155" s="7"/>
      <c r="V155" s="7"/>
      <c r="W155" s="7"/>
    </row>
    <row r="156" spans="1:23">
      <c r="A156" s="6">
        <v>46144</v>
      </c>
      <c r="B156" s="7" t="s">
        <v>577</v>
      </c>
      <c r="C156" s="62"/>
      <c r="D156" s="7" t="s">
        <v>1468</v>
      </c>
      <c r="E156" s="7"/>
      <c r="F156" s="7"/>
      <c r="G156" s="77"/>
      <c r="H156" s="121" t="s">
        <v>1001</v>
      </c>
      <c r="I156" s="14"/>
      <c r="J156" s="7" t="s">
        <v>309</v>
      </c>
      <c r="K156" s="77" t="s">
        <v>1001</v>
      </c>
      <c r="L156" s="7">
        <v>288</v>
      </c>
      <c r="M156" s="7">
        <v>261</v>
      </c>
      <c r="N156" s="7">
        <v>190</v>
      </c>
      <c r="O156" s="7">
        <v>0</v>
      </c>
      <c r="P156" s="7">
        <v>0</v>
      </c>
      <c r="Q156" s="69">
        <f t="shared" si="24"/>
        <v>0.90625</v>
      </c>
      <c r="R156" s="69">
        <f t="shared" si="24"/>
        <v>0.72796934865900387</v>
      </c>
      <c r="S156" s="7"/>
      <c r="T156" s="7"/>
      <c r="U156" s="7"/>
      <c r="V156" s="7"/>
      <c r="W156" s="7"/>
    </row>
    <row r="157" spans="1:23">
      <c r="A157" s="6">
        <v>46144</v>
      </c>
      <c r="B157" s="7" t="s">
        <v>577</v>
      </c>
      <c r="C157" s="62"/>
      <c r="D157" s="7" t="s">
        <v>1469</v>
      </c>
      <c r="E157" s="7"/>
      <c r="F157" s="7"/>
      <c r="G157" s="77"/>
      <c r="H157" s="121" t="s">
        <v>1001</v>
      </c>
      <c r="I157" s="14"/>
      <c r="J157" s="7" t="s">
        <v>309</v>
      </c>
      <c r="K157" s="77" t="s">
        <v>1001</v>
      </c>
      <c r="L157" s="7">
        <v>288</v>
      </c>
      <c r="M157" s="7">
        <v>261</v>
      </c>
      <c r="N157" s="7">
        <v>195</v>
      </c>
      <c r="O157" s="7">
        <v>0</v>
      </c>
      <c r="P157" s="7">
        <v>0</v>
      </c>
      <c r="Q157" s="69">
        <f t="shared" si="24"/>
        <v>0.90625</v>
      </c>
      <c r="R157" s="69">
        <f t="shared" si="24"/>
        <v>0.74712643678160917</v>
      </c>
      <c r="S157" s="7"/>
      <c r="T157" s="7"/>
      <c r="U157" s="7"/>
      <c r="V157" s="7"/>
      <c r="W157" s="7"/>
    </row>
    <row r="158" spans="1:23">
      <c r="A158" s="6">
        <v>46144</v>
      </c>
      <c r="B158" s="7" t="s">
        <v>577</v>
      </c>
      <c r="C158" s="62">
        <v>0.79166666666666663</v>
      </c>
      <c r="D158" s="77" t="s">
        <v>1470</v>
      </c>
      <c r="E158" s="77" t="s">
        <v>309</v>
      </c>
      <c r="F158" s="77" t="s">
        <v>444</v>
      </c>
      <c r="G158" s="77" t="s">
        <v>85</v>
      </c>
      <c r="H158" s="77" t="s">
        <v>380</v>
      </c>
      <c r="I158" s="14"/>
      <c r="J158" s="77" t="s">
        <v>309</v>
      </c>
      <c r="K158" s="77" t="s">
        <v>380</v>
      </c>
      <c r="L158" s="7">
        <v>3678</v>
      </c>
      <c r="M158" s="7">
        <v>14</v>
      </c>
      <c r="N158" s="7">
        <v>5</v>
      </c>
      <c r="O158" s="7">
        <v>0</v>
      </c>
      <c r="P158" s="7">
        <v>1</v>
      </c>
      <c r="Q158" s="69">
        <f t="shared" si="24"/>
        <v>3.8064165307232192E-3</v>
      </c>
      <c r="R158" s="69">
        <f t="shared" si="24"/>
        <v>0.35714285714285715</v>
      </c>
      <c r="S158" s="7"/>
      <c r="T158" s="7"/>
      <c r="U158" s="7"/>
      <c r="V158" s="7"/>
      <c r="W158" s="7"/>
    </row>
    <row r="159" spans="1:23">
      <c r="A159" s="6">
        <v>46144</v>
      </c>
      <c r="B159" s="7" t="s">
        <v>577</v>
      </c>
      <c r="C159" s="62">
        <v>0.80208333333333337</v>
      </c>
      <c r="D159" s="77" t="s">
        <v>1471</v>
      </c>
      <c r="E159" s="77" t="s">
        <v>309</v>
      </c>
      <c r="F159" s="77" t="s">
        <v>446</v>
      </c>
      <c r="G159" s="77" t="s">
        <v>85</v>
      </c>
      <c r="H159" s="77" t="s">
        <v>383</v>
      </c>
      <c r="I159" s="14"/>
      <c r="J159" s="77" t="s">
        <v>309</v>
      </c>
      <c r="K159" s="77" t="s">
        <v>383</v>
      </c>
      <c r="L159" s="7">
        <v>1619</v>
      </c>
      <c r="M159" s="7">
        <v>9</v>
      </c>
      <c r="N159" s="7">
        <v>3</v>
      </c>
      <c r="O159" s="7">
        <v>0</v>
      </c>
      <c r="P159" s="7">
        <v>1</v>
      </c>
      <c r="Q159" s="69">
        <f t="shared" si="24"/>
        <v>5.5589870290302656E-3</v>
      </c>
      <c r="R159" s="69">
        <f t="shared" si="24"/>
        <v>0.33333333333333331</v>
      </c>
      <c r="S159" s="7"/>
      <c r="T159" s="7"/>
      <c r="U159" s="7"/>
      <c r="V159" s="7"/>
      <c r="W159" s="7"/>
    </row>
    <row r="160" spans="1:23">
      <c r="A160" s="6">
        <v>46144</v>
      </c>
      <c r="B160" s="7" t="s">
        <v>577</v>
      </c>
      <c r="C160" s="62">
        <v>0.77083333333333337</v>
      </c>
      <c r="D160" s="77" t="s">
        <v>1472</v>
      </c>
      <c r="E160" s="77" t="s">
        <v>309</v>
      </c>
      <c r="F160" s="77" t="s">
        <v>448</v>
      </c>
      <c r="G160" s="77" t="s">
        <v>85</v>
      </c>
      <c r="H160" s="7" t="s">
        <v>350</v>
      </c>
      <c r="I160" s="14" t="s">
        <v>1065</v>
      </c>
      <c r="J160" s="77" t="s">
        <v>309</v>
      </c>
      <c r="K160" s="7" t="s">
        <v>350</v>
      </c>
      <c r="L160" s="7">
        <v>5535</v>
      </c>
      <c r="M160" s="7">
        <v>21</v>
      </c>
      <c r="N160" s="7">
        <v>11</v>
      </c>
      <c r="O160" s="7">
        <v>1</v>
      </c>
      <c r="P160" s="7">
        <v>1</v>
      </c>
      <c r="Q160" s="69">
        <f t="shared" si="24"/>
        <v>3.7940379403794038E-3</v>
      </c>
      <c r="R160" s="69">
        <f t="shared" si="24"/>
        <v>0.52380952380952384</v>
      </c>
      <c r="S160" s="7"/>
      <c r="T160" s="7"/>
      <c r="U160" s="7"/>
      <c r="V160" s="7"/>
      <c r="W160" s="7"/>
    </row>
    <row r="161" spans="1:27">
      <c r="A161" s="6">
        <v>46144</v>
      </c>
      <c r="B161" s="7" t="s">
        <v>577</v>
      </c>
      <c r="C161" s="62">
        <v>0.8125</v>
      </c>
      <c r="D161" s="77" t="s">
        <v>1473</v>
      </c>
      <c r="E161" s="77" t="s">
        <v>309</v>
      </c>
      <c r="F161" s="77" t="s">
        <v>450</v>
      </c>
      <c r="G161" s="77" t="s">
        <v>85</v>
      </c>
      <c r="H161" s="7" t="s">
        <v>351</v>
      </c>
      <c r="I161" s="14"/>
      <c r="J161" s="77" t="s">
        <v>309</v>
      </c>
      <c r="K161" s="7" t="s">
        <v>351</v>
      </c>
      <c r="L161" s="7">
        <v>3248</v>
      </c>
      <c r="M161" s="7">
        <v>13</v>
      </c>
      <c r="N161" s="7">
        <v>7</v>
      </c>
      <c r="O161" s="7">
        <v>0</v>
      </c>
      <c r="P161" s="7">
        <v>0</v>
      </c>
      <c r="Q161" s="69">
        <f t="shared" si="24"/>
        <v>4.0024630541871924E-3</v>
      </c>
      <c r="R161" s="69">
        <f t="shared" si="24"/>
        <v>0.53846153846153844</v>
      </c>
      <c r="S161" s="7"/>
      <c r="T161" s="7"/>
      <c r="U161" s="7"/>
      <c r="V161" s="7"/>
      <c r="W161" s="7"/>
    </row>
    <row r="162" spans="1:27">
      <c r="A162" s="6">
        <v>46144</v>
      </c>
      <c r="B162" s="7" t="s">
        <v>577</v>
      </c>
      <c r="C162" s="62">
        <v>0.85416666666666663</v>
      </c>
      <c r="D162" s="7" t="s">
        <v>1474</v>
      </c>
      <c r="E162" s="7" t="s">
        <v>309</v>
      </c>
      <c r="F162" s="7" t="s">
        <v>414</v>
      </c>
      <c r="G162" s="77" t="s">
        <v>85</v>
      </c>
      <c r="H162" s="7" t="s">
        <v>210</v>
      </c>
      <c r="I162" s="14"/>
      <c r="J162" s="7" t="s">
        <v>309</v>
      </c>
      <c r="K162" s="7" t="s">
        <v>210</v>
      </c>
      <c r="L162" s="7">
        <v>1295</v>
      </c>
      <c r="M162" s="7">
        <v>155</v>
      </c>
      <c r="N162" s="7">
        <v>104</v>
      </c>
      <c r="O162" s="7">
        <v>0</v>
      </c>
      <c r="P162" s="7">
        <v>0</v>
      </c>
      <c r="Q162" s="69">
        <f t="shared" si="24"/>
        <v>0.11969111969111969</v>
      </c>
      <c r="R162" s="69">
        <f t="shared" si="24"/>
        <v>0.67096774193548392</v>
      </c>
      <c r="S162" s="7"/>
      <c r="T162" s="7"/>
      <c r="U162" s="7"/>
      <c r="V162" s="7"/>
      <c r="W162" s="7"/>
    </row>
    <row r="163" spans="1:27" ht="16.8">
      <c r="A163" s="6">
        <v>46144</v>
      </c>
      <c r="B163" s="7" t="s">
        <v>577</v>
      </c>
      <c r="C163" s="62">
        <v>0.96875</v>
      </c>
      <c r="D163" s="77" t="s">
        <v>1475</v>
      </c>
      <c r="E163" s="7" t="s">
        <v>309</v>
      </c>
      <c r="F163" s="77" t="s">
        <v>448</v>
      </c>
      <c r="G163" s="77" t="s">
        <v>85</v>
      </c>
      <c r="H163" s="52" t="s">
        <v>157</v>
      </c>
      <c r="I163" s="14" t="s">
        <v>1065</v>
      </c>
      <c r="J163" s="7" t="s">
        <v>309</v>
      </c>
      <c r="K163" s="52" t="s">
        <v>157</v>
      </c>
      <c r="L163" s="7">
        <v>1230</v>
      </c>
      <c r="M163" s="7">
        <v>45</v>
      </c>
      <c r="N163" s="7">
        <v>14</v>
      </c>
      <c r="O163" s="7">
        <v>0</v>
      </c>
      <c r="P163" s="7">
        <v>0</v>
      </c>
      <c r="Q163" s="69">
        <f t="shared" si="24"/>
        <v>3.6585365853658534E-2</v>
      </c>
      <c r="R163" s="69">
        <f t="shared" si="24"/>
        <v>0.31111111111111112</v>
      </c>
      <c r="S163" s="7"/>
      <c r="T163" s="7"/>
      <c r="U163" s="7"/>
      <c r="V163" s="7"/>
      <c r="W163" s="7"/>
    </row>
    <row r="164" spans="1:27">
      <c r="A164" s="6">
        <v>46144</v>
      </c>
      <c r="B164" s="7" t="s">
        <v>577</v>
      </c>
      <c r="C164" s="62" t="s">
        <v>720</v>
      </c>
      <c r="D164" t="s">
        <v>1476</v>
      </c>
      <c r="E164" s="77" t="s">
        <v>309</v>
      </c>
      <c r="F164" t="s">
        <v>740</v>
      </c>
      <c r="G164" s="77" t="s">
        <v>85</v>
      </c>
      <c r="H164" s="7" t="s">
        <v>149</v>
      </c>
      <c r="I164" s="14"/>
      <c r="J164" s="7" t="s">
        <v>309</v>
      </c>
      <c r="K164" s="7" t="s">
        <v>149</v>
      </c>
      <c r="L164" s="7">
        <v>1133</v>
      </c>
      <c r="M164" s="7">
        <v>322</v>
      </c>
      <c r="N164" s="7">
        <v>96</v>
      </c>
      <c r="O164" s="7">
        <v>4</v>
      </c>
      <c r="P164" s="7">
        <v>0</v>
      </c>
      <c r="Q164" s="69">
        <f t="shared" si="24"/>
        <v>0.28420123565754635</v>
      </c>
      <c r="R164" s="69">
        <f t="shared" si="24"/>
        <v>0.29813664596273293</v>
      </c>
      <c r="S164" s="7"/>
      <c r="T164" s="7"/>
      <c r="U164" s="7"/>
      <c r="V164" s="7"/>
      <c r="W164" s="7"/>
    </row>
    <row r="165" spans="1:27" ht="6.6" customHeight="1">
      <c r="A165" s="22"/>
      <c r="B165" s="23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5"/>
      <c r="R165" s="25"/>
      <c r="S165" s="24"/>
      <c r="T165" s="24"/>
      <c r="U165" s="24"/>
      <c r="V165" s="25"/>
      <c r="W165" s="26"/>
    </row>
    <row r="166" spans="1:27">
      <c r="A166" s="169">
        <v>46145</v>
      </c>
      <c r="B166" s="18" t="s">
        <v>578</v>
      </c>
      <c r="C166" s="18" t="s">
        <v>598</v>
      </c>
      <c r="D166" s="18" t="s">
        <v>310</v>
      </c>
      <c r="E166" s="18" t="s">
        <v>309</v>
      </c>
      <c r="F166" s="18" t="s">
        <v>311</v>
      </c>
      <c r="G166" s="18" t="s">
        <v>85</v>
      </c>
      <c r="H166" s="18" t="s">
        <v>186</v>
      </c>
      <c r="I166" s="47"/>
      <c r="J166" s="18" t="s">
        <v>309</v>
      </c>
      <c r="K166" s="18" t="s">
        <v>186</v>
      </c>
      <c r="L166" s="7">
        <v>1825</v>
      </c>
      <c r="M166" s="7">
        <v>11</v>
      </c>
      <c r="N166" s="7">
        <v>1</v>
      </c>
      <c r="O166" s="7">
        <v>0</v>
      </c>
      <c r="P166" s="7">
        <v>3</v>
      </c>
      <c r="Q166" s="69">
        <f t="shared" ref="Q166:R186" si="25">M166/L166</f>
        <v>6.0273972602739728E-3</v>
      </c>
      <c r="R166" s="69">
        <f t="shared" si="25"/>
        <v>9.0909090909090912E-2</v>
      </c>
      <c r="S166" s="7"/>
      <c r="T166" s="7"/>
      <c r="U166" s="7"/>
      <c r="V166" s="7"/>
      <c r="W166" s="7"/>
      <c r="Y166" s="7"/>
      <c r="Z166" s="7"/>
      <c r="AA166" s="7"/>
    </row>
    <row r="167" spans="1:27">
      <c r="A167" s="169">
        <v>46145</v>
      </c>
      <c r="B167" s="18" t="s">
        <v>578</v>
      </c>
      <c r="C167" s="18" t="s">
        <v>605</v>
      </c>
      <c r="D167" s="18" t="s">
        <v>604</v>
      </c>
      <c r="E167" s="18" t="s">
        <v>309</v>
      </c>
      <c r="F167" s="18" t="s">
        <v>603</v>
      </c>
      <c r="G167" s="18" t="s">
        <v>85</v>
      </c>
      <c r="H167" s="18" t="s">
        <v>186</v>
      </c>
      <c r="I167" s="29"/>
      <c r="J167" s="18" t="s">
        <v>309</v>
      </c>
      <c r="K167" s="18" t="s">
        <v>186</v>
      </c>
      <c r="L167" s="7"/>
      <c r="M167" s="7"/>
      <c r="N167" s="7"/>
      <c r="O167" s="7"/>
      <c r="P167" s="7"/>
      <c r="Q167" s="69" t="e">
        <f t="shared" si="25"/>
        <v>#DIV/0!</v>
      </c>
      <c r="R167" s="69" t="e">
        <f t="shared" si="25"/>
        <v>#DIV/0!</v>
      </c>
      <c r="S167" s="7"/>
      <c r="T167" s="7"/>
      <c r="U167" s="7"/>
      <c r="V167" s="7"/>
      <c r="W167" s="7"/>
      <c r="Y167" s="7"/>
      <c r="Z167" s="7"/>
      <c r="AA167" s="7"/>
    </row>
    <row r="168" spans="1:27">
      <c r="A168" s="169">
        <v>46145</v>
      </c>
      <c r="B168" s="18" t="s">
        <v>578</v>
      </c>
      <c r="C168" s="18" t="s">
        <v>347</v>
      </c>
      <c r="D168" s="18" t="s">
        <v>354</v>
      </c>
      <c r="E168" s="18" t="s">
        <v>309</v>
      </c>
      <c r="F168" s="18" t="s">
        <v>355</v>
      </c>
      <c r="G168" s="18" t="s">
        <v>85</v>
      </c>
      <c r="H168" s="18" t="s">
        <v>313</v>
      </c>
      <c r="I168" s="47"/>
      <c r="J168" s="18" t="s">
        <v>309</v>
      </c>
      <c r="K168" s="18" t="s">
        <v>313</v>
      </c>
      <c r="L168" s="7"/>
      <c r="M168" s="7"/>
      <c r="N168" s="7"/>
      <c r="O168" s="7"/>
      <c r="P168" s="7"/>
      <c r="Q168" s="69" t="e">
        <f t="shared" si="25"/>
        <v>#DIV/0!</v>
      </c>
      <c r="R168" s="69" t="e">
        <f t="shared" si="25"/>
        <v>#DIV/0!</v>
      </c>
      <c r="S168" s="7"/>
      <c r="T168" s="7"/>
      <c r="U168" s="7"/>
      <c r="V168" s="7"/>
      <c r="W168" s="7"/>
      <c r="Y168" s="7"/>
      <c r="Z168" s="7"/>
      <c r="AA168" s="7"/>
    </row>
    <row r="169" spans="1:27">
      <c r="A169" s="169">
        <v>46145</v>
      </c>
      <c r="B169" s="18" t="s">
        <v>578</v>
      </c>
      <c r="C169" s="18" t="s">
        <v>598</v>
      </c>
      <c r="D169" s="18" t="s">
        <v>510</v>
      </c>
      <c r="E169" s="18" t="s">
        <v>309</v>
      </c>
      <c r="F169" s="18" t="s">
        <v>509</v>
      </c>
      <c r="G169" s="18" t="s">
        <v>85</v>
      </c>
      <c r="H169" s="18" t="s">
        <v>106</v>
      </c>
      <c r="I169" s="47"/>
      <c r="J169" s="18" t="s">
        <v>309</v>
      </c>
      <c r="K169" s="18" t="s">
        <v>106</v>
      </c>
      <c r="L169" s="7">
        <v>888</v>
      </c>
      <c r="M169" s="7">
        <v>14</v>
      </c>
      <c r="N169" s="7">
        <v>3</v>
      </c>
      <c r="O169" s="7">
        <v>0</v>
      </c>
      <c r="P169" s="7">
        <v>2</v>
      </c>
      <c r="Q169" s="69">
        <f t="shared" si="25"/>
        <v>1.5765765765765764E-2</v>
      </c>
      <c r="R169" s="69">
        <f t="shared" si="25"/>
        <v>0.21428571428571427</v>
      </c>
      <c r="S169" s="7"/>
      <c r="T169" s="7"/>
      <c r="U169" s="7"/>
      <c r="V169" s="7"/>
      <c r="W169" s="7"/>
      <c r="Y169" s="7"/>
      <c r="Z169" s="7"/>
      <c r="AA169" s="7"/>
    </row>
    <row r="170" spans="1:27">
      <c r="A170" s="169">
        <v>46145</v>
      </c>
      <c r="B170" s="18" t="s">
        <v>578</v>
      </c>
      <c r="C170" s="18" t="s">
        <v>605</v>
      </c>
      <c r="D170" s="18" t="s">
        <v>604</v>
      </c>
      <c r="E170" s="18" t="s">
        <v>309</v>
      </c>
      <c r="F170" s="18" t="s">
        <v>603</v>
      </c>
      <c r="G170" s="18" t="s">
        <v>85</v>
      </c>
      <c r="H170" s="18" t="s">
        <v>106</v>
      </c>
      <c r="I170" s="29"/>
      <c r="J170" s="18" t="s">
        <v>309</v>
      </c>
      <c r="K170" s="18" t="s">
        <v>106</v>
      </c>
      <c r="L170" s="7"/>
      <c r="M170" s="7"/>
      <c r="N170" s="7"/>
      <c r="O170" s="7"/>
      <c r="P170" s="7"/>
      <c r="Q170" s="69" t="e">
        <f t="shared" si="25"/>
        <v>#DIV/0!</v>
      </c>
      <c r="R170" s="69" t="e">
        <f t="shared" si="25"/>
        <v>#DIV/0!</v>
      </c>
      <c r="S170" s="7"/>
      <c r="T170" s="7"/>
      <c r="U170" s="7"/>
      <c r="V170" s="7"/>
      <c r="W170" s="7"/>
      <c r="Y170" s="7"/>
      <c r="Z170" s="7"/>
      <c r="AA170" s="7"/>
    </row>
    <row r="171" spans="1:27">
      <c r="A171" s="169">
        <v>46145</v>
      </c>
      <c r="B171" s="18" t="s">
        <v>578</v>
      </c>
      <c r="C171" s="18"/>
      <c r="D171" s="18"/>
      <c r="E171" s="18"/>
      <c r="F171" s="18"/>
      <c r="G171" s="18"/>
      <c r="H171" s="18"/>
      <c r="I171" s="182" t="s">
        <v>1132</v>
      </c>
      <c r="J171" s="18"/>
      <c r="K171" s="18"/>
      <c r="L171" s="7"/>
      <c r="M171" s="7"/>
      <c r="N171" s="7"/>
      <c r="O171" s="7"/>
      <c r="P171" s="7"/>
      <c r="Q171" s="69" t="e">
        <f t="shared" si="25"/>
        <v>#DIV/0!</v>
      </c>
      <c r="R171" s="69" t="e">
        <f t="shared" si="25"/>
        <v>#DIV/0!</v>
      </c>
      <c r="S171" s="7"/>
      <c r="T171" s="7"/>
      <c r="U171" s="7"/>
      <c r="V171" s="7"/>
      <c r="W171" s="7"/>
      <c r="Y171" s="7"/>
      <c r="Z171" s="7"/>
      <c r="AA171" s="7"/>
    </row>
    <row r="172" spans="1:27">
      <c r="A172" s="169">
        <v>46145</v>
      </c>
      <c r="B172" s="18" t="s">
        <v>578</v>
      </c>
      <c r="C172" s="18"/>
      <c r="D172" s="18"/>
      <c r="E172" s="18"/>
      <c r="F172" s="18"/>
      <c r="G172" s="18"/>
      <c r="H172" s="18"/>
      <c r="I172" s="182" t="s">
        <v>1133</v>
      </c>
      <c r="J172" s="18"/>
      <c r="K172" s="18"/>
      <c r="L172" s="7"/>
      <c r="M172" s="7"/>
      <c r="N172" s="7"/>
      <c r="O172" s="7"/>
      <c r="P172" s="7"/>
      <c r="Q172" s="69" t="e">
        <f t="shared" si="25"/>
        <v>#DIV/0!</v>
      </c>
      <c r="R172" s="69" t="e">
        <f t="shared" si="25"/>
        <v>#DIV/0!</v>
      </c>
      <c r="S172" s="7"/>
      <c r="T172" s="7"/>
      <c r="U172" s="7"/>
      <c r="V172" s="7"/>
      <c r="W172" s="7"/>
    </row>
    <row r="173" spans="1:27">
      <c r="A173" s="6">
        <v>46145</v>
      </c>
      <c r="B173" s="7" t="s">
        <v>578</v>
      </c>
      <c r="C173" s="62"/>
      <c r="D173" s="7" t="s">
        <v>1117</v>
      </c>
      <c r="E173" s="7" t="s">
        <v>309</v>
      </c>
      <c r="F173" s="7" t="s">
        <v>738</v>
      </c>
      <c r="G173" s="77"/>
      <c r="H173" s="77" t="s">
        <v>685</v>
      </c>
      <c r="I173" s="14"/>
      <c r="J173" s="7" t="s">
        <v>309</v>
      </c>
      <c r="K173" s="77" t="s">
        <v>685</v>
      </c>
      <c r="L173" s="7">
        <v>1497</v>
      </c>
      <c r="M173" s="7">
        <v>1472</v>
      </c>
      <c r="N173" s="7">
        <v>1121</v>
      </c>
      <c r="O173" s="7">
        <v>0</v>
      </c>
      <c r="P173" s="7">
        <v>3</v>
      </c>
      <c r="Q173" s="69">
        <f t="shared" si="25"/>
        <v>0.98329993319973275</v>
      </c>
      <c r="R173" s="69">
        <f t="shared" si="25"/>
        <v>0.76154891304347827</v>
      </c>
      <c r="S173" s="7"/>
      <c r="T173" s="7"/>
      <c r="U173" s="7"/>
      <c r="V173" s="7"/>
      <c r="W173" s="7"/>
    </row>
    <row r="174" spans="1:27">
      <c r="A174" s="6">
        <v>46145</v>
      </c>
      <c r="B174" s="7" t="s">
        <v>578</v>
      </c>
      <c r="C174" s="62"/>
      <c r="D174" s="7" t="s">
        <v>1118</v>
      </c>
      <c r="E174" s="7" t="s">
        <v>309</v>
      </c>
      <c r="F174" s="7" t="s">
        <v>738</v>
      </c>
      <c r="G174" s="77"/>
      <c r="H174" s="77" t="s">
        <v>685</v>
      </c>
      <c r="I174" s="14"/>
      <c r="J174" s="7" t="s">
        <v>309</v>
      </c>
      <c r="K174" s="77" t="s">
        <v>685</v>
      </c>
      <c r="L174" s="7">
        <v>1497</v>
      </c>
      <c r="M174" s="7">
        <v>1477</v>
      </c>
      <c r="N174" s="7">
        <v>1075</v>
      </c>
      <c r="O174" s="7">
        <v>0</v>
      </c>
      <c r="P174" s="7">
        <v>3</v>
      </c>
      <c r="Q174" s="69">
        <f t="shared" si="25"/>
        <v>0.98663994655978626</v>
      </c>
      <c r="R174" s="69">
        <f t="shared" si="25"/>
        <v>0.7278266756939743</v>
      </c>
      <c r="S174" s="7"/>
      <c r="T174" s="7"/>
      <c r="U174" s="7"/>
      <c r="V174" s="7"/>
      <c r="W174" s="7"/>
    </row>
    <row r="175" spans="1:27">
      <c r="A175" s="6">
        <v>46145</v>
      </c>
      <c r="B175" s="7" t="s">
        <v>578</v>
      </c>
      <c r="C175" s="62"/>
      <c r="D175" s="7" t="s">
        <v>1119</v>
      </c>
      <c r="E175" s="7" t="s">
        <v>309</v>
      </c>
      <c r="F175" s="7" t="s">
        <v>738</v>
      </c>
      <c r="G175" s="77"/>
      <c r="H175" s="77" t="s">
        <v>1001</v>
      </c>
      <c r="I175" s="14"/>
      <c r="J175" s="7" t="s">
        <v>309</v>
      </c>
      <c r="K175" s="77" t="s">
        <v>1001</v>
      </c>
      <c r="L175" s="7">
        <v>288</v>
      </c>
      <c r="M175" s="7">
        <v>259</v>
      </c>
      <c r="N175" s="7">
        <v>187</v>
      </c>
      <c r="O175" s="7">
        <v>0</v>
      </c>
      <c r="P175" s="7">
        <v>0</v>
      </c>
      <c r="Q175" s="69">
        <f t="shared" si="25"/>
        <v>0.89930555555555558</v>
      </c>
      <c r="R175" s="69">
        <f t="shared" si="25"/>
        <v>0.72200772200772201</v>
      </c>
      <c r="S175" s="7"/>
      <c r="T175" s="7"/>
      <c r="U175" s="7"/>
      <c r="V175" s="7"/>
      <c r="W175" s="7"/>
    </row>
    <row r="176" spans="1:27">
      <c r="A176" s="6">
        <v>46145</v>
      </c>
      <c r="B176" s="7" t="s">
        <v>578</v>
      </c>
      <c r="C176" s="62"/>
      <c r="D176" s="7" t="s">
        <v>1120</v>
      </c>
      <c r="E176" s="7" t="s">
        <v>309</v>
      </c>
      <c r="F176" s="7" t="s">
        <v>738</v>
      </c>
      <c r="G176" s="77"/>
      <c r="H176" s="77" t="s">
        <v>1001</v>
      </c>
      <c r="I176" s="14"/>
      <c r="J176" s="7" t="s">
        <v>309</v>
      </c>
      <c r="K176" s="77" t="s">
        <v>1001</v>
      </c>
      <c r="L176" s="7">
        <v>288</v>
      </c>
      <c r="M176" s="7">
        <v>260</v>
      </c>
      <c r="N176" s="7">
        <v>212</v>
      </c>
      <c r="O176" s="7">
        <v>0</v>
      </c>
      <c r="P176" s="7">
        <v>0</v>
      </c>
      <c r="Q176" s="69">
        <f t="shared" si="25"/>
        <v>0.90277777777777779</v>
      </c>
      <c r="R176" s="69">
        <f t="shared" si="25"/>
        <v>0.81538461538461537</v>
      </c>
      <c r="S176" s="7"/>
      <c r="T176" s="7"/>
      <c r="U176" s="7"/>
      <c r="V176" s="7"/>
      <c r="W176" s="7"/>
    </row>
    <row r="177" spans="1:27">
      <c r="A177" s="6">
        <v>46145</v>
      </c>
      <c r="B177" s="7" t="s">
        <v>578</v>
      </c>
      <c r="C177" s="62"/>
      <c r="D177" s="7" t="s">
        <v>1477</v>
      </c>
      <c r="E177" s="7"/>
      <c r="F177" s="7"/>
      <c r="G177" s="77"/>
      <c r="H177" s="77" t="s">
        <v>1001</v>
      </c>
      <c r="I177" s="14"/>
      <c r="J177" s="7" t="s">
        <v>309</v>
      </c>
      <c r="K177" s="77" t="s">
        <v>1001</v>
      </c>
      <c r="L177" s="7">
        <v>288</v>
      </c>
      <c r="M177" s="7">
        <v>259</v>
      </c>
      <c r="N177" s="7">
        <v>194</v>
      </c>
      <c r="O177" s="7">
        <v>0</v>
      </c>
      <c r="P177" s="7">
        <v>0</v>
      </c>
      <c r="Q177" s="69">
        <f t="shared" si="25"/>
        <v>0.89930555555555558</v>
      </c>
      <c r="R177" s="69">
        <f t="shared" si="25"/>
        <v>0.74903474903474898</v>
      </c>
      <c r="S177" s="7"/>
      <c r="T177" s="7"/>
      <c r="U177" s="7"/>
      <c r="V177" s="7"/>
      <c r="W177" s="7"/>
    </row>
    <row r="178" spans="1:27">
      <c r="A178" s="6">
        <v>46145</v>
      </c>
      <c r="B178" s="7" t="s">
        <v>578</v>
      </c>
      <c r="C178" s="62"/>
      <c r="D178" s="7" t="s">
        <v>1478</v>
      </c>
      <c r="E178" s="7"/>
      <c r="F178" s="7"/>
      <c r="G178" s="77"/>
      <c r="H178" s="77" t="s">
        <v>1001</v>
      </c>
      <c r="I178" s="14"/>
      <c r="J178" s="7" t="s">
        <v>309</v>
      </c>
      <c r="K178" s="77" t="s">
        <v>1001</v>
      </c>
      <c r="L178" s="7">
        <v>288</v>
      </c>
      <c r="M178" s="7">
        <v>259</v>
      </c>
      <c r="N178" s="7">
        <v>195</v>
      </c>
      <c r="O178" s="7">
        <v>0</v>
      </c>
      <c r="P178" s="7">
        <v>0</v>
      </c>
      <c r="Q178" s="69">
        <f t="shared" si="25"/>
        <v>0.89930555555555558</v>
      </c>
      <c r="R178" s="69">
        <f t="shared" si="25"/>
        <v>0.75289575289575295</v>
      </c>
      <c r="S178" s="7"/>
      <c r="T178" s="7"/>
      <c r="U178" s="7"/>
      <c r="V178" s="7"/>
      <c r="W178" s="7"/>
    </row>
    <row r="179" spans="1:27">
      <c r="A179" s="6">
        <v>46145</v>
      </c>
      <c r="B179" s="7" t="s">
        <v>578</v>
      </c>
      <c r="C179" s="62"/>
      <c r="D179" s="7" t="s">
        <v>1479</v>
      </c>
      <c r="E179" s="7"/>
      <c r="F179" s="7"/>
      <c r="G179" s="77"/>
      <c r="H179" s="77" t="s">
        <v>1001</v>
      </c>
      <c r="I179" s="14"/>
      <c r="J179" s="7" t="s">
        <v>309</v>
      </c>
      <c r="K179" s="77" t="s">
        <v>1001</v>
      </c>
      <c r="L179" s="7">
        <v>288</v>
      </c>
      <c r="M179" s="7">
        <v>257</v>
      </c>
      <c r="N179" s="7">
        <v>185</v>
      </c>
      <c r="O179" s="7">
        <v>0</v>
      </c>
      <c r="P179" s="7">
        <v>0</v>
      </c>
      <c r="Q179" s="69">
        <f t="shared" si="25"/>
        <v>0.89236111111111116</v>
      </c>
      <c r="R179" s="69">
        <f t="shared" si="25"/>
        <v>0.71984435797665369</v>
      </c>
      <c r="S179" s="7"/>
      <c r="T179" s="7"/>
      <c r="U179" s="7"/>
      <c r="V179" s="7"/>
      <c r="W179" s="7"/>
    </row>
    <row r="180" spans="1:27">
      <c r="A180" s="6">
        <v>46145</v>
      </c>
      <c r="B180" s="7" t="s">
        <v>578</v>
      </c>
      <c r="C180" s="62">
        <v>0.79166666666666663</v>
      </c>
      <c r="D180" s="77" t="s">
        <v>1480</v>
      </c>
      <c r="E180" s="77" t="s">
        <v>309</v>
      </c>
      <c r="F180" s="77" t="s">
        <v>379</v>
      </c>
      <c r="G180" s="77" t="s">
        <v>85</v>
      </c>
      <c r="H180" s="77" t="s">
        <v>380</v>
      </c>
      <c r="I180" s="14"/>
      <c r="J180" s="77" t="s">
        <v>309</v>
      </c>
      <c r="K180" s="77" t="s">
        <v>380</v>
      </c>
      <c r="L180" s="7">
        <v>3674</v>
      </c>
      <c r="M180" s="7">
        <v>15</v>
      </c>
      <c r="N180" s="7">
        <v>3</v>
      </c>
      <c r="O180" s="7">
        <v>0</v>
      </c>
      <c r="P180" s="7">
        <v>0</v>
      </c>
      <c r="Q180" s="69">
        <f t="shared" si="25"/>
        <v>4.0827436037016874E-3</v>
      </c>
      <c r="R180" s="69">
        <f t="shared" si="25"/>
        <v>0.2</v>
      </c>
      <c r="S180" s="7"/>
      <c r="T180" s="7"/>
      <c r="U180" s="7"/>
      <c r="V180" s="7"/>
      <c r="W180" s="7"/>
    </row>
    <row r="181" spans="1:27">
      <c r="A181" s="6">
        <v>46145</v>
      </c>
      <c r="B181" s="7" t="s">
        <v>578</v>
      </c>
      <c r="C181" s="62">
        <v>0.80208333333333337</v>
      </c>
      <c r="D181" s="77" t="s">
        <v>1481</v>
      </c>
      <c r="E181" s="77" t="s">
        <v>309</v>
      </c>
      <c r="F181" s="77" t="s">
        <v>382</v>
      </c>
      <c r="G181" s="77" t="s">
        <v>85</v>
      </c>
      <c r="H181" s="77" t="s">
        <v>383</v>
      </c>
      <c r="I181" s="14"/>
      <c r="J181" s="77" t="s">
        <v>309</v>
      </c>
      <c r="K181" s="77" t="s">
        <v>383</v>
      </c>
      <c r="L181" s="7">
        <v>1616</v>
      </c>
      <c r="M181" s="7">
        <v>5</v>
      </c>
      <c r="N181" s="7">
        <v>3</v>
      </c>
      <c r="O181" s="7">
        <v>0</v>
      </c>
      <c r="P181" s="7">
        <v>0</v>
      </c>
      <c r="Q181" s="69">
        <f t="shared" si="25"/>
        <v>3.0940594059405942E-3</v>
      </c>
      <c r="R181" s="69">
        <f t="shared" si="25"/>
        <v>0.6</v>
      </c>
      <c r="S181" s="7"/>
      <c r="T181" s="7"/>
      <c r="U181" s="7"/>
      <c r="V181" s="7"/>
      <c r="W181" s="7"/>
    </row>
    <row r="182" spans="1:27">
      <c r="A182" s="6">
        <v>46145</v>
      </c>
      <c r="B182" s="7" t="s">
        <v>578</v>
      </c>
      <c r="C182" s="62">
        <v>0.77083333333333337</v>
      </c>
      <c r="D182" s="7" t="s">
        <v>1482</v>
      </c>
      <c r="E182" s="7" t="s">
        <v>309</v>
      </c>
      <c r="F182" s="7" t="s">
        <v>367</v>
      </c>
      <c r="G182" s="77" t="s">
        <v>85</v>
      </c>
      <c r="H182" s="7" t="s">
        <v>350</v>
      </c>
      <c r="I182" s="14" t="s">
        <v>1065</v>
      </c>
      <c r="J182" s="77" t="s">
        <v>309</v>
      </c>
      <c r="K182" s="7" t="s">
        <v>350</v>
      </c>
      <c r="L182" s="7">
        <v>5528</v>
      </c>
      <c r="M182" s="7">
        <v>18</v>
      </c>
      <c r="N182" s="7">
        <v>7</v>
      </c>
      <c r="O182" s="7">
        <v>1</v>
      </c>
      <c r="P182" s="7">
        <v>1</v>
      </c>
      <c r="Q182" s="69">
        <f t="shared" si="25"/>
        <v>3.256150506512301E-3</v>
      </c>
      <c r="R182" s="69">
        <f t="shared" si="25"/>
        <v>0.3888888888888889</v>
      </c>
      <c r="S182" s="7"/>
      <c r="T182" s="7"/>
      <c r="U182" s="7"/>
      <c r="V182" s="7"/>
      <c r="W182" s="7"/>
    </row>
    <row r="183" spans="1:27">
      <c r="A183" s="6">
        <v>46145</v>
      </c>
      <c r="B183" s="7" t="s">
        <v>578</v>
      </c>
      <c r="C183" s="62">
        <v>0.8125</v>
      </c>
      <c r="D183" s="7" t="s">
        <v>1483</v>
      </c>
      <c r="E183" s="7" t="s">
        <v>309</v>
      </c>
      <c r="F183" s="7" t="s">
        <v>369</v>
      </c>
      <c r="G183" s="77" t="s">
        <v>85</v>
      </c>
      <c r="H183" s="7" t="s">
        <v>351</v>
      </c>
      <c r="I183" s="14"/>
      <c r="J183" s="77" t="s">
        <v>309</v>
      </c>
      <c r="K183" s="7" t="s">
        <v>351</v>
      </c>
      <c r="L183" s="7">
        <v>3244</v>
      </c>
      <c r="M183" s="7">
        <v>9</v>
      </c>
      <c r="N183" s="7">
        <v>3</v>
      </c>
      <c r="O183" s="7">
        <v>0</v>
      </c>
      <c r="P183" s="7">
        <v>0</v>
      </c>
      <c r="Q183" s="69">
        <f t="shared" si="25"/>
        <v>2.7743526510480886E-3</v>
      </c>
      <c r="R183" s="69">
        <f t="shared" si="25"/>
        <v>0.33333333333333331</v>
      </c>
      <c r="S183" s="7"/>
      <c r="T183" s="7"/>
      <c r="U183" s="7"/>
      <c r="V183" s="7"/>
      <c r="W183" s="7"/>
    </row>
    <row r="184" spans="1:27">
      <c r="A184" s="6">
        <v>46145</v>
      </c>
      <c r="B184" s="7" t="s">
        <v>578</v>
      </c>
      <c r="C184" s="62">
        <v>0.85416666666666663</v>
      </c>
      <c r="D184" s="88" t="s">
        <v>1484</v>
      </c>
      <c r="E184" s="88" t="s">
        <v>309</v>
      </c>
      <c r="F184" s="88" t="s">
        <v>586</v>
      </c>
      <c r="G184" s="77" t="s">
        <v>85</v>
      </c>
      <c r="H184" s="7" t="s">
        <v>210</v>
      </c>
      <c r="I184" s="14"/>
      <c r="J184" s="7" t="s">
        <v>309</v>
      </c>
      <c r="K184" s="7" t="s">
        <v>210</v>
      </c>
      <c r="L184" s="7">
        <v>1796</v>
      </c>
      <c r="M184" s="7">
        <v>511</v>
      </c>
      <c r="N184" s="7">
        <v>367</v>
      </c>
      <c r="O184" s="7">
        <v>2</v>
      </c>
      <c r="P184" s="7">
        <v>1</v>
      </c>
      <c r="Q184" s="69">
        <f t="shared" si="25"/>
        <v>0.28452115812917594</v>
      </c>
      <c r="R184" s="69">
        <f t="shared" si="25"/>
        <v>0.71819960861056753</v>
      </c>
      <c r="S184" s="7"/>
      <c r="T184" s="7"/>
      <c r="U184" s="7"/>
      <c r="V184" s="7"/>
      <c r="W184" s="7"/>
    </row>
    <row r="185" spans="1:27" ht="16.8">
      <c r="A185" s="6">
        <v>46145</v>
      </c>
      <c r="B185" s="7" t="s">
        <v>578</v>
      </c>
      <c r="C185" s="62">
        <v>0.96875</v>
      </c>
      <c r="D185" s="7" t="s">
        <v>1485</v>
      </c>
      <c r="E185" s="7" t="s">
        <v>309</v>
      </c>
      <c r="F185" s="7" t="s">
        <v>367</v>
      </c>
      <c r="G185" s="77" t="s">
        <v>85</v>
      </c>
      <c r="H185" s="52" t="s">
        <v>157</v>
      </c>
      <c r="I185" s="14" t="s">
        <v>1065</v>
      </c>
      <c r="J185" s="7" t="s">
        <v>309</v>
      </c>
      <c r="K185" s="52" t="s">
        <v>157</v>
      </c>
      <c r="L185" s="7">
        <v>2051</v>
      </c>
      <c r="M185" s="7">
        <v>403</v>
      </c>
      <c r="N185" s="7">
        <v>72</v>
      </c>
      <c r="O185" s="7">
        <v>2</v>
      </c>
      <c r="P185" s="7">
        <v>0</v>
      </c>
      <c r="Q185" s="69">
        <f t="shared" si="25"/>
        <v>0.19648951730862993</v>
      </c>
      <c r="R185" s="69">
        <f t="shared" si="25"/>
        <v>0.17866004962779156</v>
      </c>
      <c r="S185" s="7"/>
      <c r="T185" s="7"/>
      <c r="U185" s="7"/>
      <c r="V185" s="7"/>
      <c r="W185" s="7"/>
    </row>
    <row r="186" spans="1:27">
      <c r="A186" s="6">
        <v>46145</v>
      </c>
      <c r="B186" s="7" t="s">
        <v>578</v>
      </c>
      <c r="C186" s="62" t="s">
        <v>720</v>
      </c>
      <c r="D186" s="88" t="s">
        <v>1486</v>
      </c>
      <c r="E186" s="7" t="s">
        <v>309</v>
      </c>
      <c r="F186" s="77"/>
      <c r="G186" s="77" t="s">
        <v>85</v>
      </c>
      <c r="H186" s="7" t="s">
        <v>149</v>
      </c>
      <c r="I186" s="14"/>
      <c r="J186" s="7" t="s">
        <v>309</v>
      </c>
      <c r="K186" s="7" t="s">
        <v>149</v>
      </c>
      <c r="L186" s="7">
        <v>1314</v>
      </c>
      <c r="M186" s="7">
        <v>26</v>
      </c>
      <c r="N186" s="7">
        <v>8</v>
      </c>
      <c r="O186" s="7">
        <v>0</v>
      </c>
      <c r="P186" s="7">
        <v>0</v>
      </c>
      <c r="Q186" s="69">
        <f t="shared" si="25"/>
        <v>1.9786910197869101E-2</v>
      </c>
      <c r="R186" s="69">
        <f t="shared" si="25"/>
        <v>0.30769230769230771</v>
      </c>
      <c r="S186" s="7"/>
      <c r="T186" s="7"/>
      <c r="U186" s="7"/>
      <c r="V186" s="7"/>
      <c r="W186" s="7"/>
    </row>
    <row r="187" spans="1:27" ht="6.6" customHeight="1">
      <c r="A187" s="22"/>
      <c r="B187" s="23"/>
      <c r="C187" s="24"/>
      <c r="D187" s="18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5"/>
      <c r="R187" s="25"/>
      <c r="S187" s="24"/>
      <c r="T187" s="24"/>
      <c r="U187" s="24"/>
      <c r="V187" s="25"/>
      <c r="W187" s="26"/>
    </row>
    <row r="188" spans="1:27">
      <c r="A188" s="169">
        <v>46146</v>
      </c>
      <c r="B188" s="18" t="s">
        <v>301</v>
      </c>
      <c r="C188" s="18" t="s">
        <v>598</v>
      </c>
      <c r="D188" s="18" t="s">
        <v>310</v>
      </c>
      <c r="E188" s="18" t="s">
        <v>309</v>
      </c>
      <c r="F188" s="18" t="s">
        <v>311</v>
      </c>
      <c r="G188" s="18" t="s">
        <v>85</v>
      </c>
      <c r="H188" s="18" t="s">
        <v>186</v>
      </c>
      <c r="I188" s="47"/>
      <c r="J188" s="18" t="s">
        <v>309</v>
      </c>
      <c r="K188" s="18" t="s">
        <v>186</v>
      </c>
      <c r="L188" s="7"/>
      <c r="M188" s="7"/>
      <c r="N188" s="7"/>
      <c r="O188" s="7"/>
      <c r="P188" s="7"/>
      <c r="Q188" s="69" t="e">
        <f t="shared" ref="Q188:Q207" si="26">M188/L188</f>
        <v>#DIV/0!</v>
      </c>
      <c r="R188" s="69" t="e">
        <f t="shared" ref="R188:R207" si="27">N188/M188</f>
        <v>#DIV/0!</v>
      </c>
      <c r="S188" s="7"/>
      <c r="T188" s="7"/>
      <c r="U188" s="7"/>
      <c r="V188" s="7"/>
      <c r="W188" s="7"/>
      <c r="Y188" s="7"/>
      <c r="Z188" s="7"/>
      <c r="AA188" s="7"/>
    </row>
    <row r="189" spans="1:27">
      <c r="A189" s="169">
        <v>46146</v>
      </c>
      <c r="B189" s="18" t="s">
        <v>301</v>
      </c>
      <c r="C189" s="18" t="s">
        <v>605</v>
      </c>
      <c r="D189" s="18" t="s">
        <v>604</v>
      </c>
      <c r="E189" s="18" t="s">
        <v>309</v>
      </c>
      <c r="F189" s="18" t="s">
        <v>603</v>
      </c>
      <c r="G189" s="18" t="s">
        <v>85</v>
      </c>
      <c r="H189" s="18" t="s">
        <v>186</v>
      </c>
      <c r="I189" s="29"/>
      <c r="J189" s="18" t="s">
        <v>309</v>
      </c>
      <c r="K189" s="18" t="s">
        <v>186</v>
      </c>
      <c r="L189" s="7"/>
      <c r="M189" s="7"/>
      <c r="N189" s="7"/>
      <c r="O189" s="7"/>
      <c r="P189" s="7"/>
      <c r="Q189" s="69" t="e">
        <f t="shared" si="26"/>
        <v>#DIV/0!</v>
      </c>
      <c r="R189" s="69" t="e">
        <f t="shared" si="27"/>
        <v>#DIV/0!</v>
      </c>
      <c r="S189" s="7"/>
      <c r="T189" s="7"/>
      <c r="U189" s="7"/>
      <c r="V189" s="7"/>
      <c r="W189" s="7"/>
      <c r="Y189" s="7"/>
      <c r="Z189" s="7"/>
      <c r="AA189" s="7"/>
    </row>
    <row r="190" spans="1:27">
      <c r="A190" s="169">
        <v>46146</v>
      </c>
      <c r="B190" s="18" t="s">
        <v>301</v>
      </c>
      <c r="C190" s="18" t="s">
        <v>347</v>
      </c>
      <c r="D190" s="18" t="s">
        <v>354</v>
      </c>
      <c r="E190" s="18" t="s">
        <v>309</v>
      </c>
      <c r="F190" s="18" t="s">
        <v>355</v>
      </c>
      <c r="G190" s="18" t="s">
        <v>85</v>
      </c>
      <c r="H190" s="18" t="s">
        <v>313</v>
      </c>
      <c r="I190" s="29" t="s">
        <v>169</v>
      </c>
      <c r="J190" s="18" t="s">
        <v>309</v>
      </c>
      <c r="K190" s="18" t="s">
        <v>313</v>
      </c>
      <c r="L190" s="7"/>
      <c r="M190" s="7"/>
      <c r="N190" s="7"/>
      <c r="O190" s="7"/>
      <c r="P190" s="7"/>
      <c r="Q190" s="69" t="e">
        <f t="shared" si="26"/>
        <v>#DIV/0!</v>
      </c>
      <c r="R190" s="69" t="e">
        <f t="shared" si="27"/>
        <v>#DIV/0!</v>
      </c>
      <c r="S190" s="7"/>
      <c r="T190" s="7"/>
      <c r="U190" s="7"/>
      <c r="V190" s="7"/>
      <c r="W190" s="7"/>
      <c r="Y190" s="7"/>
      <c r="Z190" s="7"/>
      <c r="AA190" s="7"/>
    </row>
    <row r="191" spans="1:27">
      <c r="A191" s="169">
        <v>46146</v>
      </c>
      <c r="B191" s="18" t="s">
        <v>301</v>
      </c>
      <c r="C191" s="18" t="s">
        <v>598</v>
      </c>
      <c r="D191" s="18" t="s">
        <v>510</v>
      </c>
      <c r="E191" s="18" t="s">
        <v>309</v>
      </c>
      <c r="F191" s="18" t="s">
        <v>509</v>
      </c>
      <c r="G191" s="18" t="s">
        <v>85</v>
      </c>
      <c r="H191" s="18" t="s">
        <v>106</v>
      </c>
      <c r="I191" s="47"/>
      <c r="J191" s="18" t="s">
        <v>309</v>
      </c>
      <c r="K191" s="18" t="s">
        <v>106</v>
      </c>
      <c r="L191" s="7"/>
      <c r="M191" s="7"/>
      <c r="N191" s="7"/>
      <c r="O191" s="7"/>
      <c r="P191" s="7"/>
      <c r="Q191" s="69" t="e">
        <f t="shared" si="26"/>
        <v>#DIV/0!</v>
      </c>
      <c r="R191" s="69" t="e">
        <f t="shared" si="27"/>
        <v>#DIV/0!</v>
      </c>
      <c r="S191" s="7"/>
      <c r="T191" s="7"/>
      <c r="U191" s="7"/>
      <c r="V191" s="7"/>
      <c r="W191" s="7"/>
      <c r="Y191" s="7"/>
      <c r="Z191" s="7"/>
      <c r="AA191" s="7"/>
    </row>
    <row r="192" spans="1:27">
      <c r="A192" s="169">
        <v>46146</v>
      </c>
      <c r="B192" s="18" t="s">
        <v>301</v>
      </c>
      <c r="C192" s="18" t="s">
        <v>605</v>
      </c>
      <c r="D192" s="18" t="s">
        <v>604</v>
      </c>
      <c r="E192" s="18" t="s">
        <v>309</v>
      </c>
      <c r="F192" s="18" t="s">
        <v>603</v>
      </c>
      <c r="G192" s="18" t="s">
        <v>85</v>
      </c>
      <c r="H192" s="18" t="s">
        <v>106</v>
      </c>
      <c r="I192" s="29"/>
      <c r="J192" s="18" t="s">
        <v>309</v>
      </c>
      <c r="K192" s="18" t="s">
        <v>106</v>
      </c>
      <c r="L192" s="7"/>
      <c r="M192" s="7"/>
      <c r="N192" s="7"/>
      <c r="O192" s="7"/>
      <c r="P192" s="7"/>
      <c r="Q192" s="69" t="e">
        <f t="shared" si="26"/>
        <v>#DIV/0!</v>
      </c>
      <c r="R192" s="69" t="e">
        <f t="shared" si="27"/>
        <v>#DIV/0!</v>
      </c>
      <c r="S192" s="7"/>
      <c r="T192" s="7"/>
      <c r="U192" s="7"/>
      <c r="V192" s="7"/>
      <c r="W192" s="7"/>
      <c r="Y192" s="7"/>
      <c r="Z192" s="7"/>
      <c r="AA192" s="7"/>
    </row>
    <row r="193" spans="1:27">
      <c r="A193" s="169">
        <v>46146</v>
      </c>
      <c r="B193" s="18" t="s">
        <v>301</v>
      </c>
      <c r="C193" s="18" t="s">
        <v>460</v>
      </c>
      <c r="D193" s="18" t="s">
        <v>1504</v>
      </c>
      <c r="E193" s="18" t="s">
        <v>309</v>
      </c>
      <c r="F193" s="21" t="s">
        <v>1503</v>
      </c>
      <c r="G193" s="18"/>
      <c r="H193" s="21" t="s">
        <v>1047</v>
      </c>
      <c r="I193" s="182" t="s">
        <v>1132</v>
      </c>
      <c r="J193" s="18"/>
      <c r="K193" s="18"/>
      <c r="L193" s="7"/>
      <c r="M193" s="7"/>
      <c r="N193" s="7"/>
      <c r="O193" s="7"/>
      <c r="P193" s="7"/>
      <c r="Q193" s="69" t="e">
        <f t="shared" si="26"/>
        <v>#DIV/0!</v>
      </c>
      <c r="R193" s="69" t="e">
        <f t="shared" si="27"/>
        <v>#DIV/0!</v>
      </c>
      <c r="S193" s="7"/>
      <c r="T193" s="7"/>
      <c r="U193" s="7"/>
      <c r="V193" s="7"/>
      <c r="W193" s="7"/>
      <c r="Y193" s="7"/>
      <c r="Z193" s="7"/>
      <c r="AA193" s="7"/>
    </row>
    <row r="194" spans="1:27">
      <c r="A194" s="169">
        <v>46146</v>
      </c>
      <c r="B194" s="18" t="s">
        <v>301</v>
      </c>
      <c r="C194" s="18"/>
      <c r="D194" s="18" t="s">
        <v>1505</v>
      </c>
      <c r="E194" s="18" t="s">
        <v>309</v>
      </c>
      <c r="F194" s="21" t="s">
        <v>1503</v>
      </c>
      <c r="G194" s="18"/>
      <c r="H194" s="21" t="s">
        <v>1049</v>
      </c>
      <c r="I194" s="182" t="s">
        <v>1133</v>
      </c>
      <c r="J194" s="18"/>
      <c r="K194" s="18"/>
      <c r="L194" s="7"/>
      <c r="M194" s="7"/>
      <c r="N194" s="7"/>
      <c r="O194" s="7"/>
      <c r="P194" s="7"/>
      <c r="Q194" s="69" t="e">
        <f t="shared" si="26"/>
        <v>#DIV/0!</v>
      </c>
      <c r="R194" s="69" t="e">
        <f t="shared" si="27"/>
        <v>#DIV/0!</v>
      </c>
      <c r="S194" s="7"/>
      <c r="T194" s="7"/>
      <c r="U194" s="7"/>
      <c r="V194" s="7"/>
      <c r="W194" s="7"/>
    </row>
    <row r="195" spans="1:27">
      <c r="A195" s="6">
        <v>46146</v>
      </c>
      <c r="B195" s="7" t="s">
        <v>301</v>
      </c>
      <c r="C195" s="62"/>
      <c r="D195" s="7" t="s">
        <v>1537</v>
      </c>
      <c r="E195" s="7" t="s">
        <v>309</v>
      </c>
      <c r="F195" s="7" t="s">
        <v>738</v>
      </c>
      <c r="G195" s="77"/>
      <c r="H195" s="77" t="s">
        <v>685</v>
      </c>
      <c r="I195" s="14"/>
      <c r="J195" s="7" t="s">
        <v>309</v>
      </c>
      <c r="K195" s="77" t="s">
        <v>685</v>
      </c>
      <c r="L195" s="7"/>
      <c r="M195" s="7"/>
      <c r="N195" s="7"/>
      <c r="O195" s="7"/>
      <c r="P195" s="7"/>
      <c r="Q195" s="69" t="e">
        <f t="shared" si="26"/>
        <v>#DIV/0!</v>
      </c>
      <c r="R195" s="69" t="e">
        <f t="shared" si="27"/>
        <v>#DIV/0!</v>
      </c>
      <c r="S195" s="7"/>
      <c r="T195" s="7"/>
      <c r="U195" s="7"/>
      <c r="V195" s="7"/>
      <c r="W195" s="7"/>
    </row>
    <row r="196" spans="1:27">
      <c r="A196" s="6">
        <v>46146</v>
      </c>
      <c r="B196" s="7" t="s">
        <v>301</v>
      </c>
      <c r="C196" s="62"/>
      <c r="D196" s="7" t="s">
        <v>1538</v>
      </c>
      <c r="E196" s="7" t="s">
        <v>309</v>
      </c>
      <c r="F196" s="7" t="s">
        <v>738</v>
      </c>
      <c r="G196" s="77"/>
      <c r="H196" s="77" t="s">
        <v>685</v>
      </c>
      <c r="I196" s="14"/>
      <c r="J196" s="7" t="s">
        <v>309</v>
      </c>
      <c r="K196" s="77" t="s">
        <v>685</v>
      </c>
      <c r="L196" s="7"/>
      <c r="M196" s="7"/>
      <c r="N196" s="7"/>
      <c r="O196" s="7"/>
      <c r="P196" s="7"/>
      <c r="Q196" s="69" t="e">
        <f t="shared" si="26"/>
        <v>#DIV/0!</v>
      </c>
      <c r="R196" s="69" t="e">
        <f t="shared" si="27"/>
        <v>#DIV/0!</v>
      </c>
      <c r="S196" s="7"/>
      <c r="T196" s="7"/>
      <c r="U196" s="7"/>
      <c r="V196" s="7"/>
      <c r="W196" s="7"/>
    </row>
    <row r="197" spans="1:27">
      <c r="A197" s="6">
        <v>46146</v>
      </c>
      <c r="B197" s="7" t="s">
        <v>301</v>
      </c>
      <c r="C197" s="62"/>
      <c r="D197" s="7" t="s">
        <v>1539</v>
      </c>
      <c r="E197" s="7" t="s">
        <v>309</v>
      </c>
      <c r="F197" s="7" t="s">
        <v>738</v>
      </c>
      <c r="G197" s="77"/>
      <c r="H197" s="77" t="s">
        <v>1001</v>
      </c>
      <c r="I197" s="14"/>
      <c r="J197" s="7" t="s">
        <v>309</v>
      </c>
      <c r="K197" s="77" t="s">
        <v>1001</v>
      </c>
      <c r="L197" s="7"/>
      <c r="M197" s="7"/>
      <c r="N197" s="7"/>
      <c r="O197" s="7"/>
      <c r="P197" s="7"/>
      <c r="Q197" s="69" t="e">
        <f t="shared" si="26"/>
        <v>#DIV/0!</v>
      </c>
      <c r="R197" s="69" t="e">
        <f t="shared" si="27"/>
        <v>#DIV/0!</v>
      </c>
      <c r="S197" s="7"/>
      <c r="T197" s="7"/>
      <c r="U197" s="7"/>
      <c r="V197" s="7"/>
      <c r="W197" s="7"/>
    </row>
    <row r="198" spans="1:27">
      <c r="A198" s="6">
        <v>46146</v>
      </c>
      <c r="B198" s="7" t="s">
        <v>301</v>
      </c>
      <c r="C198" s="62"/>
      <c r="D198" s="7" t="s">
        <v>1540</v>
      </c>
      <c r="E198" s="7" t="s">
        <v>309</v>
      </c>
      <c r="F198" s="7" t="s">
        <v>738</v>
      </c>
      <c r="G198" s="77"/>
      <c r="H198" s="77" t="s">
        <v>1001</v>
      </c>
      <c r="I198" s="14"/>
      <c r="J198" s="7" t="s">
        <v>309</v>
      </c>
      <c r="K198" s="77" t="s">
        <v>1001</v>
      </c>
      <c r="L198" s="7"/>
      <c r="M198" s="7"/>
      <c r="N198" s="7"/>
      <c r="O198" s="7"/>
      <c r="P198" s="7"/>
      <c r="Q198" s="69" t="e">
        <f t="shared" si="26"/>
        <v>#DIV/0!</v>
      </c>
      <c r="R198" s="69" t="e">
        <f t="shared" si="27"/>
        <v>#DIV/0!</v>
      </c>
      <c r="S198" s="7"/>
      <c r="T198" s="7"/>
      <c r="U198" s="7"/>
      <c r="V198" s="7"/>
      <c r="W198" s="7"/>
    </row>
    <row r="199" spans="1:27">
      <c r="A199" s="6">
        <v>46146</v>
      </c>
      <c r="B199" s="7" t="s">
        <v>301</v>
      </c>
      <c r="C199" s="62"/>
      <c r="D199" s="7" t="s">
        <v>1541</v>
      </c>
      <c r="E199" s="7"/>
      <c r="F199" s="7"/>
      <c r="G199" s="77"/>
      <c r="H199" s="77" t="s">
        <v>1001</v>
      </c>
      <c r="I199" s="14"/>
      <c r="J199" s="7" t="s">
        <v>309</v>
      </c>
      <c r="K199" s="77" t="s">
        <v>1001</v>
      </c>
      <c r="L199" s="7"/>
      <c r="M199" s="7"/>
      <c r="N199" s="7"/>
      <c r="O199" s="7"/>
      <c r="P199" s="7"/>
      <c r="Q199" s="69" t="e">
        <f t="shared" si="26"/>
        <v>#DIV/0!</v>
      </c>
      <c r="R199" s="69" t="e">
        <f t="shared" si="27"/>
        <v>#DIV/0!</v>
      </c>
      <c r="S199" s="7"/>
      <c r="T199" s="7"/>
      <c r="U199" s="7"/>
      <c r="V199" s="7"/>
      <c r="W199" s="7"/>
    </row>
    <row r="200" spans="1:27">
      <c r="A200" s="6">
        <v>46146</v>
      </c>
      <c r="B200" s="7" t="s">
        <v>301</v>
      </c>
      <c r="C200" s="62"/>
      <c r="D200" s="7" t="s">
        <v>1542</v>
      </c>
      <c r="E200" s="7"/>
      <c r="F200" s="7"/>
      <c r="G200" s="77"/>
      <c r="H200" s="77" t="s">
        <v>1001</v>
      </c>
      <c r="I200" s="14"/>
      <c r="J200" s="7" t="s">
        <v>309</v>
      </c>
      <c r="K200" s="77" t="s">
        <v>1001</v>
      </c>
      <c r="L200" s="7"/>
      <c r="M200" s="7"/>
      <c r="N200" s="7"/>
      <c r="O200" s="7"/>
      <c r="P200" s="7"/>
      <c r="Q200" s="69" t="e">
        <f t="shared" si="26"/>
        <v>#DIV/0!</v>
      </c>
      <c r="R200" s="69" t="e">
        <f t="shared" si="27"/>
        <v>#DIV/0!</v>
      </c>
      <c r="S200" s="7"/>
      <c r="T200" s="7"/>
      <c r="U200" s="7"/>
      <c r="V200" s="7"/>
      <c r="W200" s="7"/>
    </row>
    <row r="201" spans="1:27">
      <c r="A201" s="6">
        <v>46146</v>
      </c>
      <c r="B201" s="7" t="s">
        <v>301</v>
      </c>
      <c r="C201" s="62"/>
      <c r="D201" s="7" t="s">
        <v>1543</v>
      </c>
      <c r="E201" s="7"/>
      <c r="F201" s="7"/>
      <c r="G201" s="77"/>
      <c r="H201" s="77" t="s">
        <v>1001</v>
      </c>
      <c r="I201" s="14"/>
      <c r="J201" s="7" t="s">
        <v>309</v>
      </c>
      <c r="K201" s="77" t="s">
        <v>1001</v>
      </c>
      <c r="L201" s="7"/>
      <c r="M201" s="7"/>
      <c r="N201" s="7"/>
      <c r="O201" s="7"/>
      <c r="P201" s="7"/>
      <c r="Q201" s="69" t="e">
        <f t="shared" si="26"/>
        <v>#DIV/0!</v>
      </c>
      <c r="R201" s="69" t="e">
        <f t="shared" si="27"/>
        <v>#DIV/0!</v>
      </c>
      <c r="S201" s="7"/>
      <c r="T201" s="7"/>
      <c r="U201" s="7"/>
      <c r="V201" s="7"/>
      <c r="W201" s="7"/>
    </row>
    <row r="202" spans="1:27">
      <c r="A202" s="6"/>
      <c r="B202" s="7"/>
      <c r="C202" s="62">
        <v>0.44791666666666669</v>
      </c>
      <c r="D202" t="s">
        <v>1565</v>
      </c>
      <c r="E202" s="88" t="s">
        <v>309</v>
      </c>
      <c r="F202" t="s">
        <v>1566</v>
      </c>
      <c r="G202" s="77" t="s">
        <v>85</v>
      </c>
      <c r="H202" s="7" t="s">
        <v>121</v>
      </c>
      <c r="I202" s="14"/>
      <c r="J202" s="7" t="s">
        <v>309</v>
      </c>
      <c r="K202" s="7" t="s">
        <v>121</v>
      </c>
      <c r="L202" s="7"/>
      <c r="M202" s="7"/>
      <c r="N202" s="7"/>
      <c r="O202" s="7"/>
      <c r="P202" s="7"/>
      <c r="Q202" s="69"/>
      <c r="R202" s="69"/>
      <c r="S202" s="7"/>
      <c r="T202" s="7"/>
      <c r="U202" s="7"/>
      <c r="V202" s="7"/>
      <c r="W202" s="7"/>
    </row>
    <row r="203" spans="1:27">
      <c r="A203" s="6">
        <v>46146</v>
      </c>
      <c r="B203" s="7" t="s">
        <v>301</v>
      </c>
      <c r="C203" s="62">
        <v>0.85416666666666663</v>
      </c>
      <c r="D203" t="s">
        <v>1567</v>
      </c>
      <c r="E203" s="88" t="s">
        <v>309</v>
      </c>
      <c r="F203" t="s">
        <v>742</v>
      </c>
      <c r="G203" s="77" t="s">
        <v>85</v>
      </c>
      <c r="H203" s="7" t="s">
        <v>210</v>
      </c>
      <c r="I203" s="14"/>
      <c r="J203" s="7" t="s">
        <v>309</v>
      </c>
      <c r="K203" s="7" t="s">
        <v>210</v>
      </c>
      <c r="L203" s="7"/>
      <c r="M203" s="7"/>
      <c r="N203" s="7"/>
      <c r="O203" s="7"/>
      <c r="P203" s="7"/>
      <c r="Q203" s="69" t="e">
        <f t="shared" ref="Q203" si="28">M203/L203</f>
        <v>#DIV/0!</v>
      </c>
      <c r="R203" s="69" t="e">
        <f t="shared" ref="R203" si="29">N203/M203</f>
        <v>#DIV/0!</v>
      </c>
      <c r="S203" s="7"/>
      <c r="T203" s="7"/>
      <c r="U203" s="7"/>
      <c r="V203" s="7"/>
      <c r="W203" s="7"/>
    </row>
    <row r="204" spans="1:27">
      <c r="A204" s="6">
        <v>46146</v>
      </c>
      <c r="B204" s="7" t="s">
        <v>301</v>
      </c>
      <c r="C204" s="62">
        <v>0.85416666666666663</v>
      </c>
      <c r="D204" s="88" t="s">
        <v>1570</v>
      </c>
      <c r="E204" s="88" t="s">
        <v>309</v>
      </c>
      <c r="F204" s="88" t="s">
        <v>539</v>
      </c>
      <c r="G204" s="77" t="s">
        <v>85</v>
      </c>
      <c r="H204" s="7" t="s">
        <v>210</v>
      </c>
      <c r="I204" s="14"/>
      <c r="J204" s="7" t="s">
        <v>309</v>
      </c>
      <c r="K204" s="7" t="s">
        <v>210</v>
      </c>
      <c r="L204" s="7"/>
      <c r="M204" s="7"/>
      <c r="N204" s="7"/>
      <c r="O204" s="7"/>
      <c r="P204" s="7"/>
      <c r="Q204" s="69" t="e">
        <f t="shared" si="26"/>
        <v>#DIV/0!</v>
      </c>
      <c r="R204" s="69" t="e">
        <f t="shared" si="27"/>
        <v>#DIV/0!</v>
      </c>
      <c r="S204" s="7"/>
      <c r="T204" s="7"/>
      <c r="U204" s="7"/>
      <c r="V204" s="7"/>
      <c r="W204" s="7"/>
    </row>
    <row r="205" spans="1:27" ht="16.8">
      <c r="A205" s="6">
        <v>46146</v>
      </c>
      <c r="B205" s="7" t="s">
        <v>301</v>
      </c>
      <c r="C205" s="62">
        <v>0.96875</v>
      </c>
      <c r="D205" t="s">
        <v>1568</v>
      </c>
      <c r="E205" s="77" t="s">
        <v>309</v>
      </c>
      <c r="F205" t="s">
        <v>734</v>
      </c>
      <c r="G205" s="77" t="s">
        <v>85</v>
      </c>
      <c r="H205" s="52" t="s">
        <v>157</v>
      </c>
      <c r="I205" s="14"/>
      <c r="J205" s="7" t="s">
        <v>309</v>
      </c>
      <c r="K205" s="52" t="s">
        <v>157</v>
      </c>
      <c r="L205" s="7"/>
      <c r="M205" s="7"/>
      <c r="N205" s="7"/>
      <c r="O205" s="7"/>
      <c r="P205" s="7"/>
      <c r="Q205" s="69" t="e">
        <f t="shared" si="26"/>
        <v>#DIV/0!</v>
      </c>
      <c r="R205" s="69" t="e">
        <f t="shared" si="27"/>
        <v>#DIV/0!</v>
      </c>
      <c r="S205" s="7"/>
      <c r="T205" s="7"/>
      <c r="U205" s="7"/>
      <c r="V205" s="7"/>
      <c r="W205" s="7"/>
    </row>
    <row r="206" spans="1:27" ht="16.8">
      <c r="A206" s="6">
        <v>46146</v>
      </c>
      <c r="B206" s="7" t="s">
        <v>301</v>
      </c>
      <c r="C206" s="62">
        <v>0.96875</v>
      </c>
      <c r="D206" s="111" t="s">
        <v>1571</v>
      </c>
      <c r="E206" s="77" t="s">
        <v>28</v>
      </c>
      <c r="F206" s="77" t="s">
        <v>715</v>
      </c>
      <c r="G206" s="77" t="s">
        <v>85</v>
      </c>
      <c r="H206" s="52" t="s">
        <v>157</v>
      </c>
      <c r="I206" s="14"/>
      <c r="J206" s="7" t="s">
        <v>309</v>
      </c>
      <c r="K206" s="52" t="s">
        <v>157</v>
      </c>
      <c r="L206" s="7"/>
      <c r="M206" s="7"/>
      <c r="N206" s="7"/>
      <c r="O206" s="7"/>
      <c r="P206" s="7"/>
      <c r="Q206" s="69" t="e">
        <f t="shared" ref="Q206" si="30">M206/L206</f>
        <v>#DIV/0!</v>
      </c>
      <c r="R206" s="69" t="e">
        <f t="shared" ref="R206" si="31">N206/M206</f>
        <v>#DIV/0!</v>
      </c>
      <c r="S206" s="7"/>
      <c r="T206" s="7"/>
      <c r="U206" s="7"/>
      <c r="V206" s="7"/>
      <c r="W206" s="7"/>
    </row>
    <row r="207" spans="1:27">
      <c r="A207" s="6">
        <v>46146</v>
      </c>
      <c r="B207" s="7" t="s">
        <v>301</v>
      </c>
      <c r="C207" s="62" t="s">
        <v>720</v>
      </c>
      <c r="D207" t="s">
        <v>1569</v>
      </c>
      <c r="E207" s="77" t="s">
        <v>309</v>
      </c>
      <c r="F207" t="s">
        <v>736</v>
      </c>
      <c r="G207" s="77" t="s">
        <v>85</v>
      </c>
      <c r="H207" s="7" t="s">
        <v>149</v>
      </c>
      <c r="I207" s="14"/>
      <c r="J207" s="7" t="s">
        <v>309</v>
      </c>
      <c r="K207" s="7" t="s">
        <v>149</v>
      </c>
      <c r="L207" s="7"/>
      <c r="M207" s="7"/>
      <c r="N207" s="7"/>
      <c r="O207" s="7"/>
      <c r="P207" s="7"/>
      <c r="Q207" s="69" t="e">
        <f t="shared" si="26"/>
        <v>#DIV/0!</v>
      </c>
      <c r="R207" s="69" t="e">
        <f t="shared" si="27"/>
        <v>#DIV/0!</v>
      </c>
      <c r="S207" s="7"/>
      <c r="T207" s="7"/>
      <c r="U207" s="7"/>
      <c r="V207" s="7"/>
      <c r="W207" s="7"/>
    </row>
    <row r="208" spans="1:27" ht="6.6" customHeight="1">
      <c r="A208" s="22"/>
      <c r="B208" s="23"/>
      <c r="C208" s="24"/>
      <c r="D208" s="18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5"/>
      <c r="R208" s="25"/>
      <c r="S208" s="24"/>
      <c r="T208" s="24"/>
      <c r="U208" s="24"/>
      <c r="V208" s="25"/>
      <c r="W208" s="26"/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BDEED-2F7E-4093-9177-120E9AC0D9C8}">
  <dimension ref="B2:L44"/>
  <sheetViews>
    <sheetView workbookViewId="0">
      <selection activeCell="D6" sqref="D6:H6"/>
    </sheetView>
  </sheetViews>
  <sheetFormatPr defaultRowHeight="14.4"/>
  <cols>
    <col min="2" max="2" width="10.33203125" bestFit="1" customWidth="1"/>
    <col min="3" max="3" width="13.77734375" bestFit="1" customWidth="1"/>
    <col min="9" max="10" width="16.21875" bestFit="1" customWidth="1"/>
  </cols>
  <sheetData>
    <row r="2" spans="2:12" ht="18">
      <c r="B2" s="189" t="s">
        <v>389</v>
      </c>
      <c r="C2" s="189"/>
      <c r="D2" s="189"/>
      <c r="E2" s="189"/>
      <c r="F2" s="189"/>
      <c r="G2" s="189"/>
      <c r="H2" s="189"/>
      <c r="I2" s="189"/>
      <c r="J2" s="189"/>
      <c r="K2" s="189"/>
      <c r="L2" s="189"/>
    </row>
    <row r="3" spans="2:12">
      <c r="B3" s="79" t="s">
        <v>0</v>
      </c>
      <c r="C3" s="79" t="s">
        <v>11</v>
      </c>
      <c r="D3" s="79" t="s">
        <v>14</v>
      </c>
      <c r="E3" s="79" t="s">
        <v>15</v>
      </c>
      <c r="F3" s="79" t="s">
        <v>384</v>
      </c>
      <c r="G3" s="79" t="s">
        <v>385</v>
      </c>
      <c r="H3" s="79" t="s">
        <v>386</v>
      </c>
      <c r="I3" s="79" t="s">
        <v>19</v>
      </c>
      <c r="J3" s="79" t="s">
        <v>20</v>
      </c>
      <c r="K3" s="79" t="s">
        <v>387</v>
      </c>
      <c r="L3" s="79" t="s">
        <v>388</v>
      </c>
    </row>
    <row r="4" spans="2:12">
      <c r="B4" s="6">
        <v>46136</v>
      </c>
      <c r="C4" s="7" t="s">
        <v>27</v>
      </c>
      <c r="D4" s="7">
        <v>17591</v>
      </c>
      <c r="E4" s="7">
        <v>157</v>
      </c>
      <c r="F4" s="7">
        <v>59</v>
      </c>
      <c r="G4" s="7">
        <v>11</v>
      </c>
      <c r="H4" s="7">
        <v>11</v>
      </c>
      <c r="I4" s="80">
        <f>E4/D4</f>
        <v>8.9250184753567156E-3</v>
      </c>
      <c r="J4" s="80">
        <f>F4/E4</f>
        <v>0.37579617834394907</v>
      </c>
      <c r="K4" s="80">
        <f>H4/D4</f>
        <v>6.2531976578932404E-4</v>
      </c>
      <c r="L4" s="80">
        <f>G4/D4</f>
        <v>6.2531976578932404E-4</v>
      </c>
    </row>
    <row r="5" spans="2:12">
      <c r="B5" s="6">
        <v>46136</v>
      </c>
      <c r="C5" s="7" t="s">
        <v>28</v>
      </c>
      <c r="D5" s="7">
        <v>17509</v>
      </c>
      <c r="E5" s="7">
        <v>155</v>
      </c>
      <c r="F5" s="7">
        <v>55</v>
      </c>
      <c r="G5" s="7">
        <v>6</v>
      </c>
      <c r="H5" s="7">
        <v>13</v>
      </c>
      <c r="I5" s="80">
        <f t="shared" ref="I5:I6" si="0">E5/D5</f>
        <v>8.8525900965217893E-3</v>
      </c>
      <c r="J5" s="80">
        <f t="shared" ref="J5:J6" si="1">F5/E5</f>
        <v>0.35483870967741937</v>
      </c>
      <c r="K5" s="80">
        <f t="shared" ref="K5:K6" si="2">H5/D5</f>
        <v>7.4247529841795651E-4</v>
      </c>
      <c r="L5" s="80">
        <f t="shared" ref="L5:L6" si="3">G5/D5</f>
        <v>3.4268090696213375E-4</v>
      </c>
    </row>
    <row r="6" spans="2:12">
      <c r="B6" s="6">
        <v>46136</v>
      </c>
      <c r="C6" s="7" t="s">
        <v>309</v>
      </c>
      <c r="D6" s="7">
        <v>18592</v>
      </c>
      <c r="E6" s="7">
        <v>206</v>
      </c>
      <c r="F6" s="7">
        <v>81</v>
      </c>
      <c r="G6" s="7">
        <v>6</v>
      </c>
      <c r="H6" s="7">
        <v>9</v>
      </c>
      <c r="I6" s="80">
        <f t="shared" si="0"/>
        <v>1.1080034423407917E-2</v>
      </c>
      <c r="J6" s="80">
        <f t="shared" si="1"/>
        <v>0.39320388349514562</v>
      </c>
      <c r="K6" s="80">
        <f t="shared" si="2"/>
        <v>4.8407917383820999E-4</v>
      </c>
      <c r="L6" s="80">
        <f t="shared" si="3"/>
        <v>3.2271944922547335E-4</v>
      </c>
    </row>
    <row r="7" spans="2:12">
      <c r="B7" s="190" t="s">
        <v>390</v>
      </c>
      <c r="C7" s="190"/>
      <c r="D7" s="82">
        <f>SUM(D4:D6)</f>
        <v>53692</v>
      </c>
      <c r="E7" s="82">
        <f>SUM(E4:E6)</f>
        <v>518</v>
      </c>
      <c r="F7" s="82">
        <f>SUM(F4:F6)</f>
        <v>195</v>
      </c>
      <c r="G7" s="82">
        <f>SUM(G4:G6)</f>
        <v>23</v>
      </c>
      <c r="H7" s="82">
        <f>SUM(H4:H6)</f>
        <v>33</v>
      </c>
      <c r="I7" s="81">
        <f t="shared" ref="I7" si="4">E7/D7</f>
        <v>9.6476197571332793E-3</v>
      </c>
      <c r="J7" s="81">
        <f t="shared" ref="J7" si="5">F7/E7</f>
        <v>0.37644787644787647</v>
      </c>
      <c r="K7" s="81">
        <f t="shared" ref="K7" si="6">H7/D7</f>
        <v>6.1461670267451386E-4</v>
      </c>
      <c r="L7" s="81">
        <f t="shared" ref="L7" si="7">G7/D7</f>
        <v>4.2836921701557029E-4</v>
      </c>
    </row>
    <row r="25" spans="9:10">
      <c r="I25" s="7" t="s">
        <v>486</v>
      </c>
      <c r="J25" s="7" t="s">
        <v>487</v>
      </c>
    </row>
    <row r="26" spans="9:10">
      <c r="I26" s="7" t="s">
        <v>27</v>
      </c>
      <c r="J26" s="7" t="s">
        <v>27</v>
      </c>
    </row>
    <row r="27" spans="9:10">
      <c r="I27" s="7" t="s">
        <v>28</v>
      </c>
      <c r="J27" s="7" t="s">
        <v>28</v>
      </c>
    </row>
    <row r="28" spans="9:10">
      <c r="I28" s="7" t="s">
        <v>482</v>
      </c>
      <c r="J28" s="7" t="s">
        <v>482</v>
      </c>
    </row>
    <row r="29" spans="9:10">
      <c r="I29" s="7" t="s">
        <v>483</v>
      </c>
      <c r="J29" s="7" t="s">
        <v>483</v>
      </c>
    </row>
    <row r="30" spans="9:10">
      <c r="I30" s="7" t="s">
        <v>484</v>
      </c>
      <c r="J30" s="7" t="s">
        <v>484</v>
      </c>
    </row>
    <row r="31" spans="9:10">
      <c r="I31" s="7" t="s">
        <v>485</v>
      </c>
      <c r="J31" s="7" t="s">
        <v>485</v>
      </c>
    </row>
    <row r="32" spans="9:10">
      <c r="I32" s="7" t="s">
        <v>34</v>
      </c>
      <c r="J32" s="7" t="s">
        <v>34</v>
      </c>
    </row>
    <row r="33" spans="9:10">
      <c r="I33" s="7" t="s">
        <v>35</v>
      </c>
      <c r="J33" s="7" t="s">
        <v>35</v>
      </c>
    </row>
    <row r="39" spans="9:10">
      <c r="I39" s="82" t="s">
        <v>488</v>
      </c>
      <c r="J39" s="82" t="s">
        <v>490</v>
      </c>
    </row>
    <row r="40" spans="9:10">
      <c r="I40" s="7" t="s">
        <v>126</v>
      </c>
      <c r="J40" s="7" t="s">
        <v>27</v>
      </c>
    </row>
    <row r="41" spans="9:10">
      <c r="I41" s="7" t="s">
        <v>127</v>
      </c>
      <c r="J41" s="7" t="s">
        <v>28</v>
      </c>
    </row>
    <row r="42" spans="9:10">
      <c r="I42" s="7" t="s">
        <v>489</v>
      </c>
      <c r="J42" s="7" t="s">
        <v>484</v>
      </c>
    </row>
    <row r="43" spans="9:10">
      <c r="I43" s="7"/>
      <c r="J43" s="7" t="s">
        <v>34</v>
      </c>
    </row>
    <row r="44" spans="9:10">
      <c r="I44" s="7"/>
      <c r="J44" s="7" t="s">
        <v>35</v>
      </c>
    </row>
  </sheetData>
  <mergeCells count="2">
    <mergeCell ref="B2:L2"/>
    <mergeCell ref="B7:C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J416"/>
  <sheetViews>
    <sheetView zoomScaleNormal="100" workbookViewId="0">
      <pane ySplit="1" topLeftCell="A321" activePane="bottomLeft" state="frozen"/>
      <selection pane="bottomLeft" activeCell="D330" sqref="A1:XFD1048576"/>
    </sheetView>
  </sheetViews>
  <sheetFormatPr defaultRowHeight="14.4"/>
  <cols>
    <col min="1" max="1" width="10.33203125" bestFit="1" customWidth="1"/>
    <col min="3" max="3" width="10" bestFit="1" customWidth="1"/>
    <col min="4" max="4" width="11.33203125" bestFit="1" customWidth="1"/>
    <col min="5" max="5" width="53.88671875" bestFit="1" customWidth="1"/>
    <col min="6" max="6" width="13.88671875" customWidth="1"/>
    <col min="7" max="7" width="17.21875" bestFit="1" customWidth="1"/>
    <col min="8" max="8" width="33.77734375" customWidth="1"/>
    <col min="9" max="9" width="3.88671875" bestFit="1" customWidth="1"/>
    <col min="10" max="10" width="14.5546875" bestFit="1" customWidth="1"/>
    <col min="11" max="11" width="25.88671875" bestFit="1" customWidth="1"/>
    <col min="13" max="13" width="16.44140625" bestFit="1" customWidth="1"/>
    <col min="14" max="14" width="29.109375" bestFit="1" customWidth="1"/>
    <col min="15" max="15" width="6.6640625" bestFit="1" customWidth="1"/>
    <col min="31" max="31" width="21.5546875" bestFit="1" customWidth="1"/>
    <col min="32" max="32" width="26.77734375" bestFit="1" customWidth="1"/>
    <col min="35" max="35" width="14" bestFit="1" customWidth="1"/>
    <col min="36" max="36" width="27.5546875" bestFit="1" customWidth="1"/>
  </cols>
  <sheetData>
    <row r="1" spans="1:27" ht="17.399999999999999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37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3" t="s">
        <v>19</v>
      </c>
      <c r="V1" s="3" t="s">
        <v>20</v>
      </c>
      <c r="W1" s="2" t="s">
        <v>21</v>
      </c>
      <c r="X1" s="2" t="s">
        <v>22</v>
      </c>
      <c r="Y1" s="2" t="s">
        <v>23</v>
      </c>
      <c r="Z1" s="3" t="s">
        <v>24</v>
      </c>
      <c r="AA1" s="3" t="s">
        <v>25</v>
      </c>
    </row>
    <row r="2" spans="1:27">
      <c r="A2" s="6">
        <v>46123</v>
      </c>
      <c r="B2" s="7" t="s">
        <v>26</v>
      </c>
      <c r="C2" s="7"/>
      <c r="D2" s="7"/>
      <c r="E2" s="7"/>
      <c r="F2" s="7"/>
      <c r="G2" s="7"/>
      <c r="H2" s="7"/>
      <c r="I2" s="7"/>
      <c r="J2" s="7"/>
      <c r="K2" s="7"/>
      <c r="L2" s="7"/>
      <c r="M2" s="7" t="s">
        <v>27</v>
      </c>
      <c r="N2" s="7"/>
      <c r="O2" s="7"/>
      <c r="P2" s="7">
        <v>132</v>
      </c>
      <c r="Q2" s="7">
        <v>24</v>
      </c>
      <c r="R2" s="7">
        <v>0</v>
      </c>
      <c r="S2" s="7">
        <v>0</v>
      </c>
      <c r="T2" s="7">
        <v>0</v>
      </c>
      <c r="U2" s="7"/>
      <c r="V2" s="7"/>
      <c r="W2" s="7"/>
      <c r="X2" s="7"/>
      <c r="Y2" s="7"/>
      <c r="Z2" s="7"/>
      <c r="AA2" s="7"/>
    </row>
    <row r="3" spans="1:27">
      <c r="A3" s="6">
        <v>46123</v>
      </c>
      <c r="B3" s="7" t="s">
        <v>26</v>
      </c>
      <c r="C3" s="7"/>
      <c r="D3" s="7"/>
      <c r="E3" s="7"/>
      <c r="F3" s="7"/>
      <c r="G3" s="7"/>
      <c r="H3" s="7"/>
      <c r="I3" s="7"/>
      <c r="J3" s="7"/>
      <c r="K3" s="7"/>
      <c r="L3" s="7"/>
      <c r="M3" s="7" t="s">
        <v>28</v>
      </c>
      <c r="N3" s="7"/>
      <c r="O3" s="7"/>
      <c r="P3" s="7">
        <v>132</v>
      </c>
      <c r="Q3" s="7">
        <v>34</v>
      </c>
      <c r="R3" s="7">
        <v>2</v>
      </c>
      <c r="S3" s="7">
        <v>0</v>
      </c>
      <c r="T3" s="7">
        <v>0</v>
      </c>
      <c r="U3" s="7"/>
      <c r="V3" s="7"/>
      <c r="W3" s="7"/>
      <c r="X3" s="7"/>
      <c r="Y3" s="7"/>
      <c r="Z3" s="7"/>
      <c r="AA3" s="7"/>
    </row>
    <row r="4" spans="1:27">
      <c r="A4" s="6">
        <v>46123</v>
      </c>
      <c r="B4" s="7" t="s">
        <v>26</v>
      </c>
      <c r="C4" s="7"/>
      <c r="D4" s="7"/>
      <c r="E4" s="7"/>
      <c r="F4" s="7"/>
      <c r="G4" s="7"/>
      <c r="H4" s="7"/>
      <c r="I4" s="7"/>
      <c r="J4" s="7"/>
      <c r="K4" s="7"/>
      <c r="L4" s="7"/>
      <c r="M4" s="7" t="s">
        <v>29</v>
      </c>
      <c r="N4" s="7"/>
      <c r="O4" s="7"/>
      <c r="P4" s="7">
        <v>131</v>
      </c>
      <c r="Q4" s="7">
        <v>38</v>
      </c>
      <c r="R4" s="7">
        <v>0</v>
      </c>
      <c r="S4" s="7">
        <v>0</v>
      </c>
      <c r="T4" s="7">
        <v>0</v>
      </c>
      <c r="U4" s="7"/>
      <c r="V4" s="7"/>
      <c r="W4" s="7"/>
      <c r="X4" s="7"/>
      <c r="Y4" s="7"/>
      <c r="Z4" s="7"/>
      <c r="AA4" s="7"/>
    </row>
    <row r="5" spans="1:27">
      <c r="A5" s="6">
        <v>46123</v>
      </c>
      <c r="B5" s="7" t="s">
        <v>26</v>
      </c>
      <c r="C5" s="7"/>
      <c r="D5" s="7"/>
      <c r="E5" s="7"/>
      <c r="F5" s="7"/>
      <c r="G5" s="7"/>
      <c r="H5" s="7"/>
      <c r="I5" s="7"/>
      <c r="J5" s="7"/>
      <c r="K5" s="7"/>
      <c r="L5" s="7"/>
      <c r="M5" s="7" t="s">
        <v>30</v>
      </c>
      <c r="N5" s="7"/>
      <c r="O5" s="7"/>
      <c r="P5" s="7">
        <v>116</v>
      </c>
      <c r="Q5" s="7">
        <v>34</v>
      </c>
      <c r="R5" s="7">
        <v>1</v>
      </c>
      <c r="S5" s="7">
        <v>0</v>
      </c>
      <c r="T5" s="7">
        <v>0</v>
      </c>
      <c r="U5" s="7"/>
      <c r="V5" s="7"/>
      <c r="W5" s="7"/>
      <c r="X5" s="7"/>
      <c r="Y5" s="7"/>
      <c r="Z5" s="7"/>
      <c r="AA5" s="7"/>
    </row>
    <row r="6" spans="1:27">
      <c r="A6" s="6">
        <v>46123</v>
      </c>
      <c r="B6" s="7" t="s">
        <v>26</v>
      </c>
      <c r="C6" s="7"/>
      <c r="D6" s="7"/>
      <c r="E6" s="7"/>
      <c r="F6" s="7"/>
      <c r="G6" s="7"/>
      <c r="H6" s="7"/>
      <c r="I6" s="7"/>
      <c r="J6" s="7"/>
      <c r="K6" s="7"/>
      <c r="L6" s="7"/>
      <c r="M6" s="7" t="s">
        <v>31</v>
      </c>
      <c r="N6" s="7"/>
      <c r="O6" s="7"/>
      <c r="P6" s="7">
        <v>136</v>
      </c>
      <c r="Q6" s="7">
        <v>36</v>
      </c>
      <c r="R6" s="7">
        <v>0</v>
      </c>
      <c r="S6" s="7">
        <v>0</v>
      </c>
      <c r="T6" s="7">
        <v>1</v>
      </c>
      <c r="U6" s="7"/>
      <c r="V6" s="7"/>
      <c r="W6" s="7"/>
      <c r="X6" s="7"/>
      <c r="Y6" s="7"/>
      <c r="Z6" s="7"/>
      <c r="AA6" s="7"/>
    </row>
    <row r="7" spans="1:27">
      <c r="A7" s="6">
        <v>46123</v>
      </c>
      <c r="B7" s="7" t="s">
        <v>26</v>
      </c>
      <c r="C7" s="7"/>
      <c r="D7" s="7"/>
      <c r="E7" s="7"/>
      <c r="F7" s="7"/>
      <c r="G7" s="7"/>
      <c r="H7" s="7"/>
      <c r="I7" s="7"/>
      <c r="J7" s="7"/>
      <c r="K7" s="7"/>
      <c r="L7" s="7"/>
      <c r="M7" s="7" t="s">
        <v>32</v>
      </c>
      <c r="N7" s="7"/>
      <c r="O7" s="7"/>
      <c r="P7" s="7">
        <v>113</v>
      </c>
      <c r="Q7" s="7">
        <v>36</v>
      </c>
      <c r="R7" s="7">
        <v>1</v>
      </c>
      <c r="S7" s="7">
        <v>1</v>
      </c>
      <c r="T7" s="7">
        <v>0</v>
      </c>
      <c r="U7" s="7"/>
      <c r="V7" s="7"/>
      <c r="W7" s="7"/>
      <c r="X7" s="7"/>
      <c r="Y7" s="7"/>
      <c r="Z7" s="7"/>
      <c r="AA7" s="7"/>
    </row>
    <row r="8" spans="1:27" ht="7.8" customHeight="1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1"/>
      <c r="V8" s="11"/>
      <c r="W8" s="10"/>
      <c r="X8" s="10"/>
      <c r="Y8" s="10"/>
      <c r="Z8" s="11"/>
      <c r="AA8" s="12"/>
    </row>
    <row r="9" spans="1:27">
      <c r="A9" s="6">
        <v>46124</v>
      </c>
      <c r="B9" s="7" t="s">
        <v>33</v>
      </c>
      <c r="C9" s="7"/>
      <c r="D9" s="7"/>
      <c r="E9" s="7"/>
      <c r="F9" s="7"/>
      <c r="G9" s="7"/>
      <c r="H9" s="7"/>
      <c r="I9" s="7"/>
      <c r="J9" s="7"/>
      <c r="K9" s="7"/>
      <c r="L9" s="7"/>
      <c r="M9" s="7" t="s">
        <v>27</v>
      </c>
      <c r="N9" s="7"/>
      <c r="O9" s="7"/>
      <c r="P9" s="7">
        <v>152</v>
      </c>
      <c r="Q9" s="7">
        <v>52</v>
      </c>
      <c r="R9" s="7">
        <v>2</v>
      </c>
      <c r="S9" s="7">
        <v>0</v>
      </c>
      <c r="T9" s="7">
        <v>0</v>
      </c>
      <c r="U9" s="7"/>
      <c r="V9" s="7"/>
      <c r="W9" s="7"/>
      <c r="X9" s="7"/>
      <c r="Y9" s="7"/>
      <c r="Z9" s="7"/>
      <c r="AA9" s="7"/>
    </row>
    <row r="10" spans="1:27">
      <c r="A10" s="6">
        <v>46124</v>
      </c>
      <c r="B10" s="7" t="s">
        <v>33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 t="s">
        <v>28</v>
      </c>
      <c r="N10" s="7"/>
      <c r="O10" s="7"/>
      <c r="P10" s="7">
        <v>155</v>
      </c>
      <c r="Q10" s="7">
        <v>39</v>
      </c>
      <c r="R10" s="7">
        <v>2</v>
      </c>
      <c r="S10" s="7">
        <v>0</v>
      </c>
      <c r="T10" s="7">
        <v>0</v>
      </c>
      <c r="U10" s="7"/>
      <c r="V10" s="7"/>
      <c r="W10" s="7"/>
      <c r="X10" s="7"/>
      <c r="Y10" s="7"/>
      <c r="Z10" s="7"/>
      <c r="AA10" s="7"/>
    </row>
    <row r="11" spans="1:27">
      <c r="A11" s="6">
        <v>46124</v>
      </c>
      <c r="B11" s="7" t="s">
        <v>33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 t="s">
        <v>29</v>
      </c>
      <c r="N11" s="7"/>
      <c r="O11" s="7"/>
      <c r="P11" s="7">
        <v>149</v>
      </c>
      <c r="Q11" s="7">
        <v>28</v>
      </c>
      <c r="R11" s="7">
        <v>1</v>
      </c>
      <c r="S11" s="7">
        <v>0</v>
      </c>
      <c r="T11" s="7">
        <v>1</v>
      </c>
      <c r="U11" s="7"/>
      <c r="V11" s="7"/>
      <c r="W11" s="7"/>
      <c r="X11" s="7"/>
      <c r="Y11" s="7"/>
      <c r="Z11" s="7"/>
      <c r="AA11" s="7"/>
    </row>
    <row r="12" spans="1:27">
      <c r="A12" s="6">
        <v>46124</v>
      </c>
      <c r="B12" s="7" t="s">
        <v>33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 t="s">
        <v>30</v>
      </c>
      <c r="N12" s="7"/>
      <c r="O12" s="7"/>
      <c r="P12" s="7">
        <v>136</v>
      </c>
      <c r="Q12" s="7">
        <v>32</v>
      </c>
      <c r="R12" s="7">
        <v>0</v>
      </c>
      <c r="S12" s="7">
        <v>0</v>
      </c>
      <c r="T12" s="7">
        <v>0</v>
      </c>
      <c r="U12" s="7"/>
      <c r="V12" s="7"/>
      <c r="W12" s="7"/>
      <c r="X12" s="7"/>
      <c r="Y12" s="7"/>
      <c r="Z12" s="7"/>
      <c r="AA12" s="7"/>
    </row>
    <row r="13" spans="1:27">
      <c r="A13" s="6">
        <v>46124</v>
      </c>
      <c r="B13" s="7" t="s">
        <v>33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 t="s">
        <v>31</v>
      </c>
      <c r="N13" s="7"/>
      <c r="O13" s="7"/>
      <c r="P13" s="7">
        <v>153</v>
      </c>
      <c r="Q13" s="7">
        <v>26</v>
      </c>
      <c r="R13" s="7">
        <v>0</v>
      </c>
      <c r="S13" s="7">
        <v>0</v>
      </c>
      <c r="T13" s="7">
        <v>0</v>
      </c>
      <c r="U13" s="7"/>
      <c r="V13" s="7"/>
      <c r="W13" s="7"/>
      <c r="X13" s="7"/>
      <c r="Y13" s="7"/>
      <c r="Z13" s="7"/>
      <c r="AA13" s="7"/>
    </row>
    <row r="14" spans="1:27">
      <c r="A14" s="6">
        <v>46124</v>
      </c>
      <c r="B14" s="7" t="s">
        <v>33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 t="s">
        <v>32</v>
      </c>
      <c r="N14" s="7"/>
      <c r="O14" s="7"/>
      <c r="P14" s="7">
        <v>133</v>
      </c>
      <c r="Q14" s="7">
        <v>25</v>
      </c>
      <c r="R14" s="7">
        <v>0</v>
      </c>
      <c r="S14" s="7">
        <v>0</v>
      </c>
      <c r="T14" s="7">
        <v>0</v>
      </c>
      <c r="U14" s="7"/>
      <c r="V14" s="7"/>
      <c r="W14" s="7"/>
      <c r="X14" s="7"/>
      <c r="Y14" s="7"/>
      <c r="Z14" s="7"/>
      <c r="AA14" s="7"/>
    </row>
    <row r="15" spans="1:27" ht="7.8" customHeight="1">
      <c r="A15" s="8"/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1"/>
      <c r="V15" s="11"/>
      <c r="W15" s="10"/>
      <c r="X15" s="10"/>
      <c r="Y15" s="10"/>
      <c r="Z15" s="11"/>
      <c r="AA15" s="12"/>
    </row>
    <row r="16" spans="1:27">
      <c r="A16" s="6">
        <v>46125</v>
      </c>
      <c r="B16" s="7" t="s">
        <v>36</v>
      </c>
      <c r="C16" s="13">
        <v>0.375</v>
      </c>
      <c r="D16" s="7">
        <v>3320256744</v>
      </c>
      <c r="E16" s="7" t="s">
        <v>44</v>
      </c>
      <c r="F16" s="7">
        <v>20849596</v>
      </c>
      <c r="G16" s="7" t="s">
        <v>45</v>
      </c>
      <c r="H16" s="7" t="s">
        <v>50</v>
      </c>
      <c r="I16" s="7"/>
      <c r="J16" s="7"/>
      <c r="K16" s="14" t="s">
        <v>51</v>
      </c>
      <c r="L16" s="7"/>
      <c r="M16" s="7" t="s">
        <v>27</v>
      </c>
      <c r="N16" s="15" t="s">
        <v>38</v>
      </c>
      <c r="O16" s="7"/>
      <c r="P16" s="7">
        <v>185</v>
      </c>
      <c r="Q16" s="7">
        <v>54</v>
      </c>
      <c r="R16" s="7">
        <v>0</v>
      </c>
      <c r="S16" s="7">
        <v>0</v>
      </c>
      <c r="T16" s="7">
        <v>0</v>
      </c>
      <c r="U16" s="20">
        <f>Q16/P16</f>
        <v>0.29189189189189191</v>
      </c>
      <c r="V16" s="20">
        <f>R16/Q16</f>
        <v>0</v>
      </c>
      <c r="W16" s="7"/>
      <c r="X16" s="7"/>
      <c r="Y16" s="7"/>
      <c r="Z16" s="7"/>
      <c r="AA16" s="7"/>
    </row>
    <row r="17" spans="1:36">
      <c r="A17" s="6">
        <v>46125</v>
      </c>
      <c r="B17" s="7" t="s">
        <v>36</v>
      </c>
      <c r="C17" s="13">
        <v>0.38541666666666669</v>
      </c>
      <c r="D17" s="7">
        <v>3320261169</v>
      </c>
      <c r="E17" s="7" t="s">
        <v>52</v>
      </c>
      <c r="F17" s="7">
        <v>20849733</v>
      </c>
      <c r="G17" s="7" t="s">
        <v>46</v>
      </c>
      <c r="H17" t="s">
        <v>53</v>
      </c>
      <c r="I17" s="7"/>
      <c r="J17" s="7"/>
      <c r="K17" s="14" t="s">
        <v>51</v>
      </c>
      <c r="L17" s="7"/>
      <c r="M17" s="7" t="s">
        <v>28</v>
      </c>
      <c r="N17" s="15" t="s">
        <v>39</v>
      </c>
      <c r="O17" s="7"/>
      <c r="P17" s="7">
        <v>163</v>
      </c>
      <c r="Q17" s="7">
        <v>38</v>
      </c>
      <c r="R17" s="7">
        <v>0</v>
      </c>
      <c r="S17" s="7">
        <v>2</v>
      </c>
      <c r="T17" s="7" t="s">
        <v>76</v>
      </c>
      <c r="U17" s="20">
        <f t="shared" ref="U17:U21" si="0">Q17/P17</f>
        <v>0.23312883435582821</v>
      </c>
      <c r="V17" s="20">
        <f t="shared" ref="V17:V21" si="1">R17/Q17</f>
        <v>0</v>
      </c>
      <c r="W17" s="7"/>
      <c r="X17" s="7"/>
      <c r="Y17" s="7"/>
      <c r="Z17" s="7"/>
      <c r="AA17" s="7"/>
    </row>
    <row r="18" spans="1:36">
      <c r="A18" s="6">
        <v>46125</v>
      </c>
      <c r="B18" s="7" t="s">
        <v>36</v>
      </c>
      <c r="C18" s="13">
        <v>0.39583333333333331</v>
      </c>
      <c r="D18" s="7">
        <v>3320265168</v>
      </c>
      <c r="E18" s="7" t="s">
        <v>54</v>
      </c>
      <c r="F18" s="7">
        <v>20849812</v>
      </c>
      <c r="G18" s="7" t="s">
        <v>47</v>
      </c>
      <c r="H18" s="7" t="s">
        <v>55</v>
      </c>
      <c r="I18" s="7"/>
      <c r="J18" s="7"/>
      <c r="K18" s="14" t="s">
        <v>51</v>
      </c>
      <c r="L18" s="7"/>
      <c r="M18" s="7" t="s">
        <v>29</v>
      </c>
      <c r="N18" s="15" t="s">
        <v>40</v>
      </c>
      <c r="O18" s="7"/>
      <c r="P18" s="7">
        <v>183</v>
      </c>
      <c r="Q18" s="7">
        <v>25</v>
      </c>
      <c r="R18" s="7">
        <v>4</v>
      </c>
      <c r="S18" s="7">
        <v>0</v>
      </c>
      <c r="T18" s="7" t="s">
        <v>77</v>
      </c>
      <c r="U18" s="20">
        <f t="shared" si="0"/>
        <v>0.13661202185792351</v>
      </c>
      <c r="V18" s="20">
        <f t="shared" si="1"/>
        <v>0.16</v>
      </c>
      <c r="W18" s="7"/>
      <c r="X18" s="7"/>
      <c r="Y18" s="7"/>
      <c r="Z18" s="7"/>
      <c r="AA18" s="7"/>
    </row>
    <row r="19" spans="1:36">
      <c r="A19" s="6">
        <v>46125</v>
      </c>
      <c r="B19" s="7" t="s">
        <v>36</v>
      </c>
      <c r="C19" s="13">
        <v>0.40625</v>
      </c>
      <c r="D19" s="7">
        <v>3320268715</v>
      </c>
      <c r="E19" s="7" t="s">
        <v>56</v>
      </c>
      <c r="F19" s="7">
        <v>20849938</v>
      </c>
      <c r="G19" s="7" t="s">
        <v>57</v>
      </c>
      <c r="H19" t="s">
        <v>58</v>
      </c>
      <c r="I19" s="7"/>
      <c r="J19" s="7"/>
      <c r="K19" s="14" t="s">
        <v>63</v>
      </c>
      <c r="L19" s="7"/>
      <c r="M19" s="7" t="s">
        <v>30</v>
      </c>
      <c r="N19" s="16" t="s">
        <v>41</v>
      </c>
      <c r="O19" s="7"/>
      <c r="P19" s="7">
        <v>155</v>
      </c>
      <c r="Q19" s="7">
        <v>28</v>
      </c>
      <c r="R19" s="7">
        <v>1</v>
      </c>
      <c r="S19" s="7">
        <v>0</v>
      </c>
      <c r="T19" s="7">
        <v>0</v>
      </c>
      <c r="U19" s="20">
        <f t="shared" si="0"/>
        <v>0.18064516129032257</v>
      </c>
      <c r="V19" s="20">
        <f t="shared" si="1"/>
        <v>3.5714285714285712E-2</v>
      </c>
      <c r="W19" s="7"/>
      <c r="X19" s="7"/>
      <c r="Y19" s="7"/>
      <c r="Z19" s="7"/>
      <c r="AA19" s="7"/>
    </row>
    <row r="20" spans="1:36">
      <c r="A20" s="6">
        <v>46125</v>
      </c>
      <c r="B20" s="7" t="s">
        <v>36</v>
      </c>
      <c r="C20" s="13">
        <v>0.4201388888888889</v>
      </c>
      <c r="D20" s="7">
        <v>3320269735</v>
      </c>
      <c r="E20" s="7" t="s">
        <v>59</v>
      </c>
      <c r="F20" s="7">
        <v>20849992</v>
      </c>
      <c r="G20" s="7" t="s">
        <v>48</v>
      </c>
      <c r="H20" s="7" t="s">
        <v>60</v>
      </c>
      <c r="I20" s="7"/>
      <c r="J20" s="7"/>
      <c r="K20" s="14" t="s">
        <v>51</v>
      </c>
      <c r="L20" s="7"/>
      <c r="M20" s="7" t="s">
        <v>31</v>
      </c>
      <c r="N20" s="15" t="s">
        <v>42</v>
      </c>
      <c r="O20" s="7"/>
      <c r="P20" s="7">
        <v>186</v>
      </c>
      <c r="Q20" s="7">
        <v>74</v>
      </c>
      <c r="R20" s="7">
        <v>0</v>
      </c>
      <c r="S20" s="7">
        <v>0</v>
      </c>
      <c r="T20" s="7">
        <v>0</v>
      </c>
      <c r="U20" s="20">
        <f t="shared" si="0"/>
        <v>0.39784946236559138</v>
      </c>
      <c r="V20" s="20">
        <f t="shared" si="1"/>
        <v>0</v>
      </c>
      <c r="W20" s="7"/>
      <c r="X20" s="7"/>
      <c r="Y20" s="7"/>
      <c r="Z20" s="7"/>
      <c r="AA20" s="7"/>
    </row>
    <row r="21" spans="1:36">
      <c r="A21" s="6">
        <v>46125</v>
      </c>
      <c r="B21" s="7" t="s">
        <v>36</v>
      </c>
      <c r="C21" s="13">
        <v>0.43402777777777779</v>
      </c>
      <c r="D21" s="7">
        <v>3320272987</v>
      </c>
      <c r="E21" s="7" t="s">
        <v>61</v>
      </c>
      <c r="F21" s="7">
        <v>20850059</v>
      </c>
      <c r="G21" s="7" t="s">
        <v>49</v>
      </c>
      <c r="H21" t="s">
        <v>62</v>
      </c>
      <c r="I21" s="7"/>
      <c r="J21" s="7"/>
      <c r="K21" s="14" t="s">
        <v>63</v>
      </c>
      <c r="L21" s="7"/>
      <c r="M21" s="7" t="s">
        <v>32</v>
      </c>
      <c r="N21" s="15" t="s">
        <v>43</v>
      </c>
      <c r="O21" s="7"/>
      <c r="P21" s="7">
        <v>161</v>
      </c>
      <c r="Q21" s="7">
        <v>66</v>
      </c>
      <c r="R21" s="7">
        <v>0</v>
      </c>
      <c r="S21" s="7">
        <v>0</v>
      </c>
      <c r="T21" s="7">
        <v>0</v>
      </c>
      <c r="U21" s="20">
        <f t="shared" si="0"/>
        <v>0.40993788819875776</v>
      </c>
      <c r="V21" s="20">
        <f t="shared" si="1"/>
        <v>0</v>
      </c>
      <c r="W21" s="7"/>
      <c r="X21" s="7"/>
      <c r="Y21" s="7"/>
      <c r="Z21" s="7"/>
      <c r="AA21" s="7"/>
    </row>
    <row r="22" spans="1:36" ht="7.8" customHeight="1">
      <c r="A22" s="8"/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1"/>
      <c r="V22" s="11"/>
      <c r="W22" s="10"/>
      <c r="X22" s="10"/>
      <c r="Y22" s="10"/>
      <c r="Z22" s="11"/>
      <c r="AA22" s="12"/>
    </row>
    <row r="23" spans="1:36">
      <c r="A23" s="6">
        <v>46126</v>
      </c>
      <c r="B23" s="7" t="s">
        <v>78</v>
      </c>
      <c r="C23" s="13" t="s">
        <v>89</v>
      </c>
      <c r="D23" s="18">
        <v>1655163</v>
      </c>
      <c r="E23" s="18" t="s">
        <v>79</v>
      </c>
      <c r="F23" s="18">
        <v>20858469</v>
      </c>
      <c r="G23" s="18" t="s">
        <v>80</v>
      </c>
      <c r="H23" s="18" t="s">
        <v>81</v>
      </c>
      <c r="I23" s="18" t="s">
        <v>85</v>
      </c>
      <c r="J23" s="18" t="s">
        <v>84</v>
      </c>
      <c r="K23" s="14"/>
      <c r="L23" s="18"/>
      <c r="M23" s="18" t="s">
        <v>83</v>
      </c>
      <c r="N23" s="19" t="s">
        <v>88</v>
      </c>
      <c r="O23" s="18" t="s">
        <v>87</v>
      </c>
      <c r="P23" s="7">
        <v>729</v>
      </c>
      <c r="Q23" s="7">
        <v>115</v>
      </c>
      <c r="R23" s="7">
        <v>2</v>
      </c>
      <c r="S23" s="7">
        <v>0</v>
      </c>
      <c r="T23" s="7">
        <v>0</v>
      </c>
      <c r="U23" s="20">
        <f>Q23/P23</f>
        <v>0.15775034293552812</v>
      </c>
      <c r="V23" s="20">
        <f>R23/Q23</f>
        <v>1.7391304347826087E-2</v>
      </c>
      <c r="W23" s="7"/>
      <c r="X23" s="7"/>
      <c r="Y23" s="7"/>
      <c r="Z23" s="7"/>
      <c r="AA23" s="7"/>
      <c r="AE23" s="17" t="s">
        <v>125</v>
      </c>
    </row>
    <row r="24" spans="1:36">
      <c r="A24" s="6">
        <v>46126</v>
      </c>
      <c r="B24" s="7" t="s">
        <v>78</v>
      </c>
      <c r="C24" s="13" t="s">
        <v>89</v>
      </c>
      <c r="D24" s="18">
        <v>1655164</v>
      </c>
      <c r="E24" s="18" t="s">
        <v>91</v>
      </c>
      <c r="F24" s="18">
        <v>20859118</v>
      </c>
      <c r="G24" s="18" t="s">
        <v>90</v>
      </c>
      <c r="H24" s="18" t="s">
        <v>92</v>
      </c>
      <c r="I24" s="18" t="s">
        <v>85</v>
      </c>
      <c r="J24" s="18" t="s">
        <v>84</v>
      </c>
      <c r="K24" s="14"/>
      <c r="L24" s="18"/>
      <c r="M24" s="18" t="s">
        <v>83</v>
      </c>
      <c r="N24" s="19" t="s">
        <v>93</v>
      </c>
      <c r="O24" s="18" t="s">
        <v>87</v>
      </c>
      <c r="P24" s="7">
        <v>2</v>
      </c>
      <c r="Q24" s="7">
        <v>2</v>
      </c>
      <c r="R24" s="7">
        <v>0</v>
      </c>
      <c r="S24" s="7">
        <v>0</v>
      </c>
      <c r="T24" s="7">
        <v>0</v>
      </c>
      <c r="U24" s="20">
        <f t="shared" ref="U24:U30" si="2">Q24/P24</f>
        <v>1</v>
      </c>
      <c r="V24" s="20">
        <f t="shared" ref="V24:V30" si="3">R24/Q24</f>
        <v>0</v>
      </c>
      <c r="W24" s="7"/>
      <c r="X24" s="7"/>
      <c r="Y24" s="7"/>
      <c r="Z24" s="7"/>
      <c r="AA24" s="7"/>
      <c r="AE24" t="s">
        <v>82</v>
      </c>
      <c r="AF24">
        <v>115</v>
      </c>
      <c r="AG24">
        <v>11</v>
      </c>
      <c r="AH24">
        <v>0</v>
      </c>
      <c r="AI24" s="28">
        <f>AG24/AF24</f>
        <v>9.5652173913043481E-2</v>
      </c>
      <c r="AJ24" s="27">
        <f>AH24/AG24</f>
        <v>0</v>
      </c>
    </row>
    <row r="25" spans="1:36">
      <c r="A25" s="6">
        <v>46126</v>
      </c>
      <c r="B25" s="7" t="s">
        <v>78</v>
      </c>
      <c r="C25" s="13">
        <v>0.33333333333333331</v>
      </c>
      <c r="D25" s="7">
        <v>3321469527</v>
      </c>
      <c r="E25" s="7" t="s">
        <v>99</v>
      </c>
      <c r="F25" s="7">
        <v>20859700</v>
      </c>
      <c r="G25" s="7" t="s">
        <v>49</v>
      </c>
      <c r="H25" t="s">
        <v>62</v>
      </c>
      <c r="I25" s="7" t="s">
        <v>85</v>
      </c>
      <c r="J25" s="7" t="s">
        <v>84</v>
      </c>
      <c r="K25" s="14"/>
      <c r="L25" s="7"/>
      <c r="M25" s="7" t="s">
        <v>27</v>
      </c>
      <c r="N25" s="15" t="s">
        <v>38</v>
      </c>
      <c r="O25" s="7" t="s">
        <v>87</v>
      </c>
      <c r="P25" s="7">
        <v>259</v>
      </c>
      <c r="Q25" s="7">
        <v>74</v>
      </c>
      <c r="R25" s="7">
        <v>2</v>
      </c>
      <c r="S25" s="7">
        <v>0</v>
      </c>
      <c r="T25" s="7">
        <v>0</v>
      </c>
      <c r="U25" s="20">
        <f t="shared" si="2"/>
        <v>0.2857142857142857</v>
      </c>
      <c r="V25" s="20">
        <f t="shared" si="3"/>
        <v>2.7027027027027029E-2</v>
      </c>
      <c r="W25" s="7"/>
      <c r="X25" s="7"/>
      <c r="Y25" s="7"/>
      <c r="Z25" s="7"/>
      <c r="AA25" s="7"/>
      <c r="AE25" t="s">
        <v>28</v>
      </c>
      <c r="AF25">
        <v>117</v>
      </c>
      <c r="AG25">
        <v>20</v>
      </c>
      <c r="AH25">
        <v>0</v>
      </c>
      <c r="AI25" s="27">
        <f t="shared" ref="AI25:AI29" si="4">AG25/AF25</f>
        <v>0.17094017094017094</v>
      </c>
      <c r="AJ25" s="27">
        <f t="shared" ref="AJ25:AJ29" si="5">AH25/AG25</f>
        <v>0</v>
      </c>
    </row>
    <row r="26" spans="1:36">
      <c r="A26" s="6">
        <v>46126</v>
      </c>
      <c r="B26" s="7" t="s">
        <v>78</v>
      </c>
      <c r="C26" s="13">
        <v>0.38541666666666669</v>
      </c>
      <c r="D26" s="7">
        <v>3321471383</v>
      </c>
      <c r="E26" s="7" t="s">
        <v>97</v>
      </c>
      <c r="F26" s="7">
        <v>20859742</v>
      </c>
      <c r="G26" s="7" t="s">
        <v>48</v>
      </c>
      <c r="H26" s="7" t="s">
        <v>60</v>
      </c>
      <c r="I26" s="7" t="s">
        <v>85</v>
      </c>
      <c r="J26" s="7" t="s">
        <v>84</v>
      </c>
      <c r="K26" s="14"/>
      <c r="L26" s="7"/>
      <c r="M26" s="7" t="s">
        <v>28</v>
      </c>
      <c r="N26" s="15" t="s">
        <v>39</v>
      </c>
      <c r="O26" s="7" t="s">
        <v>87</v>
      </c>
      <c r="P26" s="7">
        <v>350</v>
      </c>
      <c r="Q26" s="7">
        <v>81</v>
      </c>
      <c r="R26" s="7">
        <v>2</v>
      </c>
      <c r="S26" s="7">
        <v>0</v>
      </c>
      <c r="T26" s="7">
        <v>0</v>
      </c>
      <c r="U26" s="20">
        <f t="shared" si="2"/>
        <v>0.23142857142857143</v>
      </c>
      <c r="V26" s="20">
        <f t="shared" si="3"/>
        <v>2.4691358024691357E-2</v>
      </c>
      <c r="W26" s="7"/>
      <c r="X26" s="7"/>
      <c r="Y26" s="7"/>
      <c r="Z26" s="7"/>
      <c r="AA26" s="7"/>
      <c r="AE26" t="s">
        <v>126</v>
      </c>
      <c r="AF26">
        <v>118</v>
      </c>
      <c r="AG26">
        <v>25</v>
      </c>
      <c r="AH26">
        <v>1</v>
      </c>
      <c r="AI26" s="27">
        <f t="shared" si="4"/>
        <v>0.21186440677966101</v>
      </c>
      <c r="AJ26" s="27">
        <f t="shared" si="5"/>
        <v>0.04</v>
      </c>
    </row>
    <row r="27" spans="1:36">
      <c r="A27" s="6">
        <v>46126</v>
      </c>
      <c r="B27" s="7" t="s">
        <v>78</v>
      </c>
      <c r="C27" s="13">
        <v>0.39583333333333331</v>
      </c>
      <c r="D27" s="7">
        <v>3321475715</v>
      </c>
      <c r="E27" s="7" t="s">
        <v>98</v>
      </c>
      <c r="F27" s="7">
        <v>20859813</v>
      </c>
      <c r="G27" s="7" t="s">
        <v>45</v>
      </c>
      <c r="H27" s="7" t="s">
        <v>50</v>
      </c>
      <c r="I27" s="7" t="s">
        <v>85</v>
      </c>
      <c r="J27" s="7" t="s">
        <v>84</v>
      </c>
      <c r="K27" s="14"/>
      <c r="L27" s="7"/>
      <c r="M27" s="7" t="s">
        <v>29</v>
      </c>
      <c r="N27" s="15" t="s">
        <v>40</v>
      </c>
      <c r="O27" s="7" t="s">
        <v>87</v>
      </c>
      <c r="P27" s="7">
        <v>275</v>
      </c>
      <c r="Q27" s="7">
        <v>16</v>
      </c>
      <c r="R27" s="7">
        <v>1</v>
      </c>
      <c r="S27" s="7">
        <v>0</v>
      </c>
      <c r="T27" s="7">
        <v>0</v>
      </c>
      <c r="U27" s="20">
        <f t="shared" si="2"/>
        <v>5.8181818181818182E-2</v>
      </c>
      <c r="V27" s="20">
        <f t="shared" si="3"/>
        <v>6.25E-2</v>
      </c>
      <c r="W27" s="7"/>
      <c r="X27" s="7"/>
      <c r="Y27" s="7"/>
      <c r="Z27" s="7"/>
      <c r="AA27" s="7"/>
      <c r="AE27" t="s">
        <v>30</v>
      </c>
      <c r="AF27">
        <v>124</v>
      </c>
      <c r="AG27">
        <v>11</v>
      </c>
      <c r="AH27">
        <v>1</v>
      </c>
      <c r="AI27" s="28">
        <f t="shared" si="4"/>
        <v>8.8709677419354843E-2</v>
      </c>
      <c r="AJ27" s="27">
        <f t="shared" si="5"/>
        <v>9.0909090909090912E-2</v>
      </c>
    </row>
    <row r="28" spans="1:36">
      <c r="A28" s="6">
        <v>46126</v>
      </c>
      <c r="B28" s="7" t="s">
        <v>78</v>
      </c>
      <c r="C28" s="13">
        <v>0.40625</v>
      </c>
      <c r="D28" s="7">
        <v>3321482540</v>
      </c>
      <c r="E28" s="7" t="s">
        <v>100</v>
      </c>
      <c r="F28" s="7">
        <v>20859907</v>
      </c>
      <c r="G28" s="7" t="s">
        <v>46</v>
      </c>
      <c r="H28" s="7" t="s">
        <v>101</v>
      </c>
      <c r="I28" s="7" t="s">
        <v>85</v>
      </c>
      <c r="J28" s="7" t="s">
        <v>84</v>
      </c>
      <c r="K28" s="14"/>
      <c r="L28" s="7"/>
      <c r="M28" s="7" t="s">
        <v>30</v>
      </c>
      <c r="N28" s="15" t="s">
        <v>94</v>
      </c>
      <c r="O28" s="7" t="s">
        <v>87</v>
      </c>
      <c r="P28" s="7">
        <v>240</v>
      </c>
      <c r="Q28" s="7">
        <v>118</v>
      </c>
      <c r="R28" s="7">
        <v>0</v>
      </c>
      <c r="S28" s="7">
        <v>0</v>
      </c>
      <c r="T28" s="7">
        <v>0</v>
      </c>
      <c r="U28" s="20">
        <f t="shared" si="2"/>
        <v>0.49166666666666664</v>
      </c>
      <c r="V28" s="20">
        <f t="shared" si="3"/>
        <v>0</v>
      </c>
      <c r="W28" s="7"/>
      <c r="X28" s="7"/>
      <c r="Y28" s="7"/>
      <c r="Z28" s="7"/>
      <c r="AA28" s="7"/>
      <c r="AE28" t="s">
        <v>127</v>
      </c>
      <c r="AF28">
        <v>114</v>
      </c>
      <c r="AG28">
        <v>31</v>
      </c>
      <c r="AH28">
        <v>0</v>
      </c>
      <c r="AI28" s="27">
        <f t="shared" si="4"/>
        <v>0.27192982456140352</v>
      </c>
      <c r="AJ28" s="27">
        <f t="shared" si="5"/>
        <v>0</v>
      </c>
    </row>
    <row r="29" spans="1:36">
      <c r="A29" s="6">
        <v>46126</v>
      </c>
      <c r="B29" s="7" t="s">
        <v>78</v>
      </c>
      <c r="C29" s="13">
        <v>0.4201388888888889</v>
      </c>
      <c r="D29" s="7">
        <v>3321484803</v>
      </c>
      <c r="E29" s="7" t="s">
        <v>102</v>
      </c>
      <c r="F29" s="7">
        <v>20859987</v>
      </c>
      <c r="G29" s="7" t="s">
        <v>103</v>
      </c>
      <c r="H29" s="7" t="s">
        <v>104</v>
      </c>
      <c r="I29" s="7" t="s">
        <v>85</v>
      </c>
      <c r="J29" s="7" t="s">
        <v>84</v>
      </c>
      <c r="K29" s="14"/>
      <c r="L29" s="7"/>
      <c r="M29" s="7" t="s">
        <v>31</v>
      </c>
      <c r="N29" s="15" t="s">
        <v>95</v>
      </c>
      <c r="O29" s="7" t="s">
        <v>87</v>
      </c>
      <c r="P29" s="7">
        <v>300</v>
      </c>
      <c r="Q29" s="7">
        <v>28</v>
      </c>
      <c r="R29" s="7">
        <v>3</v>
      </c>
      <c r="S29" s="7">
        <v>0</v>
      </c>
      <c r="T29" s="7">
        <v>0</v>
      </c>
      <c r="U29" s="20">
        <f t="shared" si="2"/>
        <v>9.3333333333333338E-2</v>
      </c>
      <c r="V29" s="20">
        <f t="shared" si="3"/>
        <v>0.10714285714285714</v>
      </c>
      <c r="W29" s="7"/>
      <c r="X29" s="7"/>
      <c r="Y29" s="7"/>
      <c r="Z29" s="7"/>
      <c r="AA29" s="7"/>
      <c r="AE29" t="s">
        <v>128</v>
      </c>
      <c r="AF29">
        <v>119</v>
      </c>
      <c r="AG29">
        <v>14</v>
      </c>
      <c r="AH29">
        <v>0</v>
      </c>
      <c r="AI29" s="28">
        <f t="shared" si="4"/>
        <v>0.11764705882352941</v>
      </c>
      <c r="AJ29" s="27">
        <f t="shared" si="5"/>
        <v>0</v>
      </c>
    </row>
    <row r="30" spans="1:36">
      <c r="A30" s="6">
        <v>46126</v>
      </c>
      <c r="B30" s="7" t="s">
        <v>78</v>
      </c>
      <c r="C30" s="13">
        <v>0.43402777777777779</v>
      </c>
      <c r="D30" s="7">
        <v>3321494827</v>
      </c>
      <c r="E30" s="7" t="s">
        <v>105</v>
      </c>
      <c r="F30" s="7">
        <v>20860227</v>
      </c>
      <c r="G30" s="7" t="s">
        <v>47</v>
      </c>
      <c r="H30" s="7" t="s">
        <v>55</v>
      </c>
      <c r="I30" s="7" t="s">
        <v>85</v>
      </c>
      <c r="J30" s="7" t="s">
        <v>84</v>
      </c>
      <c r="K30" s="14"/>
      <c r="L30" s="7"/>
      <c r="M30" s="7" t="s">
        <v>32</v>
      </c>
      <c r="N30" s="15" t="s">
        <v>96</v>
      </c>
      <c r="O30" s="7" t="s">
        <v>87</v>
      </c>
      <c r="P30" s="7">
        <v>250</v>
      </c>
      <c r="Q30" s="7">
        <v>89</v>
      </c>
      <c r="R30" s="7">
        <v>2</v>
      </c>
      <c r="S30" s="7">
        <v>0</v>
      </c>
      <c r="T30" s="7">
        <v>0</v>
      </c>
      <c r="U30" s="20">
        <f t="shared" si="2"/>
        <v>0.35599999999999998</v>
      </c>
      <c r="V30" s="20">
        <f t="shared" si="3"/>
        <v>2.247191011235955E-2</v>
      </c>
      <c r="W30" s="7"/>
      <c r="X30" s="7"/>
      <c r="Y30" s="7"/>
      <c r="Z30" s="7"/>
      <c r="AA30" s="7"/>
    </row>
    <row r="31" spans="1:36" ht="7.8" customHeight="1">
      <c r="A31" s="8"/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1"/>
      <c r="V31" s="11"/>
      <c r="W31" s="10"/>
      <c r="X31" s="10"/>
      <c r="Y31" s="10"/>
      <c r="Z31" s="11"/>
      <c r="AA31" s="12"/>
    </row>
    <row r="32" spans="1:36">
      <c r="A32" s="6">
        <v>46127</v>
      </c>
      <c r="B32" s="7" t="s">
        <v>124</v>
      </c>
      <c r="C32" s="33" t="s">
        <v>89</v>
      </c>
      <c r="D32" s="18">
        <v>1655163</v>
      </c>
      <c r="E32" s="18" t="s">
        <v>79</v>
      </c>
      <c r="F32" s="18">
        <v>20858469</v>
      </c>
      <c r="G32" s="18" t="s">
        <v>80</v>
      </c>
      <c r="H32" s="18" t="s">
        <v>81</v>
      </c>
      <c r="I32" s="18" t="s">
        <v>85</v>
      </c>
      <c r="J32" s="18" t="s">
        <v>84</v>
      </c>
      <c r="K32" s="14"/>
      <c r="L32" s="18"/>
      <c r="M32" s="18" t="s">
        <v>83</v>
      </c>
      <c r="N32" s="19" t="s">
        <v>88</v>
      </c>
      <c r="O32" s="18" t="s">
        <v>87</v>
      </c>
      <c r="P32" s="7">
        <v>1276</v>
      </c>
      <c r="Q32" s="7">
        <v>191</v>
      </c>
      <c r="R32" s="7">
        <v>4</v>
      </c>
      <c r="S32" s="7">
        <v>0</v>
      </c>
      <c r="T32" s="7">
        <v>0</v>
      </c>
      <c r="U32" s="20">
        <f>Q32/P32</f>
        <v>0.14968652037617555</v>
      </c>
      <c r="V32" s="20">
        <f>R32/Q32</f>
        <v>2.0942408376963352E-2</v>
      </c>
      <c r="W32" s="7"/>
      <c r="X32" s="7"/>
      <c r="Y32" s="7"/>
      <c r="Z32" s="7"/>
      <c r="AA32" s="7"/>
      <c r="AE32" s="17" t="s">
        <v>125</v>
      </c>
    </row>
    <row r="33" spans="1:36">
      <c r="A33" s="6">
        <v>46127</v>
      </c>
      <c r="B33" s="7" t="s">
        <v>124</v>
      </c>
      <c r="C33" s="33" t="s">
        <v>89</v>
      </c>
      <c r="D33" s="18">
        <v>1655164</v>
      </c>
      <c r="E33" s="18" t="s">
        <v>91</v>
      </c>
      <c r="F33" s="18">
        <v>20859118</v>
      </c>
      <c r="G33" s="18" t="s">
        <v>90</v>
      </c>
      <c r="H33" s="18" t="s">
        <v>92</v>
      </c>
      <c r="I33" s="18" t="s">
        <v>85</v>
      </c>
      <c r="J33" s="18" t="s">
        <v>84</v>
      </c>
      <c r="K33" s="29"/>
      <c r="L33" s="18"/>
      <c r="M33" s="18" t="s">
        <v>83</v>
      </c>
      <c r="N33" s="19" t="s">
        <v>93</v>
      </c>
      <c r="O33" s="18" t="s">
        <v>87</v>
      </c>
      <c r="P33" s="7">
        <v>1</v>
      </c>
      <c r="Q33" s="7">
        <v>1</v>
      </c>
      <c r="R33" s="7">
        <v>1</v>
      </c>
      <c r="S33" s="7">
        <v>0</v>
      </c>
      <c r="T33" s="7">
        <v>0</v>
      </c>
      <c r="U33" s="20">
        <f t="shared" ref="U33:U40" si="6">Q33/P33</f>
        <v>1</v>
      </c>
      <c r="V33" s="20">
        <f t="shared" ref="V33:V40" si="7">R33/Q33</f>
        <v>1</v>
      </c>
      <c r="W33" s="7"/>
      <c r="X33" s="7"/>
      <c r="Y33" s="7"/>
      <c r="Z33" s="7"/>
      <c r="AA33" s="7"/>
      <c r="AE33" t="s">
        <v>82</v>
      </c>
      <c r="AF33">
        <v>115</v>
      </c>
      <c r="AG33">
        <v>11</v>
      </c>
      <c r="AH33">
        <v>0</v>
      </c>
      <c r="AI33" s="28">
        <f>AG33/AF33</f>
        <v>9.5652173913043481E-2</v>
      </c>
      <c r="AJ33" s="27">
        <f>AH33/AG33</f>
        <v>0</v>
      </c>
    </row>
    <row r="34" spans="1:36">
      <c r="A34" s="6">
        <v>46127</v>
      </c>
      <c r="B34" s="7" t="s">
        <v>124</v>
      </c>
      <c r="C34" s="33" t="s">
        <v>89</v>
      </c>
      <c r="D34" s="18">
        <v>1655187</v>
      </c>
      <c r="E34" s="18" t="s">
        <v>131</v>
      </c>
      <c r="F34" s="18">
        <v>20865659</v>
      </c>
      <c r="G34" s="18" t="s">
        <v>103</v>
      </c>
      <c r="H34" s="18" t="s">
        <v>133</v>
      </c>
      <c r="I34" s="18" t="s">
        <v>85</v>
      </c>
      <c r="J34" s="18" t="s">
        <v>84</v>
      </c>
      <c r="K34" s="30" t="s">
        <v>129</v>
      </c>
      <c r="L34" s="18"/>
      <c r="M34" s="18" t="s">
        <v>83</v>
      </c>
      <c r="N34" s="19" t="s">
        <v>132</v>
      </c>
      <c r="O34" s="18" t="s">
        <v>87</v>
      </c>
      <c r="P34" s="7">
        <v>21</v>
      </c>
      <c r="Q34" s="7">
        <v>20</v>
      </c>
      <c r="R34" s="7">
        <v>1</v>
      </c>
      <c r="S34" s="7">
        <v>0</v>
      </c>
      <c r="T34" s="7">
        <v>0</v>
      </c>
      <c r="U34" s="20">
        <f t="shared" ref="U34" si="8">Q34/P34</f>
        <v>0.95238095238095233</v>
      </c>
      <c r="V34" s="20">
        <f t="shared" ref="V34" si="9">R34/Q34</f>
        <v>0.05</v>
      </c>
      <c r="W34" s="7"/>
      <c r="X34" s="7"/>
      <c r="Y34" s="7"/>
      <c r="Z34" s="7"/>
      <c r="AA34" s="7"/>
      <c r="AI34" s="28"/>
      <c r="AJ34" s="27"/>
    </row>
    <row r="35" spans="1:36">
      <c r="A35" s="6">
        <v>46127</v>
      </c>
      <c r="B35" s="7" t="s">
        <v>124</v>
      </c>
      <c r="C35" s="13">
        <v>0.33333333333333331</v>
      </c>
      <c r="D35" s="7">
        <v>3322665715</v>
      </c>
      <c r="E35" s="7" t="s">
        <v>137</v>
      </c>
      <c r="F35" s="7">
        <v>20866549</v>
      </c>
      <c r="G35" s="7" t="s">
        <v>45</v>
      </c>
      <c r="H35" s="7" t="s">
        <v>50</v>
      </c>
      <c r="I35" s="7" t="s">
        <v>85</v>
      </c>
      <c r="J35" s="7" t="s">
        <v>84</v>
      </c>
      <c r="K35" s="14"/>
      <c r="L35" s="7"/>
      <c r="M35" s="7" t="s">
        <v>27</v>
      </c>
      <c r="N35" s="15" t="s">
        <v>94</v>
      </c>
      <c r="O35" s="7" t="s">
        <v>87</v>
      </c>
      <c r="P35" s="7">
        <v>270</v>
      </c>
      <c r="Q35" s="7">
        <v>128</v>
      </c>
      <c r="R35" s="7">
        <v>1</v>
      </c>
      <c r="S35" s="7">
        <v>0</v>
      </c>
      <c r="T35" s="7">
        <v>0</v>
      </c>
      <c r="U35" s="20">
        <f t="shared" si="6"/>
        <v>0.47407407407407409</v>
      </c>
      <c r="V35" s="20">
        <f t="shared" si="7"/>
        <v>7.8125E-3</v>
      </c>
      <c r="W35" s="7"/>
      <c r="X35" s="7"/>
      <c r="Y35" s="7"/>
      <c r="Z35" s="7"/>
      <c r="AA35" s="7"/>
      <c r="AE35" t="s">
        <v>28</v>
      </c>
      <c r="AF35">
        <v>117</v>
      </c>
      <c r="AG35">
        <v>20</v>
      </c>
      <c r="AH35">
        <v>0</v>
      </c>
      <c r="AI35" s="27">
        <f t="shared" ref="AI35:AI39" si="10">AG35/AF35</f>
        <v>0.17094017094017094</v>
      </c>
      <c r="AJ35" s="27">
        <f t="shared" ref="AJ35:AJ39" si="11">AH35/AG35</f>
        <v>0</v>
      </c>
    </row>
    <row r="36" spans="1:36">
      <c r="A36" s="6">
        <v>46127</v>
      </c>
      <c r="B36" s="7" t="s">
        <v>124</v>
      </c>
      <c r="C36" s="13">
        <v>0.38541666666666669</v>
      </c>
      <c r="D36" s="7">
        <v>3322665724</v>
      </c>
      <c r="E36" s="7" t="s">
        <v>138</v>
      </c>
      <c r="F36" s="7">
        <v>20866550</v>
      </c>
      <c r="G36" s="7" t="s">
        <v>46</v>
      </c>
      <c r="H36" t="s">
        <v>53</v>
      </c>
      <c r="I36" s="7" t="s">
        <v>85</v>
      </c>
      <c r="J36" s="7" t="s">
        <v>84</v>
      </c>
      <c r="K36" s="14"/>
      <c r="L36" s="7"/>
      <c r="M36" s="7" t="s">
        <v>28</v>
      </c>
      <c r="N36" s="15" t="s">
        <v>95</v>
      </c>
      <c r="O36" s="7" t="s">
        <v>87</v>
      </c>
      <c r="P36" s="7">
        <v>360</v>
      </c>
      <c r="Q36" s="7">
        <v>125</v>
      </c>
      <c r="R36" s="7">
        <v>2</v>
      </c>
      <c r="S36" s="7">
        <v>0</v>
      </c>
      <c r="T36" s="7">
        <v>0</v>
      </c>
      <c r="U36" s="20">
        <f t="shared" si="6"/>
        <v>0.34722222222222221</v>
      </c>
      <c r="V36" s="20">
        <f t="shared" si="7"/>
        <v>1.6E-2</v>
      </c>
      <c r="W36" s="7"/>
      <c r="X36" s="7"/>
      <c r="Y36" s="7"/>
      <c r="Z36" s="7"/>
      <c r="AA36" s="7"/>
      <c r="AE36" t="s">
        <v>126</v>
      </c>
      <c r="AF36">
        <v>118</v>
      </c>
      <c r="AG36">
        <v>25</v>
      </c>
      <c r="AH36">
        <v>1</v>
      </c>
      <c r="AI36" s="27">
        <f t="shared" si="10"/>
        <v>0.21186440677966101</v>
      </c>
      <c r="AJ36" s="27">
        <f t="shared" si="11"/>
        <v>0.04</v>
      </c>
    </row>
    <row r="37" spans="1:36">
      <c r="A37" s="6">
        <v>46127</v>
      </c>
      <c r="B37" s="7" t="s">
        <v>124</v>
      </c>
      <c r="C37" s="13">
        <v>0.39583333333333331</v>
      </c>
      <c r="D37" s="7">
        <v>3322665729</v>
      </c>
      <c r="E37" s="7" t="s">
        <v>139</v>
      </c>
      <c r="F37" s="7">
        <v>20866551</v>
      </c>
      <c r="G37" s="7" t="s">
        <v>47</v>
      </c>
      <c r="H37" s="7" t="s">
        <v>55</v>
      </c>
      <c r="I37" s="7" t="s">
        <v>85</v>
      </c>
      <c r="J37" s="7" t="s">
        <v>84</v>
      </c>
      <c r="K37" s="14"/>
      <c r="L37" s="7"/>
      <c r="M37" s="7" t="s">
        <v>29</v>
      </c>
      <c r="N37" s="15" t="s">
        <v>96</v>
      </c>
      <c r="O37" s="7" t="s">
        <v>87</v>
      </c>
      <c r="P37" s="7">
        <v>285</v>
      </c>
      <c r="Q37" s="7">
        <v>63</v>
      </c>
      <c r="R37" s="7">
        <v>0</v>
      </c>
      <c r="S37" s="7">
        <v>0</v>
      </c>
      <c r="T37" s="7">
        <v>0</v>
      </c>
      <c r="U37" s="20">
        <f t="shared" si="6"/>
        <v>0.22105263157894736</v>
      </c>
      <c r="V37" s="20">
        <f t="shared" si="7"/>
        <v>0</v>
      </c>
      <c r="W37" s="7"/>
      <c r="X37" s="7"/>
      <c r="Y37" s="7"/>
      <c r="Z37" s="7"/>
      <c r="AA37" s="7"/>
      <c r="AE37" t="s">
        <v>30</v>
      </c>
      <c r="AF37">
        <v>124</v>
      </c>
      <c r="AG37">
        <v>11</v>
      </c>
      <c r="AH37">
        <v>1</v>
      </c>
      <c r="AI37" s="28">
        <f t="shared" si="10"/>
        <v>8.8709677419354843E-2</v>
      </c>
      <c r="AJ37" s="27">
        <f t="shared" si="11"/>
        <v>9.0909090909090912E-2</v>
      </c>
    </row>
    <row r="38" spans="1:36">
      <c r="A38" s="6">
        <v>46127</v>
      </c>
      <c r="B38" s="7" t="s">
        <v>124</v>
      </c>
      <c r="C38" s="13">
        <v>0.40625</v>
      </c>
      <c r="D38" s="7">
        <v>3322665731</v>
      </c>
      <c r="E38" s="7" t="s">
        <v>141</v>
      </c>
      <c r="F38" s="7">
        <v>20866552</v>
      </c>
      <c r="G38" s="7" t="s">
        <v>57</v>
      </c>
      <c r="H38" t="s">
        <v>58</v>
      </c>
      <c r="I38" s="7" t="s">
        <v>85</v>
      </c>
      <c r="J38" s="7" t="s">
        <v>84</v>
      </c>
      <c r="K38" s="14"/>
      <c r="L38" s="7"/>
      <c r="M38" s="7" t="s">
        <v>30</v>
      </c>
      <c r="N38" s="15" t="s">
        <v>134</v>
      </c>
      <c r="O38" s="7" t="s">
        <v>87</v>
      </c>
      <c r="P38" s="7">
        <v>250</v>
      </c>
      <c r="Q38" s="7">
        <v>75</v>
      </c>
      <c r="R38" s="7">
        <v>0</v>
      </c>
      <c r="S38" s="7">
        <v>0</v>
      </c>
      <c r="T38" s="7">
        <v>0</v>
      </c>
      <c r="U38" s="20">
        <f t="shared" si="6"/>
        <v>0.3</v>
      </c>
      <c r="V38" s="20">
        <f t="shared" si="7"/>
        <v>0</v>
      </c>
      <c r="W38" s="7"/>
      <c r="X38" s="7"/>
      <c r="Y38" s="7"/>
      <c r="Z38" s="7"/>
      <c r="AA38" s="7"/>
      <c r="AE38" t="s">
        <v>127</v>
      </c>
      <c r="AF38">
        <v>114</v>
      </c>
      <c r="AG38">
        <v>31</v>
      </c>
      <c r="AH38">
        <v>0</v>
      </c>
      <c r="AI38" s="27">
        <f t="shared" si="10"/>
        <v>0.27192982456140352</v>
      </c>
      <c r="AJ38" s="27">
        <f t="shared" si="11"/>
        <v>0</v>
      </c>
    </row>
    <row r="39" spans="1:36">
      <c r="A39" s="6">
        <v>46127</v>
      </c>
      <c r="B39" s="7" t="s">
        <v>124</v>
      </c>
      <c r="C39" s="13">
        <v>0.4201388888888889</v>
      </c>
      <c r="D39" s="7">
        <v>3322665733</v>
      </c>
      <c r="E39" s="7" t="s">
        <v>142</v>
      </c>
      <c r="F39" s="7">
        <v>20866553</v>
      </c>
      <c r="G39" s="7" t="s">
        <v>48</v>
      </c>
      <c r="H39" s="7" t="s">
        <v>60</v>
      </c>
      <c r="I39" s="7" t="s">
        <v>85</v>
      </c>
      <c r="J39" s="7" t="s">
        <v>84</v>
      </c>
      <c r="K39" s="14"/>
      <c r="L39" s="7"/>
      <c r="M39" s="7" t="s">
        <v>31</v>
      </c>
      <c r="N39" s="15" t="s">
        <v>135</v>
      </c>
      <c r="O39" s="7" t="s">
        <v>87</v>
      </c>
      <c r="P39" s="7">
        <v>310</v>
      </c>
      <c r="Q39" s="7">
        <v>102</v>
      </c>
      <c r="R39" s="7">
        <v>0</v>
      </c>
      <c r="S39" s="7">
        <v>1</v>
      </c>
      <c r="T39" s="7">
        <v>0</v>
      </c>
      <c r="U39" s="20">
        <f t="shared" si="6"/>
        <v>0.32903225806451614</v>
      </c>
      <c r="V39" s="20">
        <f t="shared" si="7"/>
        <v>0</v>
      </c>
      <c r="W39" s="7"/>
      <c r="X39" s="7"/>
      <c r="Y39" s="7"/>
      <c r="Z39" s="7"/>
      <c r="AA39" s="7"/>
      <c r="AE39" t="s">
        <v>128</v>
      </c>
      <c r="AF39">
        <v>119</v>
      </c>
      <c r="AG39">
        <v>14</v>
      </c>
      <c r="AH39">
        <v>0</v>
      </c>
      <c r="AI39" s="28">
        <f t="shared" si="10"/>
        <v>0.11764705882352941</v>
      </c>
      <c r="AJ39" s="27">
        <f t="shared" si="11"/>
        <v>0</v>
      </c>
    </row>
    <row r="40" spans="1:36">
      <c r="A40" s="6">
        <v>46127</v>
      </c>
      <c r="B40" s="7" t="s">
        <v>124</v>
      </c>
      <c r="C40" s="13">
        <v>0.43402777777777779</v>
      </c>
      <c r="D40" s="7">
        <v>3322665735</v>
      </c>
      <c r="E40" s="7" t="s">
        <v>140</v>
      </c>
      <c r="F40" s="7">
        <v>20866554</v>
      </c>
      <c r="G40" s="7" t="s">
        <v>49</v>
      </c>
      <c r="H40" t="s">
        <v>62</v>
      </c>
      <c r="I40" s="7" t="s">
        <v>85</v>
      </c>
      <c r="J40" s="7" t="s">
        <v>84</v>
      </c>
      <c r="K40" s="14"/>
      <c r="L40" s="7"/>
      <c r="M40" s="7" t="s">
        <v>32</v>
      </c>
      <c r="N40" s="15" t="s">
        <v>136</v>
      </c>
      <c r="O40" s="7" t="s">
        <v>87</v>
      </c>
      <c r="P40" s="7">
        <v>260</v>
      </c>
      <c r="Q40" s="7">
        <v>58</v>
      </c>
      <c r="R40" s="7">
        <v>3</v>
      </c>
      <c r="S40" s="7">
        <v>0</v>
      </c>
      <c r="T40" s="7">
        <v>0</v>
      </c>
      <c r="U40" s="20">
        <f t="shared" si="6"/>
        <v>0.22307692307692309</v>
      </c>
      <c r="V40" s="20">
        <f t="shared" si="7"/>
        <v>5.1724137931034482E-2</v>
      </c>
      <c r="W40" s="7"/>
      <c r="X40" s="7"/>
      <c r="Y40" s="7"/>
      <c r="Z40" s="7"/>
      <c r="AA40" s="7"/>
    </row>
    <row r="41" spans="1:36" ht="7.8" customHeight="1">
      <c r="A41" s="8"/>
      <c r="B41" s="9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1"/>
      <c r="V41" s="11"/>
      <c r="W41" s="10"/>
      <c r="X41" s="10"/>
      <c r="Y41" s="10"/>
      <c r="Z41" s="11"/>
      <c r="AA41" s="12"/>
    </row>
    <row r="42" spans="1:36">
      <c r="A42" s="6">
        <v>46128</v>
      </c>
      <c r="B42" s="7" t="s">
        <v>166</v>
      </c>
      <c r="C42" s="33" t="s">
        <v>89</v>
      </c>
      <c r="D42" s="18">
        <v>1655163</v>
      </c>
      <c r="E42" s="18" t="s">
        <v>79</v>
      </c>
      <c r="F42" s="18">
        <v>20858469</v>
      </c>
      <c r="G42" s="18" t="s">
        <v>80</v>
      </c>
      <c r="H42" s="18" t="s">
        <v>81</v>
      </c>
      <c r="I42" s="18" t="s">
        <v>85</v>
      </c>
      <c r="J42" s="18" t="s">
        <v>84</v>
      </c>
      <c r="K42" s="14"/>
      <c r="L42" s="18"/>
      <c r="M42" s="18" t="s">
        <v>83</v>
      </c>
      <c r="N42" s="19" t="s">
        <v>88</v>
      </c>
      <c r="O42" s="18" t="s">
        <v>87</v>
      </c>
      <c r="P42" s="7">
        <v>798</v>
      </c>
      <c r="Q42" s="7">
        <v>142</v>
      </c>
      <c r="R42" s="7">
        <v>2</v>
      </c>
      <c r="S42" s="7">
        <v>0</v>
      </c>
      <c r="T42" s="7">
        <v>0</v>
      </c>
      <c r="U42" s="20">
        <f>Q42/P42</f>
        <v>0.17794486215538846</v>
      </c>
      <c r="V42" s="20">
        <f>R42/Q42</f>
        <v>1.4084507042253521E-2</v>
      </c>
      <c r="W42" s="7"/>
      <c r="X42" s="7"/>
      <c r="Y42" s="7">
        <v>0</v>
      </c>
      <c r="Z42" s="7"/>
      <c r="AA42" s="7"/>
      <c r="AE42" s="17" t="s">
        <v>125</v>
      </c>
    </row>
    <row r="43" spans="1:36">
      <c r="A43" s="6">
        <v>46128</v>
      </c>
      <c r="B43" s="7" t="s">
        <v>166</v>
      </c>
      <c r="C43" s="33" t="s">
        <v>89</v>
      </c>
      <c r="D43" s="18">
        <v>1655164</v>
      </c>
      <c r="E43" s="18" t="s">
        <v>91</v>
      </c>
      <c r="F43" s="18">
        <v>20859118</v>
      </c>
      <c r="G43" s="18" t="s">
        <v>90</v>
      </c>
      <c r="H43" s="18" t="s">
        <v>92</v>
      </c>
      <c r="I43" s="18" t="s">
        <v>85</v>
      </c>
      <c r="J43" s="18" t="s">
        <v>84</v>
      </c>
      <c r="K43" s="29"/>
      <c r="L43" s="18"/>
      <c r="M43" s="18" t="s">
        <v>83</v>
      </c>
      <c r="N43" s="19" t="s">
        <v>93</v>
      </c>
      <c r="O43" s="18" t="s">
        <v>87</v>
      </c>
      <c r="P43" s="7">
        <v>2</v>
      </c>
      <c r="Q43" s="7">
        <v>1</v>
      </c>
      <c r="R43" s="7">
        <v>1</v>
      </c>
      <c r="S43" s="7">
        <v>0</v>
      </c>
      <c r="T43" s="7">
        <v>0</v>
      </c>
      <c r="U43" s="20">
        <f t="shared" ref="U43:U50" si="12">Q43/P43</f>
        <v>0.5</v>
      </c>
      <c r="V43" s="20">
        <f t="shared" ref="V43:V50" si="13">R43/Q43</f>
        <v>1</v>
      </c>
      <c r="W43" s="7"/>
      <c r="X43" s="7"/>
      <c r="Y43" s="7"/>
      <c r="Z43" s="7"/>
      <c r="AA43" s="7"/>
      <c r="AE43" t="s">
        <v>82</v>
      </c>
      <c r="AF43">
        <v>115</v>
      </c>
      <c r="AG43">
        <v>11</v>
      </c>
      <c r="AH43">
        <v>0</v>
      </c>
      <c r="AI43" s="28">
        <f>AG43/AF43</f>
        <v>9.5652173913043481E-2</v>
      </c>
      <c r="AJ43" s="27">
        <f>AH43/AG43</f>
        <v>0</v>
      </c>
    </row>
    <row r="44" spans="1:36">
      <c r="A44" s="6">
        <v>46128</v>
      </c>
      <c r="B44" s="7" t="s">
        <v>166</v>
      </c>
      <c r="C44" s="33" t="s">
        <v>89</v>
      </c>
      <c r="D44" s="18">
        <v>1655187</v>
      </c>
      <c r="E44" s="18" t="s">
        <v>131</v>
      </c>
      <c r="F44" s="18">
        <v>20865659</v>
      </c>
      <c r="G44" s="18" t="s">
        <v>103</v>
      </c>
      <c r="H44" s="18" t="s">
        <v>133</v>
      </c>
      <c r="I44" s="18" t="s">
        <v>85</v>
      </c>
      <c r="J44" s="18" t="s">
        <v>84</v>
      </c>
      <c r="K44" s="30"/>
      <c r="L44" s="18"/>
      <c r="M44" s="18" t="s">
        <v>83</v>
      </c>
      <c r="N44" s="19" t="s">
        <v>132</v>
      </c>
      <c r="O44" s="18" t="s">
        <v>87</v>
      </c>
      <c r="P44" s="7">
        <v>16</v>
      </c>
      <c r="Q44" s="7">
        <v>16</v>
      </c>
      <c r="R44" s="7">
        <v>0</v>
      </c>
      <c r="S44" s="7">
        <v>0</v>
      </c>
      <c r="T44" s="7">
        <v>0</v>
      </c>
      <c r="U44" s="20">
        <f t="shared" si="12"/>
        <v>1</v>
      </c>
      <c r="V44" s="20">
        <f t="shared" si="13"/>
        <v>0</v>
      </c>
      <c r="W44" s="7"/>
      <c r="X44" s="7"/>
      <c r="Y44" s="7"/>
      <c r="Z44" s="7"/>
      <c r="AA44" s="7"/>
      <c r="AI44" s="28"/>
      <c r="AJ44" s="27"/>
    </row>
    <row r="45" spans="1:36">
      <c r="A45" s="6">
        <v>46128</v>
      </c>
      <c r="B45" s="7" t="s">
        <v>166</v>
      </c>
      <c r="C45" s="13">
        <v>0.33333333333333331</v>
      </c>
      <c r="D45" s="7">
        <v>3323998150</v>
      </c>
      <c r="E45" s="7" t="s">
        <v>190</v>
      </c>
      <c r="F45" s="7">
        <v>20875147</v>
      </c>
      <c r="G45" s="7" t="s">
        <v>45</v>
      </c>
      <c r="H45" s="7" t="s">
        <v>50</v>
      </c>
      <c r="I45" s="7" t="s">
        <v>85</v>
      </c>
      <c r="J45" s="7" t="s">
        <v>84</v>
      </c>
      <c r="K45" s="14"/>
      <c r="L45" s="7"/>
      <c r="M45" s="7" t="s">
        <v>27</v>
      </c>
      <c r="N45" s="15" t="s">
        <v>94</v>
      </c>
      <c r="O45" s="7" t="s">
        <v>87</v>
      </c>
      <c r="P45" s="7">
        <v>370</v>
      </c>
      <c r="Q45" s="7">
        <v>83</v>
      </c>
      <c r="R45" s="7">
        <v>2</v>
      </c>
      <c r="S45" s="7">
        <v>0</v>
      </c>
      <c r="T45" s="7">
        <v>0</v>
      </c>
      <c r="U45" s="20">
        <f t="shared" si="12"/>
        <v>0.22432432432432434</v>
      </c>
      <c r="V45" s="20">
        <f t="shared" si="13"/>
        <v>2.4096385542168676E-2</v>
      </c>
      <c r="W45" s="7"/>
      <c r="X45" s="7"/>
      <c r="Y45" s="7">
        <v>0</v>
      </c>
      <c r="Z45" s="7"/>
      <c r="AA45" s="7"/>
      <c r="AE45" t="s">
        <v>28</v>
      </c>
      <c r="AF45">
        <v>117</v>
      </c>
      <c r="AG45">
        <v>20</v>
      </c>
      <c r="AH45">
        <v>0</v>
      </c>
      <c r="AI45" s="27">
        <f t="shared" ref="AI45:AI49" si="14">AG45/AF45</f>
        <v>0.17094017094017094</v>
      </c>
      <c r="AJ45" s="27">
        <f t="shared" ref="AJ45:AJ49" si="15">AH45/AG45</f>
        <v>0</v>
      </c>
    </row>
    <row r="46" spans="1:36">
      <c r="A46" s="6">
        <v>46128</v>
      </c>
      <c r="B46" s="7" t="s">
        <v>166</v>
      </c>
      <c r="C46" s="13">
        <v>0.38541666666666669</v>
      </c>
      <c r="D46" s="7">
        <v>3323998173</v>
      </c>
      <c r="E46" s="7" t="s">
        <v>191</v>
      </c>
      <c r="F46" s="7">
        <v>20875149</v>
      </c>
      <c r="G46" s="7" t="s">
        <v>46</v>
      </c>
      <c r="H46" t="s">
        <v>53</v>
      </c>
      <c r="I46" s="7" t="s">
        <v>85</v>
      </c>
      <c r="J46" s="7" t="s">
        <v>84</v>
      </c>
      <c r="K46" s="14"/>
      <c r="L46" s="7"/>
      <c r="M46" s="7" t="s">
        <v>28</v>
      </c>
      <c r="N46" s="15" t="s">
        <v>95</v>
      </c>
      <c r="O46" s="7" t="s">
        <v>87</v>
      </c>
      <c r="P46" s="7">
        <v>345</v>
      </c>
      <c r="Q46" s="7">
        <v>123</v>
      </c>
      <c r="R46" s="7">
        <v>2</v>
      </c>
      <c r="S46" s="7">
        <v>0</v>
      </c>
      <c r="T46" s="7">
        <v>0</v>
      </c>
      <c r="U46" s="20">
        <f t="shared" si="12"/>
        <v>0.35652173913043478</v>
      </c>
      <c r="V46" s="20">
        <f t="shared" si="13"/>
        <v>1.6260162601626018E-2</v>
      </c>
      <c r="W46" s="7"/>
      <c r="X46" s="7"/>
      <c r="Y46" s="7">
        <v>0</v>
      </c>
      <c r="Z46" s="7"/>
      <c r="AA46" s="7"/>
      <c r="AE46" t="s">
        <v>126</v>
      </c>
      <c r="AF46">
        <v>118</v>
      </c>
      <c r="AG46">
        <v>25</v>
      </c>
      <c r="AH46">
        <v>1</v>
      </c>
      <c r="AI46" s="27">
        <f t="shared" si="14"/>
        <v>0.21186440677966101</v>
      </c>
      <c r="AJ46" s="27">
        <f t="shared" si="15"/>
        <v>0.04</v>
      </c>
    </row>
    <row r="47" spans="1:36">
      <c r="A47" s="6">
        <v>46128</v>
      </c>
      <c r="B47" s="7" t="s">
        <v>166</v>
      </c>
      <c r="C47" s="13">
        <v>0.39583333333333331</v>
      </c>
      <c r="D47" s="7">
        <v>3323998176</v>
      </c>
      <c r="E47" s="7" t="s">
        <v>192</v>
      </c>
      <c r="F47" s="7">
        <v>20875153</v>
      </c>
      <c r="G47" s="7" t="s">
        <v>47</v>
      </c>
      <c r="H47" s="7" t="s">
        <v>55</v>
      </c>
      <c r="I47" s="7" t="s">
        <v>85</v>
      </c>
      <c r="J47" s="7" t="s">
        <v>84</v>
      </c>
      <c r="K47" s="14"/>
      <c r="L47" s="7"/>
      <c r="M47" s="7" t="s">
        <v>29</v>
      </c>
      <c r="N47" s="15" t="s">
        <v>96</v>
      </c>
      <c r="O47" s="7" t="s">
        <v>87</v>
      </c>
      <c r="P47" s="7">
        <v>275</v>
      </c>
      <c r="Q47" s="7">
        <v>66</v>
      </c>
      <c r="R47" s="7">
        <v>1</v>
      </c>
      <c r="S47" s="7">
        <v>0</v>
      </c>
      <c r="T47" s="7">
        <v>0</v>
      </c>
      <c r="U47" s="20">
        <f t="shared" si="12"/>
        <v>0.24</v>
      </c>
      <c r="V47" s="20">
        <f t="shared" si="13"/>
        <v>1.5151515151515152E-2</v>
      </c>
      <c r="W47" s="7"/>
      <c r="X47" s="7"/>
      <c r="Y47" s="7">
        <v>0.29499999999999998</v>
      </c>
      <c r="Z47" s="7"/>
      <c r="AA47" s="7"/>
      <c r="AE47" t="s">
        <v>30</v>
      </c>
      <c r="AF47">
        <v>124</v>
      </c>
      <c r="AG47">
        <v>11</v>
      </c>
      <c r="AH47">
        <v>1</v>
      </c>
      <c r="AI47" s="28">
        <f t="shared" si="14"/>
        <v>8.8709677419354843E-2</v>
      </c>
      <c r="AJ47" s="27">
        <f t="shared" si="15"/>
        <v>9.0909090909090912E-2</v>
      </c>
    </row>
    <row r="48" spans="1:36">
      <c r="A48" s="6">
        <v>46128</v>
      </c>
      <c r="B48" s="7" t="s">
        <v>166</v>
      </c>
      <c r="C48" s="13">
        <v>0.40625</v>
      </c>
      <c r="D48" s="7">
        <v>3323998182</v>
      </c>
      <c r="E48" s="7" t="s">
        <v>193</v>
      </c>
      <c r="F48" s="7">
        <v>20875155</v>
      </c>
      <c r="G48" s="7" t="s">
        <v>57</v>
      </c>
      <c r="H48" t="s">
        <v>58</v>
      </c>
      <c r="I48" s="7" t="s">
        <v>85</v>
      </c>
      <c r="J48" s="7" t="s">
        <v>84</v>
      </c>
      <c r="K48" s="14"/>
      <c r="L48" s="7"/>
      <c r="M48" s="7" t="s">
        <v>30</v>
      </c>
      <c r="N48" s="15" t="s">
        <v>134</v>
      </c>
      <c r="O48" s="7" t="s">
        <v>87</v>
      </c>
      <c r="P48" s="7">
        <v>330</v>
      </c>
      <c r="Q48" s="7">
        <v>75</v>
      </c>
      <c r="R48" s="7">
        <v>3</v>
      </c>
      <c r="S48" s="7">
        <v>0</v>
      </c>
      <c r="T48" s="7">
        <v>0</v>
      </c>
      <c r="U48" s="20">
        <f t="shared" si="12"/>
        <v>0.22727272727272727</v>
      </c>
      <c r="V48" s="20">
        <f t="shared" si="13"/>
        <v>0.04</v>
      </c>
      <c r="W48" s="7"/>
      <c r="X48" s="7"/>
      <c r="Y48" s="7">
        <v>0.29499999999999998</v>
      </c>
      <c r="Z48" s="7"/>
      <c r="AA48" s="7"/>
      <c r="AE48" t="s">
        <v>127</v>
      </c>
      <c r="AF48">
        <v>114</v>
      </c>
      <c r="AG48">
        <v>31</v>
      </c>
      <c r="AH48">
        <v>0</v>
      </c>
      <c r="AI48" s="27">
        <f t="shared" si="14"/>
        <v>0.27192982456140352</v>
      </c>
      <c r="AJ48" s="27">
        <f t="shared" si="15"/>
        <v>0</v>
      </c>
    </row>
    <row r="49" spans="1:36">
      <c r="A49" s="6">
        <v>46128</v>
      </c>
      <c r="B49" s="7" t="s">
        <v>166</v>
      </c>
      <c r="C49" s="13">
        <v>0.4201388888888889</v>
      </c>
      <c r="D49" s="7">
        <v>3323998187</v>
      </c>
      <c r="E49" s="7" t="s">
        <v>194</v>
      </c>
      <c r="F49" s="7">
        <v>20875157</v>
      </c>
      <c r="G49" s="7" t="s">
        <v>48</v>
      </c>
      <c r="H49" s="7" t="s">
        <v>60</v>
      </c>
      <c r="I49" s="7" t="s">
        <v>85</v>
      </c>
      <c r="J49" s="7" t="s">
        <v>84</v>
      </c>
      <c r="K49" s="14"/>
      <c r="L49" s="7"/>
      <c r="M49" s="7" t="s">
        <v>31</v>
      </c>
      <c r="N49" s="15" t="s">
        <v>135</v>
      </c>
      <c r="O49" s="7" t="s">
        <v>87</v>
      </c>
      <c r="P49" s="7">
        <v>358</v>
      </c>
      <c r="Q49" s="7">
        <v>159</v>
      </c>
      <c r="R49" s="7">
        <v>1</v>
      </c>
      <c r="S49" s="7">
        <v>0</v>
      </c>
      <c r="T49" s="7">
        <v>0</v>
      </c>
      <c r="U49" s="20">
        <f t="shared" si="12"/>
        <v>0.44413407821229051</v>
      </c>
      <c r="V49" s="20">
        <f t="shared" si="13"/>
        <v>6.2893081761006293E-3</v>
      </c>
      <c r="W49" s="7"/>
      <c r="X49" s="7"/>
      <c r="Y49" s="7">
        <v>0.94399999999999995</v>
      </c>
      <c r="Z49" s="7"/>
      <c r="AA49" s="7"/>
      <c r="AE49" t="s">
        <v>128</v>
      </c>
      <c r="AF49">
        <v>119</v>
      </c>
      <c r="AG49">
        <v>14</v>
      </c>
      <c r="AH49">
        <v>0</v>
      </c>
      <c r="AI49" s="28">
        <f t="shared" si="14"/>
        <v>0.11764705882352941</v>
      </c>
      <c r="AJ49" s="27">
        <f t="shared" si="15"/>
        <v>0</v>
      </c>
    </row>
    <row r="50" spans="1:36">
      <c r="A50" s="6">
        <v>46128</v>
      </c>
      <c r="B50" s="7" t="s">
        <v>166</v>
      </c>
      <c r="C50" s="13">
        <v>0.43402777777777779</v>
      </c>
      <c r="D50" s="7">
        <v>3323998195</v>
      </c>
      <c r="E50" s="7" t="s">
        <v>195</v>
      </c>
      <c r="F50" s="7">
        <v>20875159</v>
      </c>
      <c r="G50" s="7" t="s">
        <v>49</v>
      </c>
      <c r="H50" t="s">
        <v>62</v>
      </c>
      <c r="I50" s="7" t="s">
        <v>85</v>
      </c>
      <c r="J50" s="7" t="s">
        <v>84</v>
      </c>
      <c r="K50" s="14"/>
      <c r="L50" s="7"/>
      <c r="M50" s="7" t="s">
        <v>32</v>
      </c>
      <c r="N50" s="15" t="s">
        <v>136</v>
      </c>
      <c r="O50" s="7" t="s">
        <v>87</v>
      </c>
      <c r="P50" s="7">
        <v>334</v>
      </c>
      <c r="Q50" s="7">
        <v>93</v>
      </c>
      <c r="R50" s="7">
        <v>4</v>
      </c>
      <c r="S50" s="7">
        <v>0</v>
      </c>
      <c r="T50" s="7">
        <v>0</v>
      </c>
      <c r="U50" s="20">
        <f t="shared" si="12"/>
        <v>0.27844311377245506</v>
      </c>
      <c r="V50" s="20">
        <f t="shared" si="13"/>
        <v>4.3010752688172046E-2</v>
      </c>
      <c r="W50" s="7"/>
      <c r="X50" s="7"/>
      <c r="Y50" s="7">
        <v>0.29499999999999998</v>
      </c>
      <c r="Z50" s="7"/>
      <c r="AA50" s="7"/>
    </row>
    <row r="51" spans="1:36" ht="7.8" customHeight="1">
      <c r="A51" s="8"/>
      <c r="B51" s="9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1"/>
      <c r="V51" s="11"/>
      <c r="W51" s="10"/>
      <c r="X51" s="10"/>
      <c r="Y51" s="10"/>
      <c r="Z51" s="11"/>
      <c r="AA51" s="12"/>
    </row>
    <row r="52" spans="1:36">
      <c r="A52" s="6">
        <v>46129</v>
      </c>
      <c r="B52" s="7" t="s">
        <v>206</v>
      </c>
      <c r="C52" s="33" t="s">
        <v>89</v>
      </c>
      <c r="D52" s="18">
        <v>1655163</v>
      </c>
      <c r="E52" s="18" t="s">
        <v>79</v>
      </c>
      <c r="F52" s="18">
        <v>20858469</v>
      </c>
      <c r="G52" s="18" t="s">
        <v>80</v>
      </c>
      <c r="H52" s="18" t="s">
        <v>81</v>
      </c>
      <c r="I52" s="18" t="s">
        <v>85</v>
      </c>
      <c r="J52" s="18" t="s">
        <v>84</v>
      </c>
      <c r="K52" s="14"/>
      <c r="L52" s="18"/>
      <c r="M52" s="18" t="s">
        <v>83</v>
      </c>
      <c r="N52" s="19" t="s">
        <v>88</v>
      </c>
      <c r="O52" s="18" t="s">
        <v>87</v>
      </c>
      <c r="P52" s="7">
        <v>560</v>
      </c>
      <c r="Q52" s="7">
        <v>98</v>
      </c>
      <c r="R52" s="7">
        <v>1</v>
      </c>
      <c r="S52" s="7">
        <v>0</v>
      </c>
      <c r="T52" s="7">
        <v>0</v>
      </c>
      <c r="U52" s="20">
        <f>Q52/P52</f>
        <v>0.17499999999999999</v>
      </c>
      <c r="V52" s="20">
        <f>R52/Q52</f>
        <v>1.020408163265306E-2</v>
      </c>
      <c r="W52" s="7"/>
      <c r="X52" s="7"/>
      <c r="Y52" s="7"/>
      <c r="Z52" s="7"/>
      <c r="AA52" s="7"/>
      <c r="AE52" s="17" t="s">
        <v>125</v>
      </c>
    </row>
    <row r="53" spans="1:36">
      <c r="A53" s="6">
        <v>46129</v>
      </c>
      <c r="B53" s="7" t="s">
        <v>206</v>
      </c>
      <c r="C53" s="33" t="s">
        <v>89</v>
      </c>
      <c r="D53" s="18">
        <v>1655163</v>
      </c>
      <c r="E53" s="18" t="s">
        <v>214</v>
      </c>
      <c r="F53" s="18">
        <v>20884021</v>
      </c>
      <c r="G53" s="18" t="s">
        <v>212</v>
      </c>
      <c r="H53" s="18" t="s">
        <v>213</v>
      </c>
      <c r="I53" s="18" t="s">
        <v>85</v>
      </c>
      <c r="J53" s="18" t="s">
        <v>84</v>
      </c>
      <c r="K53" s="30" t="s">
        <v>208</v>
      </c>
      <c r="L53" s="18"/>
      <c r="M53" s="18" t="s">
        <v>83</v>
      </c>
      <c r="N53" s="19" t="s">
        <v>88</v>
      </c>
      <c r="O53" s="18" t="s">
        <v>87</v>
      </c>
      <c r="P53" s="7">
        <v>490</v>
      </c>
      <c r="Q53" s="7">
        <v>95</v>
      </c>
      <c r="R53" s="7">
        <v>1</v>
      </c>
      <c r="S53" s="7">
        <v>1</v>
      </c>
      <c r="T53" s="7">
        <v>0</v>
      </c>
      <c r="U53" s="20">
        <f>Q53/P53</f>
        <v>0.19387755102040816</v>
      </c>
      <c r="V53" s="20">
        <f>R53/Q53</f>
        <v>1.0526315789473684E-2</v>
      </c>
      <c r="W53" s="7"/>
      <c r="X53" s="7"/>
      <c r="Y53" s="7"/>
      <c r="Z53" s="7"/>
      <c r="AA53" s="7"/>
      <c r="AE53" s="17"/>
    </row>
    <row r="54" spans="1:36">
      <c r="A54" s="6">
        <v>46129</v>
      </c>
      <c r="B54" s="7" t="s">
        <v>206</v>
      </c>
      <c r="C54" s="33" t="s">
        <v>89</v>
      </c>
      <c r="D54" s="18">
        <v>1655164</v>
      </c>
      <c r="E54" s="18" t="s">
        <v>91</v>
      </c>
      <c r="F54" s="18">
        <v>20859118</v>
      </c>
      <c r="G54" s="18" t="s">
        <v>90</v>
      </c>
      <c r="H54" s="18" t="s">
        <v>92</v>
      </c>
      <c r="I54" s="18" t="s">
        <v>85</v>
      </c>
      <c r="J54" s="18" t="s">
        <v>84</v>
      </c>
      <c r="K54" s="29"/>
      <c r="L54" s="18"/>
      <c r="M54" s="18" t="s">
        <v>83</v>
      </c>
      <c r="N54" s="19" t="s">
        <v>93</v>
      </c>
      <c r="O54" s="18" t="s">
        <v>87</v>
      </c>
      <c r="P54" s="7">
        <v>2</v>
      </c>
      <c r="Q54" s="7">
        <v>2</v>
      </c>
      <c r="R54" s="7">
        <v>2</v>
      </c>
      <c r="S54" s="7">
        <v>0</v>
      </c>
      <c r="T54" s="7">
        <v>0</v>
      </c>
      <c r="U54" s="20">
        <f t="shared" ref="U54:U61" si="16">Q54/P54</f>
        <v>1</v>
      </c>
      <c r="V54" s="20">
        <f t="shared" ref="V54:V61" si="17">R54/Q54</f>
        <v>1</v>
      </c>
      <c r="W54" s="7"/>
      <c r="X54" s="7"/>
      <c r="Y54" s="7"/>
      <c r="Z54" s="7"/>
      <c r="AA54" s="7"/>
      <c r="AE54" t="s">
        <v>82</v>
      </c>
      <c r="AF54">
        <v>115</v>
      </c>
      <c r="AG54">
        <v>11</v>
      </c>
      <c r="AH54">
        <v>0</v>
      </c>
      <c r="AI54" s="28">
        <f>AG54/AF54</f>
        <v>9.5652173913043481E-2</v>
      </c>
      <c r="AJ54" s="27">
        <f>AH54/AG54</f>
        <v>0</v>
      </c>
    </row>
    <row r="55" spans="1:36">
      <c r="A55" s="6">
        <v>46129</v>
      </c>
      <c r="B55" s="7" t="s">
        <v>206</v>
      </c>
      <c r="C55" s="33" t="s">
        <v>89</v>
      </c>
      <c r="D55" s="56">
        <v>1655187</v>
      </c>
      <c r="E55" s="56" t="s">
        <v>131</v>
      </c>
      <c r="F55" s="56">
        <v>20865659</v>
      </c>
      <c r="G55" s="18" t="s">
        <v>103</v>
      </c>
      <c r="H55" s="18" t="s">
        <v>133</v>
      </c>
      <c r="I55" s="18" t="s">
        <v>85</v>
      </c>
      <c r="J55" s="18" t="s">
        <v>84</v>
      </c>
      <c r="K55" s="30"/>
      <c r="L55" s="18"/>
      <c r="M55" s="18" t="s">
        <v>83</v>
      </c>
      <c r="N55" s="19" t="s">
        <v>132</v>
      </c>
      <c r="O55" s="18" t="s">
        <v>87</v>
      </c>
      <c r="P55" s="7">
        <v>42</v>
      </c>
      <c r="Q55" s="7">
        <v>40</v>
      </c>
      <c r="R55" s="7">
        <v>0</v>
      </c>
      <c r="S55" s="7">
        <v>0</v>
      </c>
      <c r="T55" s="7">
        <v>0</v>
      </c>
      <c r="U55" s="20">
        <f t="shared" si="16"/>
        <v>0.95238095238095233</v>
      </c>
      <c r="V55" s="20">
        <f t="shared" si="17"/>
        <v>0</v>
      </c>
      <c r="W55" s="7"/>
      <c r="X55" s="7"/>
      <c r="Y55" s="7"/>
      <c r="Z55" s="7"/>
      <c r="AA55" s="7"/>
      <c r="AI55" s="28"/>
      <c r="AJ55" s="27"/>
    </row>
    <row r="56" spans="1:36">
      <c r="A56" s="6">
        <v>46129</v>
      </c>
      <c r="B56" s="7" t="s">
        <v>206</v>
      </c>
      <c r="C56" s="13">
        <v>0.33333333333333331</v>
      </c>
      <c r="D56" s="7">
        <v>3325171813</v>
      </c>
      <c r="E56" s="58" t="s">
        <v>215</v>
      </c>
      <c r="F56" s="7">
        <v>20884764</v>
      </c>
      <c r="G56" s="7" t="s">
        <v>221</v>
      </c>
      <c r="H56" s="7" t="s">
        <v>226</v>
      </c>
      <c r="I56" s="7" t="s">
        <v>85</v>
      </c>
      <c r="J56" s="7" t="s">
        <v>84</v>
      </c>
      <c r="K56" s="60" t="s">
        <v>228</v>
      </c>
      <c r="L56" s="7"/>
      <c r="M56" s="7" t="s">
        <v>27</v>
      </c>
      <c r="N56" s="15" t="s">
        <v>94</v>
      </c>
      <c r="O56" s="7" t="s">
        <v>87</v>
      </c>
      <c r="P56" s="7">
        <v>399</v>
      </c>
      <c r="Q56" s="7">
        <v>115</v>
      </c>
      <c r="R56" s="7">
        <v>0</v>
      </c>
      <c r="S56" s="7">
        <v>0</v>
      </c>
      <c r="T56" s="7">
        <v>0</v>
      </c>
      <c r="U56" s="20">
        <f t="shared" si="16"/>
        <v>0.2882205513784461</v>
      </c>
      <c r="V56" s="20">
        <f t="shared" si="17"/>
        <v>0</v>
      </c>
      <c r="W56" s="7"/>
      <c r="X56" s="7"/>
      <c r="Y56" s="7"/>
      <c r="Z56" s="7"/>
      <c r="AA56" s="7"/>
      <c r="AE56" t="s">
        <v>28</v>
      </c>
      <c r="AF56">
        <v>117</v>
      </c>
      <c r="AG56">
        <v>20</v>
      </c>
      <c r="AH56">
        <v>0</v>
      </c>
      <c r="AI56" s="27">
        <f t="shared" ref="AI56:AI60" si="18">AG56/AF56</f>
        <v>0.17094017094017094</v>
      </c>
      <c r="AJ56" s="27">
        <f t="shared" ref="AJ56:AJ60" si="19">AH56/AG56</f>
        <v>0</v>
      </c>
    </row>
    <row r="57" spans="1:36">
      <c r="A57" s="6">
        <v>46129</v>
      </c>
      <c r="B57" s="7" t="s">
        <v>206</v>
      </c>
      <c r="C57" s="13">
        <v>0.38541666666666669</v>
      </c>
      <c r="D57" s="7">
        <v>3325174308</v>
      </c>
      <c r="E57" s="58" t="s">
        <v>216</v>
      </c>
      <c r="F57" s="7">
        <v>20884848</v>
      </c>
      <c r="G57" s="7" t="s">
        <v>222</v>
      </c>
      <c r="H57" s="59" t="s">
        <v>227</v>
      </c>
      <c r="I57" s="7" t="s">
        <v>85</v>
      </c>
      <c r="J57" s="7" t="s">
        <v>84</v>
      </c>
      <c r="K57" s="60" t="s">
        <v>228</v>
      </c>
      <c r="L57" s="7"/>
      <c r="M57" s="7" t="s">
        <v>28</v>
      </c>
      <c r="N57" s="15" t="s">
        <v>95</v>
      </c>
      <c r="O57" s="7" t="s">
        <v>87</v>
      </c>
      <c r="P57" s="7">
        <v>366</v>
      </c>
      <c r="Q57" s="7">
        <v>190</v>
      </c>
      <c r="R57" s="7">
        <v>0</v>
      </c>
      <c r="S57" s="7">
        <v>0</v>
      </c>
      <c r="T57" s="7">
        <v>0</v>
      </c>
      <c r="U57" s="20">
        <f t="shared" si="16"/>
        <v>0.51912568306010931</v>
      </c>
      <c r="V57" s="20">
        <f t="shared" si="17"/>
        <v>0</v>
      </c>
      <c r="W57" s="7"/>
      <c r="X57" s="7"/>
      <c r="Y57" s="7"/>
      <c r="Z57" s="7"/>
      <c r="AA57" s="7"/>
      <c r="AE57" t="s">
        <v>126</v>
      </c>
      <c r="AF57">
        <v>118</v>
      </c>
      <c r="AG57">
        <v>25</v>
      </c>
      <c r="AH57">
        <v>1</v>
      </c>
      <c r="AI57" s="27">
        <f t="shared" si="18"/>
        <v>0.21186440677966101</v>
      </c>
      <c r="AJ57" s="27">
        <f t="shared" si="19"/>
        <v>0.04</v>
      </c>
    </row>
    <row r="58" spans="1:36">
      <c r="A58" s="6">
        <v>46129</v>
      </c>
      <c r="B58" s="7" t="s">
        <v>206</v>
      </c>
      <c r="C58" s="13">
        <v>0.39583333333333331</v>
      </c>
      <c r="D58" s="7">
        <v>3325175733</v>
      </c>
      <c r="E58" s="58" t="s">
        <v>217</v>
      </c>
      <c r="F58" s="7">
        <v>20884886</v>
      </c>
      <c r="G58" s="7" t="s">
        <v>46</v>
      </c>
      <c r="H58" s="7" t="s">
        <v>229</v>
      </c>
      <c r="I58" s="7" t="s">
        <v>85</v>
      </c>
      <c r="J58" s="7" t="s">
        <v>84</v>
      </c>
      <c r="K58" s="60" t="s">
        <v>228</v>
      </c>
      <c r="L58" s="7"/>
      <c r="M58" s="7" t="s">
        <v>29</v>
      </c>
      <c r="N58" s="15" t="s">
        <v>96</v>
      </c>
      <c r="O58" s="7" t="s">
        <v>87</v>
      </c>
      <c r="P58" s="7">
        <v>300</v>
      </c>
      <c r="Q58" s="7">
        <v>54</v>
      </c>
      <c r="R58" s="7">
        <v>1</v>
      </c>
      <c r="S58" s="7">
        <v>0</v>
      </c>
      <c r="T58" s="7">
        <v>0</v>
      </c>
      <c r="U58" s="20">
        <f t="shared" si="16"/>
        <v>0.18</v>
      </c>
      <c r="V58" s="20">
        <f t="shared" si="17"/>
        <v>1.8518518518518517E-2</v>
      </c>
      <c r="W58" s="7"/>
      <c r="X58" s="7"/>
      <c r="Y58" s="7"/>
      <c r="Z58" s="7"/>
      <c r="AA58" s="7"/>
      <c r="AE58" t="s">
        <v>30</v>
      </c>
      <c r="AF58">
        <v>124</v>
      </c>
      <c r="AG58">
        <v>11</v>
      </c>
      <c r="AH58">
        <v>1</v>
      </c>
      <c r="AI58" s="28">
        <f t="shared" si="18"/>
        <v>8.8709677419354843E-2</v>
      </c>
      <c r="AJ58" s="27">
        <f t="shared" si="19"/>
        <v>9.0909090909090912E-2</v>
      </c>
    </row>
    <row r="59" spans="1:36">
      <c r="A59" s="6">
        <v>46129</v>
      </c>
      <c r="B59" s="7" t="s">
        <v>206</v>
      </c>
      <c r="C59" s="13">
        <v>0.40625</v>
      </c>
      <c r="D59" s="7">
        <v>3325178528</v>
      </c>
      <c r="E59" s="58" t="s">
        <v>218</v>
      </c>
      <c r="F59" s="7">
        <v>20884961</v>
      </c>
      <c r="G59" s="7" t="s">
        <v>223</v>
      </c>
      <c r="H59" t="s">
        <v>230</v>
      </c>
      <c r="I59" s="7" t="s">
        <v>85</v>
      </c>
      <c r="J59" s="7" t="s">
        <v>84</v>
      </c>
      <c r="K59" s="60" t="s">
        <v>228</v>
      </c>
      <c r="L59" s="7"/>
      <c r="M59" s="7" t="s">
        <v>30</v>
      </c>
      <c r="N59" s="15" t="s">
        <v>134</v>
      </c>
      <c r="O59" s="7" t="s">
        <v>87</v>
      </c>
      <c r="P59" s="7">
        <v>360</v>
      </c>
      <c r="Q59" s="7">
        <v>97</v>
      </c>
      <c r="R59" s="7">
        <v>1</v>
      </c>
      <c r="S59" s="7">
        <v>0</v>
      </c>
      <c r="T59" s="7">
        <v>0</v>
      </c>
      <c r="U59" s="20">
        <f t="shared" si="16"/>
        <v>0.26944444444444443</v>
      </c>
      <c r="V59" s="20">
        <f t="shared" si="17"/>
        <v>1.0309278350515464E-2</v>
      </c>
      <c r="W59" s="7"/>
      <c r="X59" s="7"/>
      <c r="Y59" s="7"/>
      <c r="Z59" s="7"/>
      <c r="AA59" s="7"/>
      <c r="AE59" t="s">
        <v>127</v>
      </c>
      <c r="AF59">
        <v>114</v>
      </c>
      <c r="AG59">
        <v>31</v>
      </c>
      <c r="AH59">
        <v>0</v>
      </c>
      <c r="AI59" s="27">
        <f t="shared" si="18"/>
        <v>0.27192982456140352</v>
      </c>
      <c r="AJ59" s="27">
        <f t="shared" si="19"/>
        <v>0</v>
      </c>
    </row>
    <row r="60" spans="1:36">
      <c r="A60" s="6">
        <v>46129</v>
      </c>
      <c r="B60" s="7" t="s">
        <v>206</v>
      </c>
      <c r="C60" s="13">
        <v>0.4201388888888889</v>
      </c>
      <c r="D60" s="7">
        <v>3325180892</v>
      </c>
      <c r="E60" s="58" t="s">
        <v>219</v>
      </c>
      <c r="F60" s="7">
        <v>20885140</v>
      </c>
      <c r="G60" s="7" t="s">
        <v>224</v>
      </c>
      <c r="H60" s="7" t="s">
        <v>231</v>
      </c>
      <c r="I60" s="7" t="s">
        <v>85</v>
      </c>
      <c r="J60" s="7" t="s">
        <v>84</v>
      </c>
      <c r="K60" s="60" t="s">
        <v>228</v>
      </c>
      <c r="L60" s="7"/>
      <c r="M60" s="7" t="s">
        <v>31</v>
      </c>
      <c r="N60" s="15" t="s">
        <v>135</v>
      </c>
      <c r="O60" s="7" t="s">
        <v>87</v>
      </c>
      <c r="P60" s="7">
        <v>400</v>
      </c>
      <c r="Q60" s="7">
        <v>191</v>
      </c>
      <c r="R60" s="7">
        <v>1</v>
      </c>
      <c r="S60" s="7">
        <v>1</v>
      </c>
      <c r="T60" s="7">
        <v>0</v>
      </c>
      <c r="U60" s="20">
        <f t="shared" si="16"/>
        <v>0.47749999999999998</v>
      </c>
      <c r="V60" s="20">
        <f t="shared" si="17"/>
        <v>5.235602094240838E-3</v>
      </c>
      <c r="W60" s="7"/>
      <c r="X60" s="7"/>
      <c r="Y60" s="7"/>
      <c r="Z60" s="7"/>
      <c r="AA60" s="7"/>
      <c r="AE60" t="s">
        <v>128</v>
      </c>
      <c r="AF60">
        <v>119</v>
      </c>
      <c r="AG60">
        <v>14</v>
      </c>
      <c r="AH60">
        <v>0</v>
      </c>
      <c r="AI60" s="28">
        <f t="shared" si="18"/>
        <v>0.11764705882352941</v>
      </c>
      <c r="AJ60" s="27">
        <f t="shared" si="19"/>
        <v>0</v>
      </c>
    </row>
    <row r="61" spans="1:36">
      <c r="A61" s="6">
        <v>46129</v>
      </c>
      <c r="B61" s="7" t="s">
        <v>206</v>
      </c>
      <c r="C61" s="13">
        <v>0.43402777777777779</v>
      </c>
      <c r="D61" s="7">
        <v>3325183744</v>
      </c>
      <c r="E61" s="58" t="s">
        <v>220</v>
      </c>
      <c r="F61" s="7">
        <v>20885226</v>
      </c>
      <c r="G61" s="7" t="s">
        <v>225</v>
      </c>
      <c r="H61" s="61" t="s">
        <v>232</v>
      </c>
      <c r="I61" s="7" t="s">
        <v>85</v>
      </c>
      <c r="J61" s="7" t="s">
        <v>84</v>
      </c>
      <c r="K61" s="60" t="s">
        <v>228</v>
      </c>
      <c r="L61" s="7"/>
      <c r="M61" s="7" t="s">
        <v>32</v>
      </c>
      <c r="N61" s="15" t="s">
        <v>136</v>
      </c>
      <c r="O61" s="7" t="s">
        <v>87</v>
      </c>
      <c r="P61" s="7">
        <v>380</v>
      </c>
      <c r="Q61" s="7">
        <v>121</v>
      </c>
      <c r="R61" s="7">
        <v>0</v>
      </c>
      <c r="S61" s="7">
        <v>0</v>
      </c>
      <c r="T61" s="7">
        <v>0</v>
      </c>
      <c r="U61" s="20">
        <f t="shared" si="16"/>
        <v>0.31842105263157894</v>
      </c>
      <c r="V61" s="20">
        <f t="shared" si="17"/>
        <v>0</v>
      </c>
      <c r="W61" s="7"/>
      <c r="X61" s="7"/>
      <c r="Y61" s="7"/>
      <c r="Z61" s="7"/>
      <c r="AA61" s="7"/>
    </row>
    <row r="62" spans="1:36" ht="7.8" customHeight="1">
      <c r="A62" s="8"/>
      <c r="B62" s="9"/>
      <c r="C62" s="10"/>
      <c r="D62" s="57"/>
      <c r="E62" s="57"/>
      <c r="F62" s="57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1"/>
      <c r="V62" s="11"/>
      <c r="W62" s="10"/>
      <c r="X62" s="10"/>
      <c r="Y62" s="10"/>
      <c r="Z62" s="11"/>
      <c r="AA62" s="12"/>
    </row>
    <row r="63" spans="1:36">
      <c r="A63" s="6">
        <v>46130</v>
      </c>
      <c r="B63" s="7" t="s">
        <v>26</v>
      </c>
      <c r="C63" s="33" t="s">
        <v>89</v>
      </c>
      <c r="D63" s="18">
        <v>1655163</v>
      </c>
      <c r="E63" s="18" t="s">
        <v>79</v>
      </c>
      <c r="F63" s="18">
        <v>20858469</v>
      </c>
      <c r="G63" s="18" t="s">
        <v>80</v>
      </c>
      <c r="H63" s="18" t="s">
        <v>81</v>
      </c>
      <c r="I63" s="18" t="s">
        <v>85</v>
      </c>
      <c r="J63" s="18" t="s">
        <v>84</v>
      </c>
      <c r="K63" s="14"/>
      <c r="L63" s="18"/>
      <c r="M63" s="18" t="s">
        <v>83</v>
      </c>
      <c r="N63" s="19" t="s">
        <v>88</v>
      </c>
      <c r="O63" s="18" t="s">
        <v>87</v>
      </c>
      <c r="P63" s="7">
        <v>279</v>
      </c>
      <c r="Q63" s="7">
        <v>80</v>
      </c>
      <c r="R63" s="7">
        <v>1</v>
      </c>
      <c r="S63" s="7">
        <v>0</v>
      </c>
      <c r="T63" s="7">
        <v>0</v>
      </c>
      <c r="U63" s="20">
        <f>Q63/P63</f>
        <v>0.28673835125448027</v>
      </c>
      <c r="V63" s="20">
        <f>R63/Q63</f>
        <v>1.2500000000000001E-2</v>
      </c>
      <c r="W63" s="7"/>
      <c r="X63" s="7"/>
      <c r="Y63" s="7"/>
      <c r="Z63" s="7"/>
      <c r="AA63" s="7"/>
      <c r="AE63" s="17" t="s">
        <v>125</v>
      </c>
    </row>
    <row r="64" spans="1:36">
      <c r="A64" s="6">
        <v>46130</v>
      </c>
      <c r="B64" s="7" t="s">
        <v>26</v>
      </c>
      <c r="C64" s="33" t="s">
        <v>89</v>
      </c>
      <c r="D64" s="18">
        <v>1655163</v>
      </c>
      <c r="E64" s="18" t="s">
        <v>214</v>
      </c>
      <c r="F64" s="18">
        <v>20884021</v>
      </c>
      <c r="G64" s="18" t="s">
        <v>212</v>
      </c>
      <c r="H64" s="18" t="s">
        <v>213</v>
      </c>
      <c r="I64" s="18" t="s">
        <v>85</v>
      </c>
      <c r="J64" s="18" t="s">
        <v>84</v>
      </c>
      <c r="K64" s="30"/>
      <c r="L64" s="18"/>
      <c r="M64" s="18" t="s">
        <v>83</v>
      </c>
      <c r="N64" s="19" t="s">
        <v>88</v>
      </c>
      <c r="O64" s="18" t="s">
        <v>87</v>
      </c>
      <c r="P64" s="7">
        <v>279</v>
      </c>
      <c r="Q64" s="7">
        <v>60</v>
      </c>
      <c r="R64" s="7">
        <v>1</v>
      </c>
      <c r="S64" s="7">
        <v>0</v>
      </c>
      <c r="T64" s="7">
        <v>0</v>
      </c>
      <c r="U64" s="20">
        <f>Q64/P64</f>
        <v>0.21505376344086022</v>
      </c>
      <c r="V64" s="20">
        <f>R64/Q64</f>
        <v>1.6666666666666666E-2</v>
      </c>
      <c r="W64" s="7"/>
      <c r="X64" s="7"/>
      <c r="Y64" s="7"/>
      <c r="Z64" s="7"/>
      <c r="AA64" s="7"/>
      <c r="AE64" s="17"/>
    </row>
    <row r="65" spans="1:36">
      <c r="A65" s="6">
        <v>46130</v>
      </c>
      <c r="B65" s="7" t="s">
        <v>26</v>
      </c>
      <c r="C65" s="33" t="s">
        <v>89</v>
      </c>
      <c r="D65" s="18">
        <v>1655164</v>
      </c>
      <c r="E65" s="18" t="s">
        <v>91</v>
      </c>
      <c r="F65" s="18">
        <v>20859118</v>
      </c>
      <c r="G65" s="18" t="s">
        <v>90</v>
      </c>
      <c r="H65" s="18" t="s">
        <v>92</v>
      </c>
      <c r="I65" s="18" t="s">
        <v>85</v>
      </c>
      <c r="J65" s="18" t="s">
        <v>84</v>
      </c>
      <c r="K65" s="29"/>
      <c r="L65" s="18"/>
      <c r="M65" s="18" t="s">
        <v>83</v>
      </c>
      <c r="N65" s="19" t="s">
        <v>93</v>
      </c>
      <c r="O65" s="18" t="s">
        <v>87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20" t="e">
        <f t="shared" ref="U65:U72" si="20">Q65/P65</f>
        <v>#DIV/0!</v>
      </c>
      <c r="V65" s="20" t="e">
        <f t="shared" ref="V65:V72" si="21">R65/Q65</f>
        <v>#DIV/0!</v>
      </c>
      <c r="W65" s="7"/>
      <c r="X65" s="7"/>
      <c r="Y65" s="7"/>
      <c r="Z65" s="7"/>
      <c r="AA65" s="7"/>
      <c r="AE65" t="s">
        <v>82</v>
      </c>
      <c r="AF65">
        <v>115</v>
      </c>
      <c r="AG65">
        <v>11</v>
      </c>
      <c r="AH65">
        <v>0</v>
      </c>
      <c r="AI65" s="28">
        <f>AG65/AF65</f>
        <v>9.5652173913043481E-2</v>
      </c>
      <c r="AJ65" s="27">
        <f>AH65/AG65</f>
        <v>0</v>
      </c>
    </row>
    <row r="66" spans="1:36">
      <c r="A66" s="6">
        <v>46130</v>
      </c>
      <c r="B66" s="7" t="s">
        <v>26</v>
      </c>
      <c r="C66" s="33" t="s">
        <v>89</v>
      </c>
      <c r="D66" s="56">
        <v>1655187</v>
      </c>
      <c r="E66" s="56" t="s">
        <v>131</v>
      </c>
      <c r="F66" s="56">
        <v>20865659</v>
      </c>
      <c r="G66" s="18" t="s">
        <v>103</v>
      </c>
      <c r="H66" s="18" t="s">
        <v>133</v>
      </c>
      <c r="I66" s="18" t="s">
        <v>85</v>
      </c>
      <c r="J66" s="18" t="s">
        <v>84</v>
      </c>
      <c r="K66" s="30"/>
      <c r="L66" s="18"/>
      <c r="M66" s="18" t="s">
        <v>83</v>
      </c>
      <c r="N66" s="19" t="s">
        <v>132</v>
      </c>
      <c r="O66" s="18" t="s">
        <v>87</v>
      </c>
      <c r="P66" s="7">
        <v>25</v>
      </c>
      <c r="Q66" s="7">
        <v>25</v>
      </c>
      <c r="R66" s="7">
        <v>2</v>
      </c>
      <c r="S66" s="7">
        <v>0</v>
      </c>
      <c r="T66" s="7">
        <v>0</v>
      </c>
      <c r="U66" s="20">
        <f t="shared" si="20"/>
        <v>1</v>
      </c>
      <c r="V66" s="20">
        <f t="shared" si="21"/>
        <v>0.08</v>
      </c>
      <c r="W66" s="7"/>
      <c r="X66" s="7"/>
      <c r="Y66" s="7"/>
      <c r="Z66" s="7"/>
      <c r="AA66" s="7"/>
      <c r="AI66" s="28"/>
      <c r="AJ66" s="27"/>
    </row>
    <row r="67" spans="1:36">
      <c r="A67" s="6">
        <v>46130</v>
      </c>
      <c r="B67" s="7" t="s">
        <v>26</v>
      </c>
      <c r="C67" s="13">
        <v>0.33333333333333331</v>
      </c>
      <c r="D67" s="31">
        <v>3325186537</v>
      </c>
      <c r="E67" s="7" t="s">
        <v>233</v>
      </c>
      <c r="F67" s="31">
        <v>20885369</v>
      </c>
      <c r="G67" s="7" t="s">
        <v>45</v>
      </c>
      <c r="H67" s="7" t="s">
        <v>50</v>
      </c>
      <c r="I67" s="7" t="s">
        <v>85</v>
      </c>
      <c r="J67" s="7" t="s">
        <v>84</v>
      </c>
      <c r="K67" s="60"/>
      <c r="L67" s="7"/>
      <c r="M67" s="7" t="s">
        <v>27</v>
      </c>
      <c r="N67" s="15" t="s">
        <v>94</v>
      </c>
      <c r="O67" s="7" t="s">
        <v>87</v>
      </c>
      <c r="P67" s="7">
        <v>384</v>
      </c>
      <c r="Q67" s="7">
        <v>172</v>
      </c>
      <c r="R67" s="7">
        <v>2</v>
      </c>
      <c r="S67" s="7">
        <v>0</v>
      </c>
      <c r="T67" s="7">
        <v>0</v>
      </c>
      <c r="U67" s="20">
        <f t="shared" si="20"/>
        <v>0.44791666666666669</v>
      </c>
      <c r="V67" s="20">
        <f t="shared" si="21"/>
        <v>1.1627906976744186E-2</v>
      </c>
      <c r="W67" s="7"/>
      <c r="X67" s="7"/>
      <c r="Y67" s="7"/>
      <c r="Z67" s="7"/>
      <c r="AA67" s="7"/>
      <c r="AE67" t="s">
        <v>28</v>
      </c>
      <c r="AF67">
        <v>117</v>
      </c>
      <c r="AG67">
        <v>20</v>
      </c>
      <c r="AH67">
        <v>0</v>
      </c>
      <c r="AI67" s="27">
        <f t="shared" ref="AI67:AI71" si="22">AG67/AF67</f>
        <v>0.17094017094017094</v>
      </c>
      <c r="AJ67" s="27">
        <f t="shared" ref="AJ67:AJ71" si="23">AH67/AG67</f>
        <v>0</v>
      </c>
    </row>
    <row r="68" spans="1:36">
      <c r="A68" s="6">
        <v>46130</v>
      </c>
      <c r="B68" s="7" t="s">
        <v>26</v>
      </c>
      <c r="C68" s="13">
        <v>0.38541666666666669</v>
      </c>
      <c r="D68" s="31">
        <v>3325186534</v>
      </c>
      <c r="E68" s="7" t="s">
        <v>234</v>
      </c>
      <c r="F68" s="31">
        <v>20885371</v>
      </c>
      <c r="G68" s="7" t="s">
        <v>46</v>
      </c>
      <c r="H68" t="s">
        <v>53</v>
      </c>
      <c r="I68" s="7" t="s">
        <v>85</v>
      </c>
      <c r="J68" s="7" t="s">
        <v>84</v>
      </c>
      <c r="K68" s="60"/>
      <c r="L68" s="7"/>
      <c r="M68" s="7" t="s">
        <v>28</v>
      </c>
      <c r="N68" s="15" t="s">
        <v>95</v>
      </c>
      <c r="O68" s="7" t="s">
        <v>87</v>
      </c>
      <c r="P68" s="7">
        <v>381</v>
      </c>
      <c r="Q68" s="7">
        <v>192</v>
      </c>
      <c r="R68" s="7">
        <v>7</v>
      </c>
      <c r="S68" s="7">
        <v>0</v>
      </c>
      <c r="T68" s="7">
        <v>0</v>
      </c>
      <c r="U68" s="20">
        <f t="shared" si="20"/>
        <v>0.50393700787401574</v>
      </c>
      <c r="V68" s="20">
        <f t="shared" si="21"/>
        <v>3.6458333333333336E-2</v>
      </c>
      <c r="W68" s="7"/>
      <c r="X68" s="7"/>
      <c r="Y68" s="7"/>
      <c r="Z68" s="7"/>
      <c r="AA68" s="7"/>
      <c r="AE68" t="s">
        <v>126</v>
      </c>
      <c r="AF68">
        <v>118</v>
      </c>
      <c r="AG68">
        <v>25</v>
      </c>
      <c r="AH68">
        <v>1</v>
      </c>
      <c r="AI68" s="27">
        <f t="shared" si="22"/>
        <v>0.21186440677966101</v>
      </c>
      <c r="AJ68" s="27">
        <f t="shared" si="23"/>
        <v>0.04</v>
      </c>
    </row>
    <row r="69" spans="1:36">
      <c r="A69" s="6">
        <v>46130</v>
      </c>
      <c r="B69" s="7" t="s">
        <v>26</v>
      </c>
      <c r="C69" s="13">
        <v>0.39583333333333331</v>
      </c>
      <c r="D69" s="31">
        <v>3325186539</v>
      </c>
      <c r="E69" s="7" t="s">
        <v>235</v>
      </c>
      <c r="F69" s="31">
        <v>20885372</v>
      </c>
      <c r="G69" s="7" t="s">
        <v>47</v>
      </c>
      <c r="H69" s="7" t="s">
        <v>55</v>
      </c>
      <c r="I69" s="7" t="s">
        <v>85</v>
      </c>
      <c r="J69" s="7" t="s">
        <v>84</v>
      </c>
      <c r="K69" s="60"/>
      <c r="L69" s="7"/>
      <c r="M69" s="7" t="s">
        <v>29</v>
      </c>
      <c r="N69" s="15" t="s">
        <v>96</v>
      </c>
      <c r="O69" s="7" t="s">
        <v>87</v>
      </c>
      <c r="P69" s="7">
        <v>329</v>
      </c>
      <c r="Q69" s="7">
        <v>182</v>
      </c>
      <c r="R69" s="7">
        <v>0</v>
      </c>
      <c r="S69" s="7">
        <v>0</v>
      </c>
      <c r="T69" s="7">
        <v>0</v>
      </c>
      <c r="U69" s="20">
        <f t="shared" si="20"/>
        <v>0.55319148936170215</v>
      </c>
      <c r="V69" s="20">
        <f t="shared" si="21"/>
        <v>0</v>
      </c>
      <c r="W69" s="7"/>
      <c r="X69" s="7"/>
      <c r="Y69" s="7"/>
      <c r="Z69" s="7"/>
      <c r="AA69" s="7"/>
      <c r="AE69" t="s">
        <v>30</v>
      </c>
      <c r="AF69">
        <v>124</v>
      </c>
      <c r="AG69">
        <v>11</v>
      </c>
      <c r="AH69">
        <v>1</v>
      </c>
      <c r="AI69" s="28">
        <f t="shared" si="22"/>
        <v>8.8709677419354843E-2</v>
      </c>
      <c r="AJ69" s="27">
        <f t="shared" si="23"/>
        <v>9.0909090909090912E-2</v>
      </c>
    </row>
    <row r="70" spans="1:36">
      <c r="A70" s="6">
        <v>46130</v>
      </c>
      <c r="B70" s="7" t="s">
        <v>26</v>
      </c>
      <c r="C70" s="13">
        <v>0.40625</v>
      </c>
      <c r="D70" s="31">
        <v>3325186533</v>
      </c>
      <c r="E70" s="7" t="s">
        <v>236</v>
      </c>
      <c r="F70" s="31">
        <v>20885373</v>
      </c>
      <c r="G70" s="7" t="s">
        <v>57</v>
      </c>
      <c r="H70" t="s">
        <v>58</v>
      </c>
      <c r="I70" s="7" t="s">
        <v>85</v>
      </c>
      <c r="J70" s="7" t="s">
        <v>84</v>
      </c>
      <c r="K70" s="60"/>
      <c r="L70" s="7"/>
      <c r="M70" s="7" t="s">
        <v>30</v>
      </c>
      <c r="N70" s="15" t="s">
        <v>134</v>
      </c>
      <c r="O70" s="7" t="s">
        <v>87</v>
      </c>
      <c r="P70" s="7">
        <v>376</v>
      </c>
      <c r="Q70" s="7">
        <v>92</v>
      </c>
      <c r="R70" s="7">
        <v>1</v>
      </c>
      <c r="S70" s="7">
        <v>0</v>
      </c>
      <c r="T70" s="7">
        <v>0</v>
      </c>
      <c r="U70" s="20">
        <f t="shared" si="20"/>
        <v>0.24468085106382978</v>
      </c>
      <c r="V70" s="20">
        <f t="shared" si="21"/>
        <v>1.0869565217391304E-2</v>
      </c>
      <c r="W70" s="7"/>
      <c r="X70" s="7"/>
      <c r="Y70" s="7"/>
      <c r="Z70" s="7"/>
      <c r="AA70" s="7"/>
      <c r="AE70" t="s">
        <v>127</v>
      </c>
      <c r="AF70">
        <v>114</v>
      </c>
      <c r="AG70">
        <v>31</v>
      </c>
      <c r="AH70">
        <v>0</v>
      </c>
      <c r="AI70" s="27">
        <f t="shared" si="22"/>
        <v>0.27192982456140352</v>
      </c>
      <c r="AJ70" s="27">
        <f t="shared" si="23"/>
        <v>0</v>
      </c>
    </row>
    <row r="71" spans="1:36">
      <c r="A71" s="6">
        <v>46130</v>
      </c>
      <c r="B71" s="7" t="s">
        <v>26</v>
      </c>
      <c r="C71" s="13">
        <v>0.4201388888888889</v>
      </c>
      <c r="D71" s="31">
        <v>3325186536</v>
      </c>
      <c r="E71" s="7" t="s">
        <v>237</v>
      </c>
      <c r="F71" s="31">
        <v>20885374</v>
      </c>
      <c r="G71" s="7" t="s">
        <v>48</v>
      </c>
      <c r="H71" s="7" t="s">
        <v>60</v>
      </c>
      <c r="I71" s="7" t="s">
        <v>85</v>
      </c>
      <c r="J71" s="7" t="s">
        <v>84</v>
      </c>
      <c r="K71" s="60"/>
      <c r="L71" s="7"/>
      <c r="M71" s="7" t="s">
        <v>31</v>
      </c>
      <c r="N71" s="15" t="s">
        <v>135</v>
      </c>
      <c r="O71" s="7" t="s">
        <v>87</v>
      </c>
      <c r="P71" s="7">
        <v>449</v>
      </c>
      <c r="Q71" s="7">
        <v>168</v>
      </c>
      <c r="R71" s="7">
        <v>0</v>
      </c>
      <c r="S71" s="7">
        <v>0</v>
      </c>
      <c r="T71" s="7">
        <v>0</v>
      </c>
      <c r="U71" s="20">
        <f t="shared" si="20"/>
        <v>0.37416481069042318</v>
      </c>
      <c r="V71" s="20">
        <f t="shared" si="21"/>
        <v>0</v>
      </c>
      <c r="W71" s="7"/>
      <c r="X71" s="7"/>
      <c r="Y71" s="7"/>
      <c r="Z71" s="7"/>
      <c r="AA71" s="7"/>
      <c r="AE71" t="s">
        <v>128</v>
      </c>
      <c r="AF71">
        <v>119</v>
      </c>
      <c r="AG71">
        <v>14</v>
      </c>
      <c r="AH71">
        <v>0</v>
      </c>
      <c r="AI71" s="28">
        <f t="shared" si="22"/>
        <v>0.11764705882352941</v>
      </c>
      <c r="AJ71" s="27">
        <f t="shared" si="23"/>
        <v>0</v>
      </c>
    </row>
    <row r="72" spans="1:36">
      <c r="A72" s="6">
        <v>46130</v>
      </c>
      <c r="B72" s="7" t="s">
        <v>26</v>
      </c>
      <c r="C72" s="13">
        <v>0.43402777777777779</v>
      </c>
      <c r="D72" s="31">
        <v>3325186535</v>
      </c>
      <c r="E72" s="7" t="s">
        <v>238</v>
      </c>
      <c r="F72" s="31">
        <v>20885375</v>
      </c>
      <c r="G72" s="7" t="s">
        <v>49</v>
      </c>
      <c r="H72" t="s">
        <v>62</v>
      </c>
      <c r="I72" s="7" t="s">
        <v>85</v>
      </c>
      <c r="J72" s="7" t="s">
        <v>84</v>
      </c>
      <c r="K72" s="60"/>
      <c r="L72" s="7"/>
      <c r="M72" s="7" t="s">
        <v>32</v>
      </c>
      <c r="N72" s="15" t="s">
        <v>136</v>
      </c>
      <c r="O72" s="7" t="s">
        <v>87</v>
      </c>
      <c r="P72" s="7">
        <v>403</v>
      </c>
      <c r="Q72" s="7">
        <v>112</v>
      </c>
      <c r="R72" s="7">
        <v>3</v>
      </c>
      <c r="S72" s="7">
        <v>0</v>
      </c>
      <c r="T72" s="7">
        <v>0</v>
      </c>
      <c r="U72" s="20">
        <f t="shared" si="20"/>
        <v>0.27791563275434245</v>
      </c>
      <c r="V72" s="20">
        <f t="shared" si="21"/>
        <v>2.6785714285714284E-2</v>
      </c>
      <c r="W72" s="7"/>
      <c r="X72" s="7"/>
      <c r="Y72" s="7"/>
      <c r="Z72" s="7"/>
      <c r="AA72" s="7"/>
    </row>
    <row r="73" spans="1:36" ht="7.8" customHeight="1">
      <c r="A73" s="8"/>
      <c r="B73" s="9"/>
      <c r="C73" s="10"/>
      <c r="D73" s="57"/>
      <c r="E73" s="57"/>
      <c r="F73" s="57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1"/>
      <c r="V73" s="11"/>
      <c r="W73" s="10"/>
      <c r="X73" s="10"/>
      <c r="Y73" s="10"/>
      <c r="Z73" s="11"/>
      <c r="AA73" s="12"/>
    </row>
    <row r="74" spans="1:36">
      <c r="A74" s="6">
        <v>46131</v>
      </c>
      <c r="B74" s="7" t="s">
        <v>33</v>
      </c>
      <c r="C74" s="33" t="s">
        <v>89</v>
      </c>
      <c r="D74" s="18">
        <v>1655163</v>
      </c>
      <c r="E74" s="18" t="s">
        <v>79</v>
      </c>
      <c r="F74" s="18">
        <v>20858469</v>
      </c>
      <c r="G74" s="18" t="s">
        <v>80</v>
      </c>
      <c r="H74" s="18" t="s">
        <v>81</v>
      </c>
      <c r="I74" s="18" t="s">
        <v>85</v>
      </c>
      <c r="J74" s="18" t="s">
        <v>84</v>
      </c>
      <c r="K74" s="14"/>
      <c r="L74" s="18"/>
      <c r="M74" s="18" t="s">
        <v>83</v>
      </c>
      <c r="N74" s="19" t="s">
        <v>88</v>
      </c>
      <c r="O74" s="18" t="s">
        <v>87</v>
      </c>
      <c r="P74" s="7">
        <v>274</v>
      </c>
      <c r="Q74" s="7">
        <v>80</v>
      </c>
      <c r="R74" s="7">
        <v>2</v>
      </c>
      <c r="S74" s="7">
        <v>0</v>
      </c>
      <c r="T74" s="7">
        <v>0</v>
      </c>
      <c r="U74" s="20">
        <f>Q74/P74</f>
        <v>0.29197080291970801</v>
      </c>
      <c r="V74" s="20">
        <f>R74/Q74</f>
        <v>2.5000000000000001E-2</v>
      </c>
      <c r="W74" s="7"/>
      <c r="X74" s="7"/>
      <c r="Y74" s="7"/>
      <c r="Z74" s="7"/>
      <c r="AA74" s="7"/>
      <c r="AE74" s="17" t="s">
        <v>125</v>
      </c>
    </row>
    <row r="75" spans="1:36">
      <c r="A75" s="6">
        <v>46131</v>
      </c>
      <c r="B75" s="7" t="s">
        <v>33</v>
      </c>
      <c r="C75" s="33" t="s">
        <v>89</v>
      </c>
      <c r="D75" s="18">
        <v>1655163</v>
      </c>
      <c r="E75" s="18" t="s">
        <v>214</v>
      </c>
      <c r="F75" s="18">
        <v>20884021</v>
      </c>
      <c r="G75" s="18" t="s">
        <v>212</v>
      </c>
      <c r="H75" s="18" t="s">
        <v>213</v>
      </c>
      <c r="I75" s="18" t="s">
        <v>85</v>
      </c>
      <c r="J75" s="18" t="s">
        <v>84</v>
      </c>
      <c r="K75" s="30"/>
      <c r="L75" s="18"/>
      <c r="M75" s="18" t="s">
        <v>83</v>
      </c>
      <c r="N75" s="19" t="s">
        <v>88</v>
      </c>
      <c r="O75" s="18" t="s">
        <v>87</v>
      </c>
      <c r="P75" s="7">
        <v>278</v>
      </c>
      <c r="Q75" s="7">
        <v>75</v>
      </c>
      <c r="R75" s="7">
        <v>4</v>
      </c>
      <c r="S75" s="7">
        <v>1</v>
      </c>
      <c r="T75" s="7">
        <v>0</v>
      </c>
      <c r="U75" s="20">
        <f>Q75/P75</f>
        <v>0.26978417266187049</v>
      </c>
      <c r="V75" s="20">
        <f>R75/Q75</f>
        <v>5.3333333333333337E-2</v>
      </c>
      <c r="W75" s="7"/>
      <c r="X75" s="7"/>
      <c r="Y75" s="7"/>
      <c r="Z75" s="7"/>
      <c r="AA75" s="7"/>
      <c r="AE75" s="17"/>
    </row>
    <row r="76" spans="1:36">
      <c r="A76" s="6">
        <v>46131</v>
      </c>
      <c r="B76" s="7" t="s">
        <v>33</v>
      </c>
      <c r="C76" s="33" t="s">
        <v>89</v>
      </c>
      <c r="D76" s="18">
        <v>1655164</v>
      </c>
      <c r="E76" s="18" t="s">
        <v>91</v>
      </c>
      <c r="F76" s="18">
        <v>20859118</v>
      </c>
      <c r="G76" s="18" t="s">
        <v>90</v>
      </c>
      <c r="H76" s="18" t="s">
        <v>92</v>
      </c>
      <c r="I76" s="18" t="s">
        <v>85</v>
      </c>
      <c r="J76" s="18" t="s">
        <v>84</v>
      </c>
      <c r="K76" s="29"/>
      <c r="L76" s="18"/>
      <c r="M76" s="18" t="s">
        <v>83</v>
      </c>
      <c r="N76" s="19" t="s">
        <v>93</v>
      </c>
      <c r="O76" s="18" t="s">
        <v>87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20" t="e">
        <f t="shared" ref="U76:U83" si="24">Q76/P76</f>
        <v>#DIV/0!</v>
      </c>
      <c r="V76" s="20" t="e">
        <f t="shared" ref="V76:V83" si="25">R76/Q76</f>
        <v>#DIV/0!</v>
      </c>
      <c r="W76" s="7"/>
      <c r="X76" s="7"/>
      <c r="Y76" s="7"/>
      <c r="Z76" s="7"/>
      <c r="AA76" s="7"/>
      <c r="AE76" t="s">
        <v>82</v>
      </c>
      <c r="AF76">
        <v>115</v>
      </c>
      <c r="AG76">
        <v>11</v>
      </c>
      <c r="AH76">
        <v>0</v>
      </c>
      <c r="AI76" s="28">
        <f>AG76/AF76</f>
        <v>9.5652173913043481E-2</v>
      </c>
      <c r="AJ76" s="27">
        <f>AH76/AG76</f>
        <v>0</v>
      </c>
    </row>
    <row r="77" spans="1:36">
      <c r="A77" s="6">
        <v>46131</v>
      </c>
      <c r="B77" s="7" t="s">
        <v>33</v>
      </c>
      <c r="C77" s="33" t="s">
        <v>89</v>
      </c>
      <c r="D77" s="56">
        <v>1655187</v>
      </c>
      <c r="E77" s="56" t="s">
        <v>131</v>
      </c>
      <c r="F77" s="56">
        <v>20865659</v>
      </c>
      <c r="G77" s="18" t="s">
        <v>103</v>
      </c>
      <c r="H77" s="18" t="s">
        <v>133</v>
      </c>
      <c r="I77" s="18" t="s">
        <v>85</v>
      </c>
      <c r="J77" s="18" t="s">
        <v>84</v>
      </c>
      <c r="K77" s="30"/>
      <c r="L77" s="18"/>
      <c r="M77" s="18" t="s">
        <v>83</v>
      </c>
      <c r="N77" s="19" t="s">
        <v>132</v>
      </c>
      <c r="O77" s="18" t="s">
        <v>87</v>
      </c>
      <c r="P77" s="7">
        <v>36</v>
      </c>
      <c r="Q77" s="7">
        <v>34</v>
      </c>
      <c r="R77" s="7">
        <v>1</v>
      </c>
      <c r="S77" s="7">
        <v>0</v>
      </c>
      <c r="T77" s="7">
        <v>0</v>
      </c>
      <c r="U77" s="20">
        <f t="shared" si="24"/>
        <v>0.94444444444444442</v>
      </c>
      <c r="V77" s="20">
        <f t="shared" si="25"/>
        <v>2.9411764705882353E-2</v>
      </c>
      <c r="W77" s="7"/>
      <c r="X77" s="7"/>
      <c r="Y77" s="7"/>
      <c r="Z77" s="7"/>
      <c r="AA77" s="7"/>
      <c r="AI77" s="28"/>
      <c r="AJ77" s="27"/>
    </row>
    <row r="78" spans="1:36">
      <c r="A78" s="6">
        <v>46131</v>
      </c>
      <c r="B78" s="7" t="s">
        <v>33</v>
      </c>
      <c r="C78" s="13">
        <v>0.33333333333333331</v>
      </c>
      <c r="D78" s="31">
        <v>3325190094</v>
      </c>
      <c r="E78" s="58" t="s">
        <v>239</v>
      </c>
      <c r="F78" s="31">
        <v>20885446</v>
      </c>
      <c r="G78" s="7" t="s">
        <v>221</v>
      </c>
      <c r="H78" s="7" t="s">
        <v>226</v>
      </c>
      <c r="I78" s="7" t="s">
        <v>85</v>
      </c>
      <c r="J78" s="7" t="s">
        <v>84</v>
      </c>
      <c r="K78" s="60"/>
      <c r="L78" s="7"/>
      <c r="M78" s="7" t="s">
        <v>27</v>
      </c>
      <c r="N78" s="15" t="s">
        <v>94</v>
      </c>
      <c r="O78" s="7" t="s">
        <v>87</v>
      </c>
      <c r="P78" s="7">
        <v>361</v>
      </c>
      <c r="Q78" s="7">
        <v>167</v>
      </c>
      <c r="R78" s="7">
        <v>2</v>
      </c>
      <c r="S78" s="7">
        <v>0</v>
      </c>
      <c r="T78" s="7">
        <v>0</v>
      </c>
      <c r="U78" s="20">
        <f t="shared" si="24"/>
        <v>0.46260387811634351</v>
      </c>
      <c r="V78" s="20">
        <f t="shared" si="25"/>
        <v>1.1976047904191617E-2</v>
      </c>
      <c r="W78" s="7"/>
      <c r="X78" s="7"/>
      <c r="Y78" s="7"/>
      <c r="Z78" s="7"/>
      <c r="AA78" s="7"/>
      <c r="AE78" t="s">
        <v>28</v>
      </c>
      <c r="AF78">
        <v>117</v>
      </c>
      <c r="AG78">
        <v>20</v>
      </c>
      <c r="AH78">
        <v>0</v>
      </c>
      <c r="AI78" s="27">
        <f t="shared" ref="AI78:AI82" si="26">AG78/AF78</f>
        <v>0.17094017094017094</v>
      </c>
      <c r="AJ78" s="27">
        <f t="shared" ref="AJ78:AJ82" si="27">AH78/AG78</f>
        <v>0</v>
      </c>
    </row>
    <row r="79" spans="1:36">
      <c r="A79" s="6">
        <v>46131</v>
      </c>
      <c r="B79" s="7" t="s">
        <v>33</v>
      </c>
      <c r="C79" s="13">
        <v>0.38541666666666669</v>
      </c>
      <c r="D79" s="31">
        <v>3325190130</v>
      </c>
      <c r="E79" s="58" t="s">
        <v>240</v>
      </c>
      <c r="F79" s="31">
        <v>20885448</v>
      </c>
      <c r="G79" s="7" t="s">
        <v>222</v>
      </c>
      <c r="H79" s="59" t="s">
        <v>227</v>
      </c>
      <c r="I79" s="7" t="s">
        <v>85</v>
      </c>
      <c r="J79" s="7" t="s">
        <v>84</v>
      </c>
      <c r="K79" s="60"/>
      <c r="L79" s="7"/>
      <c r="M79" s="7" t="s">
        <v>28</v>
      </c>
      <c r="N79" s="15" t="s">
        <v>95</v>
      </c>
      <c r="O79" s="7" t="s">
        <v>87</v>
      </c>
      <c r="P79" s="7">
        <v>388</v>
      </c>
      <c r="Q79" s="7">
        <v>221</v>
      </c>
      <c r="R79" s="7">
        <v>0</v>
      </c>
      <c r="S79" s="7">
        <v>0</v>
      </c>
      <c r="T79" s="7">
        <v>0</v>
      </c>
      <c r="U79" s="20">
        <f t="shared" si="24"/>
        <v>0.56958762886597936</v>
      </c>
      <c r="V79" s="20">
        <f t="shared" si="25"/>
        <v>0</v>
      </c>
      <c r="W79" s="7"/>
      <c r="X79" s="7"/>
      <c r="Y79" s="7"/>
      <c r="Z79" s="7"/>
      <c r="AA79" s="7"/>
      <c r="AE79" t="s">
        <v>126</v>
      </c>
      <c r="AF79">
        <v>118</v>
      </c>
      <c r="AG79">
        <v>25</v>
      </c>
      <c r="AH79">
        <v>1</v>
      </c>
      <c r="AI79" s="27">
        <f t="shared" si="26"/>
        <v>0.21186440677966101</v>
      </c>
      <c r="AJ79" s="27">
        <f t="shared" si="27"/>
        <v>0.04</v>
      </c>
    </row>
    <row r="80" spans="1:36">
      <c r="A80" s="6">
        <v>46131</v>
      </c>
      <c r="B80" s="7" t="s">
        <v>33</v>
      </c>
      <c r="C80" s="13">
        <v>0.39583333333333331</v>
      </c>
      <c r="D80" s="31">
        <v>3325190193</v>
      </c>
      <c r="E80" s="58" t="s">
        <v>241</v>
      </c>
      <c r="F80" s="31">
        <v>20885451</v>
      </c>
      <c r="G80" s="7" t="s">
        <v>46</v>
      </c>
      <c r="H80" s="7" t="s">
        <v>229</v>
      </c>
      <c r="I80" s="7" t="s">
        <v>85</v>
      </c>
      <c r="J80" s="7" t="s">
        <v>84</v>
      </c>
      <c r="K80" s="60"/>
      <c r="L80" s="7"/>
      <c r="M80" s="7" t="s">
        <v>29</v>
      </c>
      <c r="N80" s="15" t="s">
        <v>96</v>
      </c>
      <c r="O80" s="7" t="s">
        <v>87</v>
      </c>
      <c r="P80" s="7">
        <v>285</v>
      </c>
      <c r="Q80" s="7">
        <v>140</v>
      </c>
      <c r="R80" s="7">
        <v>1</v>
      </c>
      <c r="S80" s="7">
        <v>0</v>
      </c>
      <c r="T80" s="7">
        <v>0</v>
      </c>
      <c r="U80" s="20">
        <f t="shared" si="24"/>
        <v>0.49122807017543857</v>
      </c>
      <c r="V80" s="20">
        <f t="shared" si="25"/>
        <v>7.1428571428571426E-3</v>
      </c>
      <c r="W80" s="7"/>
      <c r="X80" s="7"/>
      <c r="Y80" s="7"/>
      <c r="Z80" s="7"/>
      <c r="AA80" s="7"/>
      <c r="AE80" t="s">
        <v>30</v>
      </c>
      <c r="AF80">
        <v>124</v>
      </c>
      <c r="AG80">
        <v>11</v>
      </c>
      <c r="AH80">
        <v>1</v>
      </c>
      <c r="AI80" s="28">
        <f t="shared" si="26"/>
        <v>8.8709677419354843E-2</v>
      </c>
      <c r="AJ80" s="27">
        <f t="shared" si="27"/>
        <v>9.0909090909090912E-2</v>
      </c>
    </row>
    <row r="81" spans="1:36">
      <c r="A81" s="6">
        <v>46131</v>
      </c>
      <c r="B81" s="7" t="s">
        <v>33</v>
      </c>
      <c r="C81" s="13">
        <v>0.40625</v>
      </c>
      <c r="D81" s="31">
        <v>3325190232</v>
      </c>
      <c r="E81" s="58" t="s">
        <v>242</v>
      </c>
      <c r="F81" s="31">
        <v>20885452</v>
      </c>
      <c r="G81" s="7" t="s">
        <v>223</v>
      </c>
      <c r="H81" t="s">
        <v>230</v>
      </c>
      <c r="I81" s="7" t="s">
        <v>85</v>
      </c>
      <c r="J81" s="7" t="s">
        <v>84</v>
      </c>
      <c r="K81" s="60"/>
      <c r="L81" s="7"/>
      <c r="M81" s="7" t="s">
        <v>30</v>
      </c>
      <c r="N81" s="15" t="s">
        <v>134</v>
      </c>
      <c r="O81" s="7" t="s">
        <v>87</v>
      </c>
      <c r="P81" s="7">
        <v>354</v>
      </c>
      <c r="Q81" s="7">
        <v>122</v>
      </c>
      <c r="R81" s="7">
        <v>2</v>
      </c>
      <c r="S81" s="7">
        <v>4</v>
      </c>
      <c r="T81" s="7">
        <v>0</v>
      </c>
      <c r="U81" s="20">
        <f t="shared" si="24"/>
        <v>0.34463276836158191</v>
      </c>
      <c r="V81" s="20">
        <f t="shared" si="25"/>
        <v>1.6393442622950821E-2</v>
      </c>
      <c r="W81" s="7"/>
      <c r="X81" s="7"/>
      <c r="Y81" s="7"/>
      <c r="Z81" s="7"/>
      <c r="AA81" s="7"/>
      <c r="AE81" t="s">
        <v>127</v>
      </c>
      <c r="AF81">
        <v>114</v>
      </c>
      <c r="AG81">
        <v>31</v>
      </c>
      <c r="AH81">
        <v>0</v>
      </c>
      <c r="AI81" s="27">
        <f t="shared" si="26"/>
        <v>0.27192982456140352</v>
      </c>
      <c r="AJ81" s="27">
        <f t="shared" si="27"/>
        <v>0</v>
      </c>
    </row>
    <row r="82" spans="1:36">
      <c r="A82" s="6">
        <v>46131</v>
      </c>
      <c r="B82" s="7" t="s">
        <v>33</v>
      </c>
      <c r="C82" s="13">
        <v>0.4201388888888889</v>
      </c>
      <c r="D82" s="31">
        <v>3325190269</v>
      </c>
      <c r="E82" s="58" t="s">
        <v>243</v>
      </c>
      <c r="F82" s="31">
        <v>20885455</v>
      </c>
      <c r="G82" s="7" t="s">
        <v>224</v>
      </c>
      <c r="H82" s="7" t="s">
        <v>231</v>
      </c>
      <c r="I82" s="7" t="s">
        <v>85</v>
      </c>
      <c r="J82" s="7" t="s">
        <v>84</v>
      </c>
      <c r="K82" s="60"/>
      <c r="L82" s="7"/>
      <c r="M82" s="7" t="s">
        <v>31</v>
      </c>
      <c r="N82" s="15" t="s">
        <v>135</v>
      </c>
      <c r="O82" s="7" t="s">
        <v>87</v>
      </c>
      <c r="P82" s="7">
        <v>423</v>
      </c>
      <c r="Q82" s="7">
        <v>248</v>
      </c>
      <c r="R82" s="7">
        <v>0</v>
      </c>
      <c r="S82" s="7">
        <v>1</v>
      </c>
      <c r="T82" s="7">
        <v>0</v>
      </c>
      <c r="U82" s="20">
        <f t="shared" si="24"/>
        <v>0.58628841607565008</v>
      </c>
      <c r="V82" s="20">
        <f t="shared" si="25"/>
        <v>0</v>
      </c>
      <c r="W82" s="7"/>
      <c r="X82" s="7"/>
      <c r="Y82" s="7"/>
      <c r="Z82" s="7"/>
      <c r="AA82" s="7"/>
      <c r="AE82" t="s">
        <v>128</v>
      </c>
      <c r="AF82">
        <v>119</v>
      </c>
      <c r="AG82">
        <v>14</v>
      </c>
      <c r="AH82">
        <v>0</v>
      </c>
      <c r="AI82" s="28">
        <f t="shared" si="26"/>
        <v>0.11764705882352941</v>
      </c>
      <c r="AJ82" s="27">
        <f t="shared" si="27"/>
        <v>0</v>
      </c>
    </row>
    <row r="83" spans="1:36">
      <c r="A83" s="6">
        <v>46131</v>
      </c>
      <c r="B83" s="7" t="s">
        <v>33</v>
      </c>
      <c r="C83" s="13">
        <v>0.43402777777777779</v>
      </c>
      <c r="D83" s="31">
        <v>3325190296</v>
      </c>
      <c r="E83" s="58" t="s">
        <v>244</v>
      </c>
      <c r="F83" s="31">
        <v>20885456</v>
      </c>
      <c r="G83" s="7" t="s">
        <v>225</v>
      </c>
      <c r="H83" s="61" t="s">
        <v>232</v>
      </c>
      <c r="I83" s="7" t="s">
        <v>85</v>
      </c>
      <c r="J83" s="7" t="s">
        <v>84</v>
      </c>
      <c r="K83" s="60"/>
      <c r="L83" s="7"/>
      <c r="M83" s="7" t="s">
        <v>32</v>
      </c>
      <c r="N83" s="15" t="s">
        <v>136</v>
      </c>
      <c r="O83" s="7" t="s">
        <v>87</v>
      </c>
      <c r="P83" s="7">
        <v>341</v>
      </c>
      <c r="Q83" s="7">
        <v>104</v>
      </c>
      <c r="R83" s="7">
        <v>2</v>
      </c>
      <c r="S83" s="7">
        <v>0</v>
      </c>
      <c r="T83" s="7">
        <v>0</v>
      </c>
      <c r="U83" s="20">
        <f t="shared" si="24"/>
        <v>0.30498533724340177</v>
      </c>
      <c r="V83" s="20">
        <f t="shared" si="25"/>
        <v>1.9230769230769232E-2</v>
      </c>
      <c r="W83" s="7"/>
      <c r="X83" s="7"/>
      <c r="Y83" s="7"/>
      <c r="Z83" s="7"/>
      <c r="AA83" s="7"/>
    </row>
    <row r="84" spans="1:36" ht="7.8" customHeight="1">
      <c r="A84" s="8"/>
      <c r="B84" s="9"/>
      <c r="C84" s="10"/>
      <c r="D84" s="57"/>
      <c r="E84" s="57"/>
      <c r="F84" s="57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1"/>
      <c r="V84" s="11"/>
      <c r="W84" s="10"/>
      <c r="X84" s="10"/>
      <c r="Y84" s="10"/>
      <c r="Z84" s="11"/>
      <c r="AA84" s="12"/>
    </row>
    <row r="85" spans="1:36">
      <c r="A85" s="6">
        <v>46132</v>
      </c>
      <c r="B85" s="7" t="s">
        <v>36</v>
      </c>
      <c r="C85" s="33" t="s">
        <v>89</v>
      </c>
      <c r="D85" s="18">
        <v>1655163</v>
      </c>
      <c r="E85" s="18" t="s">
        <v>79</v>
      </c>
      <c r="F85" s="18">
        <v>20858469</v>
      </c>
      <c r="G85" s="18" t="s">
        <v>80</v>
      </c>
      <c r="H85" s="18" t="s">
        <v>81</v>
      </c>
      <c r="I85" s="18" t="s">
        <v>85</v>
      </c>
      <c r="J85" s="18" t="s">
        <v>84</v>
      </c>
      <c r="K85" s="14"/>
      <c r="L85" s="18"/>
      <c r="M85" s="18" t="s">
        <v>83</v>
      </c>
      <c r="N85" s="19" t="s">
        <v>88</v>
      </c>
      <c r="O85" s="18" t="s">
        <v>87</v>
      </c>
      <c r="P85" s="7">
        <v>378</v>
      </c>
      <c r="Q85" s="7">
        <v>126</v>
      </c>
      <c r="R85" s="7">
        <v>1</v>
      </c>
      <c r="S85" s="7">
        <v>0</v>
      </c>
      <c r="T85" s="7">
        <v>0</v>
      </c>
      <c r="U85" s="20">
        <f>Q85/P85</f>
        <v>0.33333333333333331</v>
      </c>
      <c r="V85" s="20">
        <f>R85/Q85</f>
        <v>7.9365079365079361E-3</v>
      </c>
      <c r="W85" s="7"/>
      <c r="X85" s="7"/>
      <c r="Y85" s="7"/>
      <c r="Z85" s="7"/>
      <c r="AA85" s="7"/>
      <c r="AE85" s="17" t="s">
        <v>125</v>
      </c>
    </row>
    <row r="86" spans="1:36">
      <c r="A86" s="6">
        <v>46132</v>
      </c>
      <c r="B86" s="7" t="s">
        <v>36</v>
      </c>
      <c r="C86" s="33" t="s">
        <v>89</v>
      </c>
      <c r="D86" s="18">
        <v>1655163</v>
      </c>
      <c r="E86" s="18" t="s">
        <v>214</v>
      </c>
      <c r="F86" s="18">
        <v>20884021</v>
      </c>
      <c r="G86" s="18" t="s">
        <v>212</v>
      </c>
      <c r="H86" s="18" t="s">
        <v>213</v>
      </c>
      <c r="I86" s="18" t="s">
        <v>85</v>
      </c>
      <c r="J86" s="18" t="s">
        <v>84</v>
      </c>
      <c r="K86" s="30"/>
      <c r="L86" s="18"/>
      <c r="M86" s="18" t="s">
        <v>83</v>
      </c>
      <c r="N86" s="19" t="s">
        <v>88</v>
      </c>
      <c r="O86" s="18" t="s">
        <v>87</v>
      </c>
      <c r="P86" s="7">
        <v>380</v>
      </c>
      <c r="Q86" s="7">
        <v>77</v>
      </c>
      <c r="R86" s="7">
        <v>2</v>
      </c>
      <c r="S86" s="7">
        <v>0</v>
      </c>
      <c r="T86" s="7">
        <v>0</v>
      </c>
      <c r="U86" s="20">
        <f>Q86/P86</f>
        <v>0.20263157894736841</v>
      </c>
      <c r="V86" s="20">
        <f>R86/Q86</f>
        <v>2.5974025974025976E-2</v>
      </c>
      <c r="W86" s="7"/>
      <c r="X86" s="7"/>
      <c r="Y86" s="7"/>
      <c r="Z86" s="7"/>
      <c r="AA86" s="7"/>
      <c r="AE86" s="17"/>
    </row>
    <row r="87" spans="1:36">
      <c r="A87" s="6">
        <v>46132</v>
      </c>
      <c r="B87" s="7" t="s">
        <v>36</v>
      </c>
      <c r="C87" s="33" t="s">
        <v>89</v>
      </c>
      <c r="D87" s="18">
        <v>1655164</v>
      </c>
      <c r="E87" s="18" t="s">
        <v>91</v>
      </c>
      <c r="F87" s="18">
        <v>20859118</v>
      </c>
      <c r="G87" s="18" t="s">
        <v>90</v>
      </c>
      <c r="H87" s="18" t="s">
        <v>92</v>
      </c>
      <c r="I87" s="18" t="s">
        <v>85</v>
      </c>
      <c r="J87" s="18" t="s">
        <v>84</v>
      </c>
      <c r="K87" s="29"/>
      <c r="L87" s="18"/>
      <c r="M87" s="18" t="s">
        <v>83</v>
      </c>
      <c r="N87" s="19" t="s">
        <v>93</v>
      </c>
      <c r="O87" s="18" t="s">
        <v>87</v>
      </c>
      <c r="P87" s="7">
        <v>6</v>
      </c>
      <c r="Q87" s="7">
        <v>4</v>
      </c>
      <c r="R87" s="7">
        <v>0</v>
      </c>
      <c r="S87" s="7">
        <v>0</v>
      </c>
      <c r="T87" s="7">
        <v>0</v>
      </c>
      <c r="U87" s="20">
        <f t="shared" ref="U87:U94" si="28">Q87/P87</f>
        <v>0.66666666666666663</v>
      </c>
      <c r="V87" s="20">
        <f t="shared" ref="V87:V94" si="29">R87/Q87</f>
        <v>0</v>
      </c>
      <c r="W87" s="7"/>
      <c r="X87" s="7"/>
      <c r="Y87" s="7"/>
      <c r="Z87" s="7"/>
      <c r="AA87" s="7"/>
      <c r="AE87" t="s">
        <v>82</v>
      </c>
      <c r="AF87">
        <v>115</v>
      </c>
      <c r="AG87">
        <v>11</v>
      </c>
      <c r="AH87">
        <v>0</v>
      </c>
      <c r="AI87" s="28">
        <f>AG87/AF87</f>
        <v>9.5652173913043481E-2</v>
      </c>
      <c r="AJ87" s="27">
        <f>AH87/AG87</f>
        <v>0</v>
      </c>
    </row>
    <row r="88" spans="1:36">
      <c r="A88" s="6">
        <v>46132</v>
      </c>
      <c r="B88" s="7" t="s">
        <v>36</v>
      </c>
      <c r="C88" s="33" t="s">
        <v>89</v>
      </c>
      <c r="D88" s="56">
        <v>1655187</v>
      </c>
      <c r="E88" s="56" t="s">
        <v>131</v>
      </c>
      <c r="F88" s="56">
        <v>20865659</v>
      </c>
      <c r="G88" s="18" t="s">
        <v>103</v>
      </c>
      <c r="H88" s="18" t="s">
        <v>133</v>
      </c>
      <c r="I88" s="18" t="s">
        <v>85</v>
      </c>
      <c r="J88" s="18" t="s">
        <v>84</v>
      </c>
      <c r="K88" s="30"/>
      <c r="L88" s="18"/>
      <c r="M88" s="18" t="s">
        <v>83</v>
      </c>
      <c r="N88" s="19" t="s">
        <v>132</v>
      </c>
      <c r="O88" s="18" t="s">
        <v>87</v>
      </c>
      <c r="P88" s="7">
        <v>66</v>
      </c>
      <c r="Q88" s="7">
        <v>63</v>
      </c>
      <c r="R88" s="7">
        <v>1</v>
      </c>
      <c r="S88" s="7">
        <v>0</v>
      </c>
      <c r="T88" s="7">
        <v>0</v>
      </c>
      <c r="U88" s="20">
        <f t="shared" si="28"/>
        <v>0.95454545454545459</v>
      </c>
      <c r="V88" s="20">
        <f t="shared" si="29"/>
        <v>1.5873015873015872E-2</v>
      </c>
      <c r="W88" s="7"/>
      <c r="X88" s="7"/>
      <c r="Y88" s="7"/>
      <c r="Z88" s="7"/>
      <c r="AA88" s="7"/>
      <c r="AI88" s="28"/>
      <c r="AJ88" s="27"/>
    </row>
    <row r="89" spans="1:36">
      <c r="A89" s="6">
        <v>46132</v>
      </c>
      <c r="B89" s="7" t="s">
        <v>36</v>
      </c>
      <c r="C89" s="13">
        <v>0.33333333333333331</v>
      </c>
      <c r="D89" s="31">
        <v>3328582496</v>
      </c>
      <c r="E89" s="7" t="s">
        <v>282</v>
      </c>
      <c r="F89" s="31">
        <v>20896024</v>
      </c>
      <c r="G89" s="7" t="s">
        <v>45</v>
      </c>
      <c r="H89" s="7" t="s">
        <v>50</v>
      </c>
      <c r="I89" s="7" t="s">
        <v>85</v>
      </c>
      <c r="J89" s="7" t="s">
        <v>84</v>
      </c>
      <c r="K89" s="60"/>
      <c r="L89" s="7"/>
      <c r="M89" s="7" t="s">
        <v>27</v>
      </c>
      <c r="N89" s="15" t="s">
        <v>94</v>
      </c>
      <c r="O89" s="7" t="s">
        <v>87</v>
      </c>
      <c r="P89" s="7">
        <v>371</v>
      </c>
      <c r="Q89" s="7">
        <v>166</v>
      </c>
      <c r="R89" s="7">
        <v>0</v>
      </c>
      <c r="S89" s="7">
        <v>0</v>
      </c>
      <c r="T89" s="7">
        <v>0</v>
      </c>
      <c r="U89" s="20">
        <f t="shared" si="28"/>
        <v>0.44743935309973049</v>
      </c>
      <c r="V89" s="20">
        <f t="shared" si="29"/>
        <v>0</v>
      </c>
      <c r="W89" s="7"/>
      <c r="X89" s="7"/>
      <c r="Y89" s="7"/>
      <c r="Z89" s="7"/>
      <c r="AA89" s="7"/>
      <c r="AE89" t="s">
        <v>28</v>
      </c>
      <c r="AF89">
        <v>117</v>
      </c>
      <c r="AG89">
        <v>20</v>
      </c>
      <c r="AH89">
        <v>0</v>
      </c>
      <c r="AI89" s="27">
        <f t="shared" ref="AI89:AI93" si="30">AG89/AF89</f>
        <v>0.17094017094017094</v>
      </c>
      <c r="AJ89" s="27">
        <f t="shared" ref="AJ89:AJ93" si="31">AH89/AG89</f>
        <v>0</v>
      </c>
    </row>
    <row r="90" spans="1:36">
      <c r="A90" s="6">
        <v>46132</v>
      </c>
      <c r="B90" s="7" t="s">
        <v>36</v>
      </c>
      <c r="C90" s="13">
        <v>0.38541666666666669</v>
      </c>
      <c r="D90" s="31">
        <v>3328582499</v>
      </c>
      <c r="E90" s="7" t="s">
        <v>283</v>
      </c>
      <c r="F90" s="31">
        <v>20896026</v>
      </c>
      <c r="G90" s="7" t="s">
        <v>46</v>
      </c>
      <c r="H90" t="s">
        <v>53</v>
      </c>
      <c r="I90" s="7" t="s">
        <v>85</v>
      </c>
      <c r="J90" s="7" t="s">
        <v>84</v>
      </c>
      <c r="K90" s="60"/>
      <c r="L90" s="7"/>
      <c r="M90" s="7" t="s">
        <v>28</v>
      </c>
      <c r="N90" s="15" t="s">
        <v>95</v>
      </c>
      <c r="O90" s="7" t="s">
        <v>87</v>
      </c>
      <c r="P90" s="7">
        <v>411</v>
      </c>
      <c r="Q90" s="7">
        <v>200</v>
      </c>
      <c r="R90" s="7">
        <v>4</v>
      </c>
      <c r="S90" s="7">
        <v>1</v>
      </c>
      <c r="T90" s="7">
        <v>0</v>
      </c>
      <c r="U90" s="20">
        <f t="shared" si="28"/>
        <v>0.48661800486618007</v>
      </c>
      <c r="V90" s="20">
        <f t="shared" si="29"/>
        <v>0.02</v>
      </c>
      <c r="W90" s="7"/>
      <c r="X90" s="7"/>
      <c r="Y90" s="7"/>
      <c r="Z90" s="7"/>
      <c r="AA90" s="7"/>
      <c r="AE90" t="s">
        <v>126</v>
      </c>
      <c r="AF90">
        <v>118</v>
      </c>
      <c r="AG90">
        <v>25</v>
      </c>
      <c r="AH90">
        <v>1</v>
      </c>
      <c r="AI90" s="27">
        <f t="shared" si="30"/>
        <v>0.21186440677966101</v>
      </c>
      <c r="AJ90" s="27">
        <f t="shared" si="31"/>
        <v>0.04</v>
      </c>
    </row>
    <row r="91" spans="1:36">
      <c r="A91" s="6">
        <v>46132</v>
      </c>
      <c r="B91" s="7" t="s">
        <v>36</v>
      </c>
      <c r="C91" s="13">
        <v>0.39583333333333331</v>
      </c>
      <c r="D91" s="31">
        <v>3328582502</v>
      </c>
      <c r="E91" s="7" t="s">
        <v>284</v>
      </c>
      <c r="F91" s="31">
        <v>20896028</v>
      </c>
      <c r="G91" s="7" t="s">
        <v>47</v>
      </c>
      <c r="H91" s="7" t="s">
        <v>55</v>
      </c>
      <c r="I91" s="7" t="s">
        <v>85</v>
      </c>
      <c r="J91" s="7" t="s">
        <v>84</v>
      </c>
      <c r="K91" s="60"/>
      <c r="L91" s="7"/>
      <c r="M91" s="7" t="s">
        <v>29</v>
      </c>
      <c r="N91" s="15" t="s">
        <v>96</v>
      </c>
      <c r="O91" s="7" t="s">
        <v>87</v>
      </c>
      <c r="P91" s="7">
        <v>294</v>
      </c>
      <c r="Q91" s="7">
        <v>125</v>
      </c>
      <c r="R91" s="7">
        <v>0</v>
      </c>
      <c r="S91" s="7">
        <v>0</v>
      </c>
      <c r="T91" s="7">
        <v>0</v>
      </c>
      <c r="U91" s="20">
        <f t="shared" si="28"/>
        <v>0.42517006802721086</v>
      </c>
      <c r="V91" s="20">
        <f t="shared" si="29"/>
        <v>0</v>
      </c>
      <c r="W91" s="7"/>
      <c r="X91" s="7"/>
      <c r="Y91" s="7"/>
      <c r="Z91" s="7"/>
      <c r="AA91" s="7"/>
      <c r="AE91" t="s">
        <v>30</v>
      </c>
      <c r="AF91">
        <v>124</v>
      </c>
      <c r="AG91">
        <v>11</v>
      </c>
      <c r="AH91">
        <v>1</v>
      </c>
      <c r="AI91" s="28">
        <f t="shared" si="30"/>
        <v>8.8709677419354843E-2</v>
      </c>
      <c r="AJ91" s="27">
        <f t="shared" si="31"/>
        <v>9.0909090909090912E-2</v>
      </c>
    </row>
    <row r="92" spans="1:36">
      <c r="A92" s="6">
        <v>46132</v>
      </c>
      <c r="B92" s="7" t="s">
        <v>36</v>
      </c>
      <c r="C92" s="13">
        <v>0.40625</v>
      </c>
      <c r="D92" s="31">
        <v>3328582505</v>
      </c>
      <c r="E92" s="7" t="s">
        <v>285</v>
      </c>
      <c r="F92" s="31">
        <v>20896029</v>
      </c>
      <c r="G92" s="7" t="s">
        <v>57</v>
      </c>
      <c r="H92" t="s">
        <v>58</v>
      </c>
      <c r="I92" s="7" t="s">
        <v>85</v>
      </c>
      <c r="J92" s="7" t="s">
        <v>84</v>
      </c>
      <c r="K92" s="60"/>
      <c r="L92" s="7"/>
      <c r="M92" s="7" t="s">
        <v>30</v>
      </c>
      <c r="N92" s="15" t="s">
        <v>134</v>
      </c>
      <c r="O92" s="7" t="s">
        <v>87</v>
      </c>
      <c r="P92" s="7">
        <v>328</v>
      </c>
      <c r="Q92" s="7">
        <v>75</v>
      </c>
      <c r="R92" s="7">
        <v>1</v>
      </c>
      <c r="S92" s="7">
        <v>0</v>
      </c>
      <c r="T92" s="7">
        <v>0</v>
      </c>
      <c r="U92" s="20">
        <f t="shared" si="28"/>
        <v>0.22865853658536586</v>
      </c>
      <c r="V92" s="20">
        <f t="shared" si="29"/>
        <v>1.3333333333333334E-2</v>
      </c>
      <c r="W92" s="7"/>
      <c r="X92" s="7"/>
      <c r="Y92" s="7"/>
      <c r="Z92" s="7"/>
      <c r="AA92" s="7"/>
      <c r="AE92" t="s">
        <v>127</v>
      </c>
      <c r="AF92">
        <v>114</v>
      </c>
      <c r="AG92">
        <v>31</v>
      </c>
      <c r="AH92">
        <v>0</v>
      </c>
      <c r="AI92" s="27">
        <f t="shared" si="30"/>
        <v>0.27192982456140352</v>
      </c>
      <c r="AJ92" s="27">
        <f t="shared" si="31"/>
        <v>0</v>
      </c>
    </row>
    <row r="93" spans="1:36">
      <c r="A93" s="6">
        <v>46132</v>
      </c>
      <c r="B93" s="7" t="s">
        <v>36</v>
      </c>
      <c r="C93" s="13">
        <v>0.4201388888888889</v>
      </c>
      <c r="D93" s="31">
        <v>3328582506</v>
      </c>
      <c r="E93" s="7" t="s">
        <v>286</v>
      </c>
      <c r="F93" s="31">
        <v>20896030</v>
      </c>
      <c r="G93" s="7" t="s">
        <v>48</v>
      </c>
      <c r="H93" s="7" t="s">
        <v>60</v>
      </c>
      <c r="I93" s="7" t="s">
        <v>85</v>
      </c>
      <c r="J93" s="7" t="s">
        <v>84</v>
      </c>
      <c r="K93" s="60"/>
      <c r="L93" s="7"/>
      <c r="M93" s="7" t="s">
        <v>31</v>
      </c>
      <c r="N93" s="15" t="s">
        <v>135</v>
      </c>
      <c r="O93" s="7" t="s">
        <v>87</v>
      </c>
      <c r="P93" s="7">
        <v>402</v>
      </c>
      <c r="Q93" s="7">
        <v>128</v>
      </c>
      <c r="R93" s="7">
        <v>1</v>
      </c>
      <c r="S93" s="7">
        <v>0</v>
      </c>
      <c r="T93" s="7">
        <v>0</v>
      </c>
      <c r="U93" s="20">
        <f t="shared" si="28"/>
        <v>0.31840796019900497</v>
      </c>
      <c r="V93" s="20">
        <f t="shared" si="29"/>
        <v>7.8125E-3</v>
      </c>
      <c r="W93" s="7"/>
      <c r="X93" s="7"/>
      <c r="Y93" s="7"/>
      <c r="Z93" s="7"/>
      <c r="AA93" s="7"/>
      <c r="AE93" t="s">
        <v>128</v>
      </c>
      <c r="AF93">
        <v>119</v>
      </c>
      <c r="AG93">
        <v>14</v>
      </c>
      <c r="AH93">
        <v>0</v>
      </c>
      <c r="AI93" s="28">
        <f t="shared" si="30"/>
        <v>0.11764705882352941</v>
      </c>
      <c r="AJ93" s="27">
        <f t="shared" si="31"/>
        <v>0</v>
      </c>
    </row>
    <row r="94" spans="1:36">
      <c r="A94" s="6">
        <v>46132</v>
      </c>
      <c r="B94" s="7" t="s">
        <v>36</v>
      </c>
      <c r="C94" s="13">
        <v>0.43402777777777779</v>
      </c>
      <c r="D94" s="31">
        <v>3328582507</v>
      </c>
      <c r="E94" s="7" t="s">
        <v>287</v>
      </c>
      <c r="F94" s="31">
        <v>20896031</v>
      </c>
      <c r="G94" s="7" t="s">
        <v>49</v>
      </c>
      <c r="H94" t="s">
        <v>62</v>
      </c>
      <c r="I94" s="7" t="s">
        <v>85</v>
      </c>
      <c r="J94" s="7" t="s">
        <v>84</v>
      </c>
      <c r="K94" s="60"/>
      <c r="L94" s="7"/>
      <c r="M94" s="7" t="s">
        <v>32</v>
      </c>
      <c r="N94" s="15" t="s">
        <v>136</v>
      </c>
      <c r="O94" s="7" t="s">
        <v>87</v>
      </c>
      <c r="P94" s="7">
        <v>305</v>
      </c>
      <c r="Q94" s="7">
        <v>107</v>
      </c>
      <c r="R94" s="7">
        <v>2</v>
      </c>
      <c r="S94" s="7">
        <v>0</v>
      </c>
      <c r="T94" s="7">
        <v>0</v>
      </c>
      <c r="U94" s="20">
        <f t="shared" si="28"/>
        <v>0.35081967213114756</v>
      </c>
      <c r="V94" s="20">
        <f t="shared" si="29"/>
        <v>1.8691588785046728E-2</v>
      </c>
      <c r="W94" s="7"/>
      <c r="X94" s="7"/>
      <c r="Y94" s="7"/>
      <c r="Z94" s="7"/>
      <c r="AA94" s="7"/>
    </row>
    <row r="95" spans="1:36" ht="7.8" customHeight="1">
      <c r="A95" s="8"/>
      <c r="B95" s="9"/>
      <c r="C95" s="10"/>
      <c r="D95" s="57"/>
      <c r="E95" s="57"/>
      <c r="F95" s="57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1"/>
      <c r="V95" s="11"/>
      <c r="W95" s="10"/>
      <c r="X95" s="10"/>
      <c r="Y95" s="10"/>
      <c r="Z95" s="11"/>
      <c r="AA95" s="12"/>
    </row>
    <row r="96" spans="1:36">
      <c r="A96" s="6">
        <v>46133</v>
      </c>
      <c r="B96" s="7" t="s">
        <v>78</v>
      </c>
      <c r="C96" s="33" t="s">
        <v>89</v>
      </c>
      <c r="D96" s="18">
        <v>1655163</v>
      </c>
      <c r="E96" s="18" t="s">
        <v>79</v>
      </c>
      <c r="F96" s="18">
        <v>20858469</v>
      </c>
      <c r="G96" s="18" t="s">
        <v>80</v>
      </c>
      <c r="H96" s="18" t="s">
        <v>81</v>
      </c>
      <c r="I96" s="18" t="s">
        <v>85</v>
      </c>
      <c r="J96" s="18" t="s">
        <v>84</v>
      </c>
      <c r="K96" s="14"/>
      <c r="L96" s="18"/>
      <c r="M96" s="18" t="s">
        <v>83</v>
      </c>
      <c r="N96" s="19" t="s">
        <v>88</v>
      </c>
      <c r="O96" s="18" t="s">
        <v>87</v>
      </c>
      <c r="P96" s="7">
        <v>379</v>
      </c>
      <c r="Q96" s="7">
        <v>107</v>
      </c>
      <c r="R96" s="7">
        <v>1</v>
      </c>
      <c r="S96" s="7">
        <v>0</v>
      </c>
      <c r="T96" s="7">
        <v>0</v>
      </c>
      <c r="U96" s="20">
        <f>Q96/P96</f>
        <v>0.28232189973614774</v>
      </c>
      <c r="V96" s="20">
        <f>R96/Q96</f>
        <v>9.3457943925233638E-3</v>
      </c>
      <c r="W96" s="7"/>
      <c r="X96" s="7"/>
      <c r="Y96" s="7"/>
      <c r="Z96" s="7"/>
      <c r="AA96" s="7"/>
      <c r="AE96" s="17" t="s">
        <v>125</v>
      </c>
    </row>
    <row r="97" spans="1:36">
      <c r="A97" s="6">
        <v>46133</v>
      </c>
      <c r="B97" s="7" t="s">
        <v>78</v>
      </c>
      <c r="C97" s="33" t="s">
        <v>89</v>
      </c>
      <c r="D97" s="18">
        <v>1655163</v>
      </c>
      <c r="E97" s="18" t="s">
        <v>214</v>
      </c>
      <c r="F97" s="18">
        <v>20884021</v>
      </c>
      <c r="G97" s="18" t="s">
        <v>212</v>
      </c>
      <c r="H97" s="18" t="s">
        <v>213</v>
      </c>
      <c r="I97" s="18" t="s">
        <v>85</v>
      </c>
      <c r="J97" s="18" t="s">
        <v>84</v>
      </c>
      <c r="K97" s="30"/>
      <c r="L97" s="18"/>
      <c r="M97" s="18" t="s">
        <v>83</v>
      </c>
      <c r="N97" s="19" t="s">
        <v>88</v>
      </c>
      <c r="O97" s="18" t="s">
        <v>87</v>
      </c>
      <c r="P97" s="7">
        <v>374</v>
      </c>
      <c r="Q97" s="7">
        <v>90</v>
      </c>
      <c r="R97" s="7">
        <v>5</v>
      </c>
      <c r="S97" s="7">
        <v>0</v>
      </c>
      <c r="T97" s="7">
        <v>0</v>
      </c>
      <c r="U97" s="20">
        <f>Q97/P97</f>
        <v>0.24064171122994651</v>
      </c>
      <c r="V97" s="20">
        <f>R97/Q97</f>
        <v>5.5555555555555552E-2</v>
      </c>
      <c r="W97" s="7"/>
      <c r="X97" s="7"/>
      <c r="Y97" s="7"/>
      <c r="Z97" s="7"/>
      <c r="AA97" s="7"/>
      <c r="AE97" s="17"/>
    </row>
    <row r="98" spans="1:36">
      <c r="A98" s="6">
        <v>46133</v>
      </c>
      <c r="B98" s="7" t="s">
        <v>78</v>
      </c>
      <c r="C98" s="33" t="s">
        <v>89</v>
      </c>
      <c r="D98" s="18">
        <v>1655164</v>
      </c>
      <c r="E98" s="18" t="s">
        <v>91</v>
      </c>
      <c r="F98" s="18">
        <v>20859118</v>
      </c>
      <c r="G98" s="18" t="s">
        <v>90</v>
      </c>
      <c r="H98" s="18" t="s">
        <v>92</v>
      </c>
      <c r="I98" s="18" t="s">
        <v>85</v>
      </c>
      <c r="J98" s="18" t="s">
        <v>84</v>
      </c>
      <c r="K98" s="29"/>
      <c r="L98" s="18"/>
      <c r="M98" s="18" t="s">
        <v>83</v>
      </c>
      <c r="N98" s="19" t="s">
        <v>93</v>
      </c>
      <c r="O98" s="18" t="s">
        <v>87</v>
      </c>
      <c r="P98" s="7">
        <v>9</v>
      </c>
      <c r="Q98" s="7">
        <v>7</v>
      </c>
      <c r="R98" s="7">
        <v>0</v>
      </c>
      <c r="S98" s="7">
        <v>0</v>
      </c>
      <c r="T98" s="7">
        <v>0</v>
      </c>
      <c r="U98" s="20">
        <f t="shared" ref="U98:U105" si="32">Q98/P98</f>
        <v>0.77777777777777779</v>
      </c>
      <c r="V98" s="20">
        <f t="shared" ref="V98:V105" si="33">R98/Q98</f>
        <v>0</v>
      </c>
      <c r="W98" s="7"/>
      <c r="X98" s="7"/>
      <c r="Y98" s="7"/>
      <c r="Z98" s="7"/>
      <c r="AA98" s="7"/>
      <c r="AE98" t="s">
        <v>82</v>
      </c>
      <c r="AF98">
        <v>115</v>
      </c>
      <c r="AG98">
        <v>11</v>
      </c>
      <c r="AH98">
        <v>0</v>
      </c>
      <c r="AI98" s="28">
        <f>AG98/AF98</f>
        <v>9.5652173913043481E-2</v>
      </c>
      <c r="AJ98" s="27">
        <f>AH98/AG98</f>
        <v>0</v>
      </c>
    </row>
    <row r="99" spans="1:36">
      <c r="A99" s="6">
        <v>46133</v>
      </c>
      <c r="B99" s="7" t="s">
        <v>78</v>
      </c>
      <c r="C99" s="33" t="s">
        <v>89</v>
      </c>
      <c r="D99" s="56">
        <v>1655187</v>
      </c>
      <c r="E99" s="56" t="s">
        <v>131</v>
      </c>
      <c r="F99" s="56">
        <v>20865659</v>
      </c>
      <c r="G99" s="18" t="s">
        <v>103</v>
      </c>
      <c r="H99" s="18" t="s">
        <v>133</v>
      </c>
      <c r="I99" s="18" t="s">
        <v>85</v>
      </c>
      <c r="J99" s="18" t="s">
        <v>84</v>
      </c>
      <c r="K99" s="30"/>
      <c r="L99" s="18"/>
      <c r="M99" s="18" t="s">
        <v>83</v>
      </c>
      <c r="N99" s="19" t="s">
        <v>132</v>
      </c>
      <c r="O99" s="18" t="s">
        <v>87</v>
      </c>
      <c r="P99" s="7">
        <v>94</v>
      </c>
      <c r="Q99" s="7">
        <v>91</v>
      </c>
      <c r="R99" s="7">
        <v>2</v>
      </c>
      <c r="S99" s="7">
        <v>0</v>
      </c>
      <c r="T99" s="7">
        <v>0</v>
      </c>
      <c r="U99" s="20">
        <f t="shared" si="32"/>
        <v>0.96808510638297873</v>
      </c>
      <c r="V99" s="20">
        <f t="shared" si="33"/>
        <v>2.197802197802198E-2</v>
      </c>
      <c r="W99" s="7"/>
      <c r="X99" s="7"/>
      <c r="Y99" s="7"/>
      <c r="Z99" s="7"/>
      <c r="AA99" s="7"/>
      <c r="AI99" s="28"/>
      <c r="AJ99" s="27"/>
    </row>
    <row r="100" spans="1:36">
      <c r="A100" s="6">
        <v>46133</v>
      </c>
      <c r="B100" s="7" t="s">
        <v>78</v>
      </c>
      <c r="C100" s="13">
        <v>0.33333333333333331</v>
      </c>
      <c r="D100" s="31">
        <v>3329593153</v>
      </c>
      <c r="E100" s="70" t="s">
        <v>317</v>
      </c>
      <c r="F100" s="31">
        <v>20901448</v>
      </c>
      <c r="G100" s="31" t="s">
        <v>221</v>
      </c>
      <c r="H100" s="31" t="s">
        <v>226</v>
      </c>
      <c r="I100" s="31" t="s">
        <v>85</v>
      </c>
      <c r="J100" s="7" t="s">
        <v>84</v>
      </c>
      <c r="K100" s="60">
        <v>0.88500000000000001</v>
      </c>
      <c r="L100" s="7"/>
      <c r="M100" s="7" t="s">
        <v>27</v>
      </c>
      <c r="N100" s="15" t="s">
        <v>94</v>
      </c>
      <c r="O100" s="7" t="s">
        <v>87</v>
      </c>
      <c r="P100" s="7">
        <v>442</v>
      </c>
      <c r="Q100" s="7">
        <v>185</v>
      </c>
      <c r="R100" s="7">
        <v>2</v>
      </c>
      <c r="S100" s="7">
        <v>0</v>
      </c>
      <c r="T100" s="7">
        <v>0</v>
      </c>
      <c r="U100" s="20">
        <f t="shared" si="32"/>
        <v>0.41855203619909503</v>
      </c>
      <c r="V100" s="20">
        <f t="shared" si="33"/>
        <v>1.0810810810810811E-2</v>
      </c>
      <c r="W100" s="7"/>
      <c r="X100" s="7"/>
      <c r="Y100" s="7"/>
      <c r="Z100" s="7"/>
      <c r="AA100" s="7"/>
      <c r="AE100" t="s">
        <v>28</v>
      </c>
      <c r="AF100">
        <v>117</v>
      </c>
      <c r="AG100">
        <v>20</v>
      </c>
      <c r="AH100">
        <v>0</v>
      </c>
      <c r="AI100" s="27">
        <f t="shared" ref="AI100:AI104" si="34">AG100/AF100</f>
        <v>0.17094017094017094</v>
      </c>
      <c r="AJ100" s="27">
        <f t="shared" ref="AJ100:AJ104" si="35">AH100/AG100</f>
        <v>0</v>
      </c>
    </row>
    <row r="101" spans="1:36">
      <c r="A101" s="6">
        <v>46133</v>
      </c>
      <c r="B101" s="7" t="s">
        <v>78</v>
      </c>
      <c r="C101" s="13">
        <v>0.38541666666666669</v>
      </c>
      <c r="D101" s="31">
        <v>3329593151</v>
      </c>
      <c r="E101" s="70" t="s">
        <v>318</v>
      </c>
      <c r="F101" s="31">
        <v>20901447</v>
      </c>
      <c r="G101" s="31" t="s">
        <v>222</v>
      </c>
      <c r="H101" s="71" t="s">
        <v>227</v>
      </c>
      <c r="I101" s="31" t="s">
        <v>85</v>
      </c>
      <c r="J101" s="7" t="s">
        <v>84</v>
      </c>
      <c r="K101" s="60">
        <v>1.4159999999999999</v>
      </c>
      <c r="L101" s="7"/>
      <c r="M101" s="7" t="s">
        <v>28</v>
      </c>
      <c r="N101" s="15" t="s">
        <v>95</v>
      </c>
      <c r="O101" s="7" t="s">
        <v>87</v>
      </c>
      <c r="P101" s="7">
        <v>463</v>
      </c>
      <c r="Q101" s="7">
        <v>262</v>
      </c>
      <c r="R101" s="7">
        <v>1</v>
      </c>
      <c r="S101" s="7">
        <v>0</v>
      </c>
      <c r="T101" s="7">
        <v>0</v>
      </c>
      <c r="U101" s="20">
        <f t="shared" si="32"/>
        <v>0.56587473002159827</v>
      </c>
      <c r="V101" s="20">
        <f t="shared" si="33"/>
        <v>3.8167938931297708E-3</v>
      </c>
      <c r="W101" s="7"/>
      <c r="X101" s="7"/>
      <c r="Y101" s="7"/>
      <c r="Z101" s="7"/>
      <c r="AA101" s="7"/>
      <c r="AE101" t="s">
        <v>126</v>
      </c>
      <c r="AF101">
        <v>118</v>
      </c>
      <c r="AG101">
        <v>25</v>
      </c>
      <c r="AH101">
        <v>1</v>
      </c>
      <c r="AI101" s="27">
        <f t="shared" si="34"/>
        <v>0.21186440677966101</v>
      </c>
      <c r="AJ101" s="27">
        <f t="shared" si="35"/>
        <v>0.04</v>
      </c>
    </row>
    <row r="102" spans="1:36">
      <c r="A102" s="6">
        <v>46133</v>
      </c>
      <c r="B102" s="7" t="s">
        <v>78</v>
      </c>
      <c r="C102" s="13">
        <v>0.39583333333333331</v>
      </c>
      <c r="D102" s="31">
        <v>3329593251</v>
      </c>
      <c r="E102" s="70" t="s">
        <v>319</v>
      </c>
      <c r="F102" s="31">
        <v>20901450</v>
      </c>
      <c r="G102" s="31" t="s">
        <v>46</v>
      </c>
      <c r="H102" s="31" t="s">
        <v>229</v>
      </c>
      <c r="I102" s="31" t="s">
        <v>85</v>
      </c>
      <c r="J102" s="7" t="s">
        <v>84</v>
      </c>
      <c r="K102" s="60">
        <v>0</v>
      </c>
      <c r="L102" s="7"/>
      <c r="M102" s="7" t="s">
        <v>29</v>
      </c>
      <c r="N102" s="15" t="s">
        <v>96</v>
      </c>
      <c r="O102" s="7" t="s">
        <v>87</v>
      </c>
      <c r="P102" s="7">
        <v>356</v>
      </c>
      <c r="Q102" s="7">
        <v>178</v>
      </c>
      <c r="R102" s="7">
        <v>0</v>
      </c>
      <c r="S102" s="7">
        <v>0</v>
      </c>
      <c r="T102" s="7">
        <v>0</v>
      </c>
      <c r="U102" s="20">
        <f t="shared" si="32"/>
        <v>0.5</v>
      </c>
      <c r="V102" s="20">
        <f t="shared" si="33"/>
        <v>0</v>
      </c>
      <c r="W102" s="7"/>
      <c r="X102" s="7"/>
      <c r="Y102" s="7"/>
      <c r="Z102" s="7"/>
      <c r="AA102" s="7"/>
      <c r="AE102" t="s">
        <v>30</v>
      </c>
      <c r="AF102">
        <v>124</v>
      </c>
      <c r="AG102">
        <v>11</v>
      </c>
      <c r="AH102">
        <v>1</v>
      </c>
      <c r="AI102" s="28">
        <f t="shared" si="34"/>
        <v>8.8709677419354843E-2</v>
      </c>
      <c r="AJ102" s="27">
        <f t="shared" si="35"/>
        <v>9.0909090909090912E-2</v>
      </c>
    </row>
    <row r="103" spans="1:36">
      <c r="A103" s="6">
        <v>46133</v>
      </c>
      <c r="B103" s="7" t="s">
        <v>78</v>
      </c>
      <c r="C103" s="13">
        <v>0.40625</v>
      </c>
      <c r="D103" s="31">
        <v>3329593548</v>
      </c>
      <c r="E103" s="70" t="s">
        <v>320</v>
      </c>
      <c r="F103" s="31">
        <v>20901452</v>
      </c>
      <c r="G103" s="31" t="s">
        <v>223</v>
      </c>
      <c r="H103" s="72" t="s">
        <v>230</v>
      </c>
      <c r="I103" s="31" t="s">
        <v>85</v>
      </c>
      <c r="J103" s="7" t="s">
        <v>84</v>
      </c>
      <c r="K103" s="60">
        <v>0.64900000000000002</v>
      </c>
      <c r="L103" s="7"/>
      <c r="M103" s="7" t="s">
        <v>30</v>
      </c>
      <c r="N103" s="15" t="s">
        <v>134</v>
      </c>
      <c r="O103" s="7" t="s">
        <v>87</v>
      </c>
      <c r="P103" s="7">
        <v>417</v>
      </c>
      <c r="Q103" s="7">
        <v>211</v>
      </c>
      <c r="R103" s="7">
        <v>3</v>
      </c>
      <c r="S103" s="7">
        <v>1</v>
      </c>
      <c r="T103" s="7">
        <v>0</v>
      </c>
      <c r="U103" s="20">
        <f t="shared" si="32"/>
        <v>0.50599520383693042</v>
      </c>
      <c r="V103" s="20">
        <f t="shared" si="33"/>
        <v>1.4218009478672985E-2</v>
      </c>
      <c r="W103" s="7"/>
      <c r="X103" s="7"/>
      <c r="Y103" s="7"/>
      <c r="Z103" s="7"/>
      <c r="AA103" s="7"/>
      <c r="AE103" t="s">
        <v>127</v>
      </c>
      <c r="AF103">
        <v>114</v>
      </c>
      <c r="AG103">
        <v>31</v>
      </c>
      <c r="AH103">
        <v>0</v>
      </c>
      <c r="AI103" s="27">
        <f t="shared" si="34"/>
        <v>0.27192982456140352</v>
      </c>
      <c r="AJ103" s="27">
        <f t="shared" si="35"/>
        <v>0</v>
      </c>
    </row>
    <row r="104" spans="1:36">
      <c r="A104" s="6">
        <v>46133</v>
      </c>
      <c r="B104" s="7" t="s">
        <v>78</v>
      </c>
      <c r="C104" s="13">
        <v>0.4201388888888889</v>
      </c>
      <c r="D104" s="31">
        <v>3329593713</v>
      </c>
      <c r="E104" s="70" t="s">
        <v>321</v>
      </c>
      <c r="F104" s="31">
        <v>20901454</v>
      </c>
      <c r="G104" s="31" t="s">
        <v>224</v>
      </c>
      <c r="H104" s="31" t="s">
        <v>231</v>
      </c>
      <c r="I104" s="31" t="s">
        <v>85</v>
      </c>
      <c r="J104" s="7" t="s">
        <v>84</v>
      </c>
      <c r="K104" s="60">
        <v>0.29499999999999998</v>
      </c>
      <c r="L104" s="7"/>
      <c r="M104" s="7" t="s">
        <v>31</v>
      </c>
      <c r="N104" s="15" t="s">
        <v>135</v>
      </c>
      <c r="O104" s="7" t="s">
        <v>87</v>
      </c>
      <c r="P104" s="7">
        <v>479</v>
      </c>
      <c r="Q104" s="7">
        <v>201</v>
      </c>
      <c r="R104" s="7">
        <v>0</v>
      </c>
      <c r="S104" s="7">
        <v>0</v>
      </c>
      <c r="T104" s="7">
        <v>0</v>
      </c>
      <c r="U104" s="20">
        <f t="shared" si="32"/>
        <v>0.41962421711899789</v>
      </c>
      <c r="V104" s="20">
        <f t="shared" si="33"/>
        <v>0</v>
      </c>
      <c r="W104" s="7"/>
      <c r="X104" s="7"/>
      <c r="Y104" s="7"/>
      <c r="Z104" s="7"/>
      <c r="AA104" s="7"/>
      <c r="AE104" t="s">
        <v>128</v>
      </c>
      <c r="AF104">
        <v>119</v>
      </c>
      <c r="AG104">
        <v>14</v>
      </c>
      <c r="AH104">
        <v>0</v>
      </c>
      <c r="AI104" s="28">
        <f t="shared" si="34"/>
        <v>0.11764705882352941</v>
      </c>
      <c r="AJ104" s="27">
        <f t="shared" si="35"/>
        <v>0</v>
      </c>
    </row>
    <row r="105" spans="1:36">
      <c r="A105" s="6">
        <v>46133</v>
      </c>
      <c r="B105" s="7" t="s">
        <v>78</v>
      </c>
      <c r="C105" s="13">
        <v>0.43402777777777779</v>
      </c>
      <c r="D105" s="31">
        <v>3329594666</v>
      </c>
      <c r="E105" s="70" t="s">
        <v>322</v>
      </c>
      <c r="F105" s="31">
        <v>20901456</v>
      </c>
      <c r="G105" s="31" t="s">
        <v>225</v>
      </c>
      <c r="H105" s="73" t="s">
        <v>232</v>
      </c>
      <c r="I105" s="31" t="s">
        <v>85</v>
      </c>
      <c r="J105" s="7" t="s">
        <v>84</v>
      </c>
      <c r="K105" s="60">
        <v>5.1920000000000002</v>
      </c>
      <c r="L105" s="7"/>
      <c r="M105" s="7" t="s">
        <v>32</v>
      </c>
      <c r="N105" s="15" t="s">
        <v>136</v>
      </c>
      <c r="O105" s="7" t="s">
        <v>87</v>
      </c>
      <c r="P105" s="7">
        <v>439</v>
      </c>
      <c r="Q105" s="7">
        <v>125</v>
      </c>
      <c r="R105" s="7">
        <v>0</v>
      </c>
      <c r="S105" s="7">
        <v>0</v>
      </c>
      <c r="T105" s="7">
        <v>0</v>
      </c>
      <c r="U105" s="20">
        <f t="shared" si="32"/>
        <v>0.2847380410022779</v>
      </c>
      <c r="V105" s="20">
        <f t="shared" si="33"/>
        <v>0</v>
      </c>
      <c r="W105" s="7"/>
      <c r="X105" s="7"/>
      <c r="Y105" s="7"/>
      <c r="Z105" s="7"/>
      <c r="AA105" s="7"/>
    </row>
    <row r="106" spans="1:36" ht="7.8" customHeight="1">
      <c r="A106" s="8"/>
      <c r="B106" s="9"/>
      <c r="C106" s="10"/>
      <c r="D106" s="57"/>
      <c r="E106" s="57"/>
      <c r="F106" s="57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1"/>
      <c r="V106" s="11"/>
      <c r="W106" s="10"/>
      <c r="X106" s="10"/>
      <c r="Y106" s="10"/>
      <c r="Z106" s="11"/>
      <c r="AA106" s="12"/>
    </row>
    <row r="107" spans="1:36">
      <c r="A107" s="6">
        <v>46134</v>
      </c>
      <c r="B107" s="7" t="s">
        <v>124</v>
      </c>
      <c r="C107" s="33" t="s">
        <v>89</v>
      </c>
      <c r="D107" s="18">
        <v>1655163</v>
      </c>
      <c r="E107" s="18" t="s">
        <v>79</v>
      </c>
      <c r="F107" s="18">
        <v>20858469</v>
      </c>
      <c r="G107" s="18" t="s">
        <v>80</v>
      </c>
      <c r="H107" s="18" t="s">
        <v>81</v>
      </c>
      <c r="I107" s="18" t="s">
        <v>85</v>
      </c>
      <c r="J107" s="18" t="s">
        <v>84</v>
      </c>
      <c r="K107" s="14"/>
      <c r="L107" s="18"/>
      <c r="M107" s="18" t="s">
        <v>83</v>
      </c>
      <c r="N107" s="19" t="s">
        <v>88</v>
      </c>
      <c r="O107" s="18" t="s">
        <v>87</v>
      </c>
      <c r="P107" s="7">
        <v>377</v>
      </c>
      <c r="Q107" s="7">
        <v>107</v>
      </c>
      <c r="R107" s="7">
        <v>2</v>
      </c>
      <c r="S107" s="7">
        <v>0</v>
      </c>
      <c r="T107" s="7">
        <v>0</v>
      </c>
      <c r="U107" s="20">
        <f>Q107/P107</f>
        <v>0.28381962864721483</v>
      </c>
      <c r="V107" s="20">
        <f>R107/Q107</f>
        <v>1.8691588785046728E-2</v>
      </c>
      <c r="W107" s="7"/>
      <c r="X107" s="7"/>
      <c r="Y107" s="7"/>
      <c r="Z107" s="7"/>
      <c r="AA107" s="7"/>
      <c r="AE107" s="17" t="s">
        <v>125</v>
      </c>
    </row>
    <row r="108" spans="1:36">
      <c r="A108" s="6">
        <v>46134</v>
      </c>
      <c r="B108" s="7" t="s">
        <v>124</v>
      </c>
      <c r="C108" s="33" t="s">
        <v>89</v>
      </c>
      <c r="D108" s="18">
        <v>1655163</v>
      </c>
      <c r="E108" s="18" t="s">
        <v>214</v>
      </c>
      <c r="F108" s="18">
        <v>20884021</v>
      </c>
      <c r="G108" s="18" t="s">
        <v>212</v>
      </c>
      <c r="H108" s="18" t="s">
        <v>213</v>
      </c>
      <c r="I108" s="18" t="s">
        <v>85</v>
      </c>
      <c r="J108" s="18" t="s">
        <v>84</v>
      </c>
      <c r="K108" s="30"/>
      <c r="L108" s="18"/>
      <c r="M108" s="18" t="s">
        <v>83</v>
      </c>
      <c r="N108" s="19" t="s">
        <v>88</v>
      </c>
      <c r="O108" s="18" t="s">
        <v>87</v>
      </c>
      <c r="P108" s="7">
        <v>381</v>
      </c>
      <c r="Q108" s="7">
        <v>92</v>
      </c>
      <c r="R108" s="7">
        <v>3</v>
      </c>
      <c r="S108" s="7">
        <v>0</v>
      </c>
      <c r="T108" s="7">
        <v>0</v>
      </c>
      <c r="U108" s="20">
        <f>Q108/P108</f>
        <v>0.24146981627296588</v>
      </c>
      <c r="V108" s="20">
        <f>R108/Q108</f>
        <v>3.2608695652173912E-2</v>
      </c>
      <c r="W108" s="7"/>
      <c r="X108" s="7"/>
      <c r="Y108" s="7"/>
      <c r="Z108" s="7"/>
      <c r="AA108" s="7"/>
      <c r="AE108" s="17"/>
    </row>
    <row r="109" spans="1:36">
      <c r="A109" s="6">
        <v>46134</v>
      </c>
      <c r="B109" s="7" t="s">
        <v>124</v>
      </c>
      <c r="C109" s="33" t="s">
        <v>89</v>
      </c>
      <c r="D109" s="18">
        <v>1655164</v>
      </c>
      <c r="E109" s="18" t="s">
        <v>91</v>
      </c>
      <c r="F109" s="18">
        <v>20859118</v>
      </c>
      <c r="G109" s="18" t="s">
        <v>90</v>
      </c>
      <c r="H109" s="18" t="s">
        <v>92</v>
      </c>
      <c r="I109" s="18" t="s">
        <v>85</v>
      </c>
      <c r="J109" s="18" t="s">
        <v>84</v>
      </c>
      <c r="K109" s="29"/>
      <c r="L109" s="18"/>
      <c r="M109" s="18" t="s">
        <v>83</v>
      </c>
      <c r="N109" s="19" t="s">
        <v>93</v>
      </c>
      <c r="O109" s="18" t="s">
        <v>87</v>
      </c>
      <c r="P109" s="7">
        <v>18</v>
      </c>
      <c r="Q109" s="7">
        <v>10</v>
      </c>
      <c r="R109" s="7">
        <v>0</v>
      </c>
      <c r="S109" s="7">
        <v>0</v>
      </c>
      <c r="T109" s="7">
        <v>0</v>
      </c>
      <c r="U109" s="20">
        <f t="shared" ref="U109:U116" si="36">Q109/P109</f>
        <v>0.55555555555555558</v>
      </c>
      <c r="V109" s="20">
        <f t="shared" ref="V109:V116" si="37">R109/Q109</f>
        <v>0</v>
      </c>
      <c r="W109" s="7"/>
      <c r="X109" s="7"/>
      <c r="Y109" s="7"/>
      <c r="Z109" s="7"/>
      <c r="AA109" s="7"/>
      <c r="AE109" t="s">
        <v>82</v>
      </c>
      <c r="AF109">
        <v>115</v>
      </c>
      <c r="AG109">
        <v>11</v>
      </c>
      <c r="AH109">
        <v>0</v>
      </c>
      <c r="AI109" s="28">
        <f>AG109/AF109</f>
        <v>9.5652173913043481E-2</v>
      </c>
      <c r="AJ109" s="27">
        <f>AH109/AG109</f>
        <v>0</v>
      </c>
    </row>
    <row r="110" spans="1:36">
      <c r="A110" s="6">
        <v>46134</v>
      </c>
      <c r="B110" s="7" t="s">
        <v>124</v>
      </c>
      <c r="C110" s="33" t="s">
        <v>89</v>
      </c>
      <c r="D110" s="56">
        <v>1655187</v>
      </c>
      <c r="E110" s="56" t="s">
        <v>131</v>
      </c>
      <c r="F110" s="56">
        <v>20865659</v>
      </c>
      <c r="G110" s="18" t="s">
        <v>103</v>
      </c>
      <c r="H110" s="18" t="s">
        <v>133</v>
      </c>
      <c r="I110" s="18" t="s">
        <v>85</v>
      </c>
      <c r="J110" s="18" t="s">
        <v>84</v>
      </c>
      <c r="K110" s="30"/>
      <c r="L110" s="18"/>
      <c r="M110" s="18" t="s">
        <v>83</v>
      </c>
      <c r="N110" s="19" t="s">
        <v>132</v>
      </c>
      <c r="O110" s="18" t="s">
        <v>87</v>
      </c>
      <c r="P110" s="7">
        <v>129</v>
      </c>
      <c r="Q110" s="7">
        <v>126</v>
      </c>
      <c r="R110" s="7">
        <v>1</v>
      </c>
      <c r="S110" s="7">
        <v>0</v>
      </c>
      <c r="T110" s="7">
        <v>0</v>
      </c>
      <c r="U110" s="20">
        <f t="shared" si="36"/>
        <v>0.97674418604651159</v>
      </c>
      <c r="V110" s="20">
        <f t="shared" si="37"/>
        <v>7.9365079365079361E-3</v>
      </c>
      <c r="W110" s="7"/>
      <c r="X110" s="7"/>
      <c r="Y110" s="7"/>
      <c r="Z110" s="7"/>
      <c r="AA110" s="7"/>
      <c r="AI110" s="28"/>
      <c r="AJ110" s="27"/>
    </row>
    <row r="111" spans="1:36">
      <c r="A111" s="6">
        <v>46134</v>
      </c>
      <c r="B111" s="7" t="s">
        <v>124</v>
      </c>
      <c r="C111" s="13">
        <v>0.33333333333333331</v>
      </c>
      <c r="D111" s="7">
        <v>3330847787</v>
      </c>
      <c r="E111" s="7" t="s">
        <v>393</v>
      </c>
      <c r="F111" s="31">
        <v>20911547</v>
      </c>
      <c r="G111" s="7" t="s">
        <v>45</v>
      </c>
      <c r="H111" s="7" t="s">
        <v>50</v>
      </c>
      <c r="I111" s="7" t="s">
        <v>85</v>
      </c>
      <c r="J111" s="7" t="s">
        <v>84</v>
      </c>
      <c r="K111" s="60"/>
      <c r="L111" s="7"/>
      <c r="M111" s="7" t="s">
        <v>27</v>
      </c>
      <c r="N111" s="15" t="s">
        <v>94</v>
      </c>
      <c r="O111" s="7" t="s">
        <v>87</v>
      </c>
      <c r="P111" s="7">
        <v>513</v>
      </c>
      <c r="Q111" s="7">
        <v>223</v>
      </c>
      <c r="R111" s="7">
        <v>0</v>
      </c>
      <c r="S111" s="7">
        <v>0</v>
      </c>
      <c r="T111" s="7">
        <v>0</v>
      </c>
      <c r="U111" s="20">
        <f t="shared" si="36"/>
        <v>0.43469785575048731</v>
      </c>
      <c r="V111" s="20">
        <f t="shared" si="37"/>
        <v>0</v>
      </c>
      <c r="W111" s="7"/>
      <c r="X111" s="7"/>
      <c r="Y111" s="7"/>
      <c r="Z111" s="7"/>
      <c r="AA111" s="7"/>
      <c r="AE111" t="s">
        <v>28</v>
      </c>
      <c r="AF111">
        <v>117</v>
      </c>
      <c r="AG111">
        <v>20</v>
      </c>
      <c r="AH111">
        <v>0</v>
      </c>
      <c r="AI111" s="27">
        <f t="shared" ref="AI111:AI115" si="38">AG111/AF111</f>
        <v>0.17094017094017094</v>
      </c>
      <c r="AJ111" s="27">
        <f t="shared" ref="AJ111:AJ115" si="39">AH111/AG111</f>
        <v>0</v>
      </c>
    </row>
    <row r="112" spans="1:36">
      <c r="A112" s="6">
        <v>46134</v>
      </c>
      <c r="B112" s="7" t="s">
        <v>124</v>
      </c>
      <c r="C112" s="13">
        <v>0.38541666666666669</v>
      </c>
      <c r="D112" s="7">
        <v>3330847817</v>
      </c>
      <c r="E112" s="7" t="s">
        <v>394</v>
      </c>
      <c r="F112" s="31">
        <v>20911548</v>
      </c>
      <c r="G112" s="7" t="s">
        <v>46</v>
      </c>
      <c r="H112" t="s">
        <v>53</v>
      </c>
      <c r="I112" s="7" t="s">
        <v>85</v>
      </c>
      <c r="J112" s="7" t="s">
        <v>84</v>
      </c>
      <c r="K112" s="60"/>
      <c r="L112" s="7"/>
      <c r="M112" s="7" t="s">
        <v>28</v>
      </c>
      <c r="N112" s="15" t="s">
        <v>95</v>
      </c>
      <c r="O112" s="7" t="s">
        <v>87</v>
      </c>
      <c r="P112" s="7">
        <v>513</v>
      </c>
      <c r="Q112" s="7">
        <v>195</v>
      </c>
      <c r="R112" s="7">
        <v>0</v>
      </c>
      <c r="S112" s="7">
        <v>0</v>
      </c>
      <c r="T112" s="7">
        <v>0</v>
      </c>
      <c r="U112" s="20">
        <f t="shared" si="36"/>
        <v>0.38011695906432746</v>
      </c>
      <c r="V112" s="20">
        <f t="shared" si="37"/>
        <v>0</v>
      </c>
      <c r="W112" s="7"/>
      <c r="X112" s="7"/>
      <c r="Y112" s="7"/>
      <c r="Z112" s="7"/>
      <c r="AA112" s="7"/>
      <c r="AE112" t="s">
        <v>126</v>
      </c>
      <c r="AF112">
        <v>118</v>
      </c>
      <c r="AG112">
        <v>25</v>
      </c>
      <c r="AH112">
        <v>1</v>
      </c>
      <c r="AI112" s="27">
        <f t="shared" si="38"/>
        <v>0.21186440677966101</v>
      </c>
      <c r="AJ112" s="27">
        <f t="shared" si="39"/>
        <v>0.04</v>
      </c>
    </row>
    <row r="113" spans="1:36">
      <c r="A113" s="6">
        <v>46134</v>
      </c>
      <c r="B113" s="7" t="s">
        <v>124</v>
      </c>
      <c r="C113" s="13">
        <v>0.39583333333333331</v>
      </c>
      <c r="D113" s="7">
        <v>3330847898</v>
      </c>
      <c r="E113" s="7" t="s">
        <v>395</v>
      </c>
      <c r="F113" s="31">
        <v>20911549</v>
      </c>
      <c r="G113" s="7" t="s">
        <v>47</v>
      </c>
      <c r="H113" s="7" t="s">
        <v>55</v>
      </c>
      <c r="I113" s="7" t="s">
        <v>85</v>
      </c>
      <c r="J113" s="7" t="s">
        <v>84</v>
      </c>
      <c r="K113" s="60"/>
      <c r="L113" s="7"/>
      <c r="M113" s="7" t="s">
        <v>29</v>
      </c>
      <c r="N113" s="15" t="s">
        <v>96</v>
      </c>
      <c r="O113" s="7" t="s">
        <v>87</v>
      </c>
      <c r="P113" s="7">
        <v>449</v>
      </c>
      <c r="Q113" s="7">
        <v>128</v>
      </c>
      <c r="R113" s="7">
        <v>1</v>
      </c>
      <c r="S113" s="7">
        <v>0</v>
      </c>
      <c r="T113" s="7">
        <v>0</v>
      </c>
      <c r="U113" s="20">
        <f t="shared" si="36"/>
        <v>0.28507795100222716</v>
      </c>
      <c r="V113" s="20">
        <f t="shared" si="37"/>
        <v>7.8125E-3</v>
      </c>
      <c r="W113" s="7"/>
      <c r="X113" s="7"/>
      <c r="Y113" s="7"/>
      <c r="Z113" s="7"/>
      <c r="AA113" s="7"/>
      <c r="AE113" t="s">
        <v>30</v>
      </c>
      <c r="AF113">
        <v>124</v>
      </c>
      <c r="AG113">
        <v>11</v>
      </c>
      <c r="AH113">
        <v>1</v>
      </c>
      <c r="AI113" s="28">
        <f t="shared" si="38"/>
        <v>8.8709677419354843E-2</v>
      </c>
      <c r="AJ113" s="27">
        <f t="shared" si="39"/>
        <v>9.0909090909090912E-2</v>
      </c>
    </row>
    <row r="114" spans="1:36">
      <c r="A114" s="6">
        <v>46134</v>
      </c>
      <c r="B114" s="7" t="s">
        <v>124</v>
      </c>
      <c r="C114" s="13">
        <v>0.40625</v>
      </c>
      <c r="D114" s="7">
        <v>3330847985</v>
      </c>
      <c r="E114" s="7" t="s">
        <v>396</v>
      </c>
      <c r="F114" s="31">
        <v>20911550</v>
      </c>
      <c r="G114" s="7" t="s">
        <v>57</v>
      </c>
      <c r="H114" t="s">
        <v>58</v>
      </c>
      <c r="I114" s="7" t="s">
        <v>85</v>
      </c>
      <c r="J114" s="7" t="s">
        <v>84</v>
      </c>
      <c r="K114" s="83"/>
      <c r="L114" s="7"/>
      <c r="M114" s="7" t="s">
        <v>30</v>
      </c>
      <c r="N114" s="15" t="s">
        <v>134</v>
      </c>
      <c r="O114" s="7" t="s">
        <v>87</v>
      </c>
      <c r="P114" s="7">
        <v>524</v>
      </c>
      <c r="Q114" s="7">
        <v>90</v>
      </c>
      <c r="R114" s="7">
        <v>0</v>
      </c>
      <c r="S114" s="7">
        <v>0</v>
      </c>
      <c r="T114" s="7">
        <v>0</v>
      </c>
      <c r="U114" s="20">
        <f t="shared" si="36"/>
        <v>0.1717557251908397</v>
      </c>
      <c r="V114" s="20">
        <f t="shared" si="37"/>
        <v>0</v>
      </c>
      <c r="W114" s="7"/>
      <c r="X114" s="7"/>
      <c r="Y114" s="7"/>
      <c r="Z114" s="7"/>
      <c r="AA114" s="7"/>
      <c r="AE114" t="s">
        <v>127</v>
      </c>
      <c r="AF114">
        <v>114</v>
      </c>
      <c r="AG114">
        <v>31</v>
      </c>
      <c r="AH114">
        <v>0</v>
      </c>
      <c r="AI114" s="27">
        <f t="shared" si="38"/>
        <v>0.27192982456140352</v>
      </c>
      <c r="AJ114" s="27">
        <f t="shared" si="39"/>
        <v>0</v>
      </c>
    </row>
    <row r="115" spans="1:36">
      <c r="A115" s="6">
        <v>46134</v>
      </c>
      <c r="B115" s="7" t="s">
        <v>124</v>
      </c>
      <c r="C115" s="13">
        <v>0.4201388888888889</v>
      </c>
      <c r="D115" s="7">
        <v>3330848138</v>
      </c>
      <c r="E115" s="7" t="s">
        <v>397</v>
      </c>
      <c r="F115" s="31">
        <v>20911551</v>
      </c>
      <c r="G115" s="7" t="s">
        <v>48</v>
      </c>
      <c r="H115" s="7" t="s">
        <v>60</v>
      </c>
      <c r="I115" s="7" t="s">
        <v>85</v>
      </c>
      <c r="J115" s="7" t="s">
        <v>84</v>
      </c>
      <c r="K115" s="60"/>
      <c r="L115" s="7"/>
      <c r="M115" s="7" t="s">
        <v>31</v>
      </c>
      <c r="N115" s="15" t="s">
        <v>135</v>
      </c>
      <c r="O115" s="7" t="s">
        <v>87</v>
      </c>
      <c r="P115" s="7">
        <v>535</v>
      </c>
      <c r="Q115" s="7">
        <v>87</v>
      </c>
      <c r="R115" s="7">
        <v>0</v>
      </c>
      <c r="S115" s="7">
        <v>0</v>
      </c>
      <c r="T115" s="7">
        <v>0</v>
      </c>
      <c r="U115" s="20">
        <f t="shared" si="36"/>
        <v>0.16261682242990655</v>
      </c>
      <c r="V115" s="20">
        <f t="shared" si="37"/>
        <v>0</v>
      </c>
      <c r="W115" s="7"/>
      <c r="X115" s="7"/>
      <c r="Y115" s="7"/>
      <c r="Z115" s="7"/>
      <c r="AA115" s="7"/>
      <c r="AE115" t="s">
        <v>128</v>
      </c>
      <c r="AF115">
        <v>119</v>
      </c>
      <c r="AG115">
        <v>14</v>
      </c>
      <c r="AH115">
        <v>0</v>
      </c>
      <c r="AI115" s="28">
        <f t="shared" si="38"/>
        <v>0.11764705882352941</v>
      </c>
      <c r="AJ115" s="27">
        <f t="shared" si="39"/>
        <v>0</v>
      </c>
    </row>
    <row r="116" spans="1:36">
      <c r="A116" s="6">
        <v>46134</v>
      </c>
      <c r="B116" s="7" t="s">
        <v>124</v>
      </c>
      <c r="C116" s="13">
        <v>0.43402777777777779</v>
      </c>
      <c r="D116" s="7">
        <v>3330848298</v>
      </c>
      <c r="E116" s="7" t="s">
        <v>398</v>
      </c>
      <c r="F116" s="31">
        <v>20911552</v>
      </c>
      <c r="G116" s="7" t="s">
        <v>49</v>
      </c>
      <c r="H116" s="7" t="s">
        <v>62</v>
      </c>
      <c r="I116" s="7" t="s">
        <v>85</v>
      </c>
      <c r="J116" s="7" t="s">
        <v>84</v>
      </c>
      <c r="K116" s="60"/>
      <c r="L116" s="7"/>
      <c r="M116" s="7" t="s">
        <v>32</v>
      </c>
      <c r="N116" s="15" t="s">
        <v>136</v>
      </c>
      <c r="O116" s="7" t="s">
        <v>87</v>
      </c>
      <c r="P116" s="7">
        <v>544</v>
      </c>
      <c r="Q116" s="7">
        <v>68</v>
      </c>
      <c r="R116" s="7">
        <v>1</v>
      </c>
      <c r="S116" s="7">
        <v>0</v>
      </c>
      <c r="T116" s="7">
        <v>0</v>
      </c>
      <c r="U116" s="20">
        <f t="shared" si="36"/>
        <v>0.125</v>
      </c>
      <c r="V116" s="20">
        <f t="shared" si="37"/>
        <v>1.4705882352941176E-2</v>
      </c>
      <c r="W116" s="7"/>
      <c r="X116" s="7"/>
      <c r="Y116" s="7"/>
      <c r="Z116" s="7"/>
      <c r="AA116" s="7"/>
    </row>
    <row r="117" spans="1:36">
      <c r="A117" s="6">
        <v>46134</v>
      </c>
      <c r="B117" s="7" t="s">
        <v>124</v>
      </c>
      <c r="C117" s="13">
        <v>0.45833333333333331</v>
      </c>
      <c r="D117" s="7">
        <v>3331086890</v>
      </c>
      <c r="E117" s="7" t="s">
        <v>424</v>
      </c>
      <c r="F117" s="31">
        <v>20913785</v>
      </c>
      <c r="G117" s="7" t="s">
        <v>425</v>
      </c>
      <c r="H117" s="7" t="s">
        <v>426</v>
      </c>
      <c r="I117" s="7" t="s">
        <v>85</v>
      </c>
      <c r="J117" s="7" t="s">
        <v>84</v>
      </c>
      <c r="K117" s="83"/>
      <c r="L117" s="7"/>
      <c r="M117" s="7" t="s">
        <v>83</v>
      </c>
      <c r="N117" s="15" t="s">
        <v>423</v>
      </c>
      <c r="O117" s="7" t="s">
        <v>87</v>
      </c>
      <c r="P117" s="7">
        <v>113</v>
      </c>
      <c r="Q117" s="7">
        <v>79</v>
      </c>
      <c r="R117" s="7">
        <v>9</v>
      </c>
      <c r="S117" s="7">
        <v>2</v>
      </c>
      <c r="T117" s="7">
        <v>0</v>
      </c>
      <c r="U117" s="20">
        <f t="shared" ref="U117" si="40">Q117/P117</f>
        <v>0.69911504424778759</v>
      </c>
      <c r="V117" s="20">
        <f t="shared" ref="V117" si="41">R117/Q117</f>
        <v>0.11392405063291139</v>
      </c>
      <c r="W117" s="7"/>
      <c r="X117" s="7"/>
      <c r="Y117" s="7"/>
      <c r="Z117" s="7"/>
      <c r="AA117" s="7"/>
    </row>
    <row r="118" spans="1:36" ht="7.8" customHeight="1">
      <c r="A118" s="8"/>
      <c r="B118" s="9"/>
      <c r="C118" s="10"/>
      <c r="D118" s="57"/>
      <c r="E118" s="57"/>
      <c r="F118" s="57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1"/>
      <c r="V118" s="11"/>
      <c r="W118" s="10"/>
      <c r="X118" s="10"/>
      <c r="Y118" s="10"/>
      <c r="Z118" s="11"/>
      <c r="AA118" s="12"/>
    </row>
    <row r="119" spans="1:36">
      <c r="A119" s="6">
        <v>46135</v>
      </c>
      <c r="B119" s="7" t="s">
        <v>166</v>
      </c>
      <c r="C119" s="33" t="s">
        <v>89</v>
      </c>
      <c r="D119" s="18">
        <v>1655163</v>
      </c>
      <c r="E119" s="18" t="s">
        <v>79</v>
      </c>
      <c r="F119" s="18">
        <v>20858469</v>
      </c>
      <c r="G119" s="18" t="s">
        <v>80</v>
      </c>
      <c r="H119" s="18" t="s">
        <v>81</v>
      </c>
      <c r="I119" s="18" t="s">
        <v>85</v>
      </c>
      <c r="J119" s="18" t="s">
        <v>84</v>
      </c>
      <c r="K119" s="14"/>
      <c r="L119" s="18"/>
      <c r="M119" s="95" t="s">
        <v>83</v>
      </c>
      <c r="N119" s="19" t="s">
        <v>88</v>
      </c>
      <c r="O119" s="18" t="s">
        <v>87</v>
      </c>
      <c r="P119" s="7">
        <v>370</v>
      </c>
      <c r="Q119" s="7">
        <v>133</v>
      </c>
      <c r="R119" s="7">
        <v>4</v>
      </c>
      <c r="S119" s="7">
        <v>0</v>
      </c>
      <c r="T119" s="7">
        <v>0</v>
      </c>
      <c r="U119" s="20">
        <f>Q119/P119</f>
        <v>0.35945945945945945</v>
      </c>
      <c r="V119" s="20">
        <f>R119/Q119</f>
        <v>3.007518796992481E-2</v>
      </c>
      <c r="W119" s="7"/>
      <c r="X119" s="7"/>
      <c r="Y119" s="7"/>
      <c r="Z119" s="7"/>
      <c r="AA119" s="7"/>
      <c r="AE119" s="17" t="s">
        <v>125</v>
      </c>
    </row>
    <row r="120" spans="1:36">
      <c r="A120" s="6">
        <v>46135</v>
      </c>
      <c r="B120" s="7" t="s">
        <v>166</v>
      </c>
      <c r="C120" s="33" t="s">
        <v>89</v>
      </c>
      <c r="D120" s="18">
        <v>1655163</v>
      </c>
      <c r="E120" s="18" t="s">
        <v>214</v>
      </c>
      <c r="F120" s="18">
        <v>20884021</v>
      </c>
      <c r="G120" s="18" t="s">
        <v>212</v>
      </c>
      <c r="H120" s="18" t="s">
        <v>213</v>
      </c>
      <c r="I120" s="18" t="s">
        <v>85</v>
      </c>
      <c r="J120" s="18" t="s">
        <v>84</v>
      </c>
      <c r="K120" s="30"/>
      <c r="L120" s="18"/>
      <c r="M120" s="95" t="s">
        <v>83</v>
      </c>
      <c r="N120" s="19" t="s">
        <v>88</v>
      </c>
      <c r="O120" s="18" t="s">
        <v>87</v>
      </c>
      <c r="P120" s="7">
        <v>368</v>
      </c>
      <c r="Q120" s="7">
        <v>122</v>
      </c>
      <c r="R120" s="7">
        <v>5</v>
      </c>
      <c r="S120" s="7">
        <v>0</v>
      </c>
      <c r="T120" s="7">
        <v>0</v>
      </c>
      <c r="U120" s="20">
        <f>Q120/P120</f>
        <v>0.33152173913043476</v>
      </c>
      <c r="V120" s="20">
        <f>R120/Q120</f>
        <v>4.0983606557377046E-2</v>
      </c>
      <c r="W120" s="7"/>
      <c r="X120" s="7"/>
      <c r="Y120" s="7"/>
      <c r="Z120" s="7"/>
      <c r="AA120" s="7"/>
      <c r="AE120" s="17"/>
    </row>
    <row r="121" spans="1:36">
      <c r="A121" s="6">
        <v>46135</v>
      </c>
      <c r="B121" s="7" t="s">
        <v>166</v>
      </c>
      <c r="C121" s="33" t="s">
        <v>89</v>
      </c>
      <c r="D121" s="18">
        <v>1655164</v>
      </c>
      <c r="E121" s="18" t="s">
        <v>91</v>
      </c>
      <c r="F121" s="18">
        <v>20859118</v>
      </c>
      <c r="G121" s="18" t="s">
        <v>90</v>
      </c>
      <c r="H121" s="18" t="s">
        <v>92</v>
      </c>
      <c r="I121" s="18" t="s">
        <v>85</v>
      </c>
      <c r="J121" s="18" t="s">
        <v>84</v>
      </c>
      <c r="K121" s="29"/>
      <c r="L121" s="18"/>
      <c r="M121" s="95" t="s">
        <v>83</v>
      </c>
      <c r="N121" s="19" t="s">
        <v>93</v>
      </c>
      <c r="O121" s="18" t="s">
        <v>87</v>
      </c>
      <c r="P121" s="7">
        <v>27</v>
      </c>
      <c r="Q121" s="7">
        <v>19</v>
      </c>
      <c r="R121" s="7">
        <v>0</v>
      </c>
      <c r="S121" s="7">
        <v>0</v>
      </c>
      <c r="T121" s="7">
        <v>0</v>
      </c>
      <c r="U121" s="20">
        <f t="shared" ref="U121:U124" si="42">Q121/P121</f>
        <v>0.70370370370370372</v>
      </c>
      <c r="V121" s="20">
        <f t="shared" ref="V121:V124" si="43">R121/Q121</f>
        <v>0</v>
      </c>
      <c r="W121" s="7"/>
      <c r="X121" s="7"/>
      <c r="Y121" s="7"/>
      <c r="Z121" s="7"/>
      <c r="AA121" s="7"/>
      <c r="AE121" t="s">
        <v>82</v>
      </c>
      <c r="AF121">
        <v>115</v>
      </c>
      <c r="AG121">
        <v>11</v>
      </c>
      <c r="AH121">
        <v>0</v>
      </c>
      <c r="AI121" s="28">
        <f>AG121/AF121</f>
        <v>9.5652173913043481E-2</v>
      </c>
      <c r="AJ121" s="27">
        <f>AH121/AG121</f>
        <v>0</v>
      </c>
    </row>
    <row r="122" spans="1:36">
      <c r="A122" s="6">
        <v>46135</v>
      </c>
      <c r="B122" s="7" t="s">
        <v>166</v>
      </c>
      <c r="C122" s="33" t="s">
        <v>89</v>
      </c>
      <c r="D122" s="18">
        <v>1655187</v>
      </c>
      <c r="E122" s="18" t="s">
        <v>131</v>
      </c>
      <c r="F122" s="18">
        <v>20865659</v>
      </c>
      <c r="G122" s="18" t="s">
        <v>103</v>
      </c>
      <c r="H122" s="18" t="s">
        <v>133</v>
      </c>
      <c r="I122" s="18" t="s">
        <v>85</v>
      </c>
      <c r="J122" s="18" t="s">
        <v>84</v>
      </c>
      <c r="K122" s="30"/>
      <c r="L122" s="18"/>
      <c r="M122" s="95" t="s">
        <v>83</v>
      </c>
      <c r="N122" s="19" t="s">
        <v>132</v>
      </c>
      <c r="O122" s="18" t="s">
        <v>87</v>
      </c>
      <c r="P122" s="7">
        <v>203</v>
      </c>
      <c r="Q122" s="7">
        <v>199</v>
      </c>
      <c r="R122" s="7">
        <v>2</v>
      </c>
      <c r="S122" s="7">
        <v>0</v>
      </c>
      <c r="T122" s="7">
        <v>0</v>
      </c>
      <c r="U122" s="20">
        <f t="shared" si="42"/>
        <v>0.98029556650246308</v>
      </c>
      <c r="V122" s="20">
        <f t="shared" si="43"/>
        <v>1.0050251256281407E-2</v>
      </c>
      <c r="W122" s="7"/>
      <c r="X122" s="7"/>
      <c r="Y122" s="7"/>
      <c r="Z122" s="7"/>
      <c r="AA122" s="7"/>
      <c r="AI122" s="28"/>
      <c r="AJ122" s="27"/>
    </row>
    <row r="123" spans="1:36">
      <c r="A123" s="6">
        <v>46135</v>
      </c>
      <c r="B123" s="7" t="s">
        <v>166</v>
      </c>
      <c r="C123" s="13">
        <v>0.45833333333333331</v>
      </c>
      <c r="D123" s="7">
        <v>3332242072</v>
      </c>
      <c r="E123" s="7" t="s">
        <v>480</v>
      </c>
      <c r="F123" s="31">
        <v>20919798</v>
      </c>
      <c r="G123" s="7" t="s">
        <v>425</v>
      </c>
      <c r="H123" s="7" t="s">
        <v>479</v>
      </c>
      <c r="I123" s="7" t="s">
        <v>85</v>
      </c>
      <c r="J123" s="7" t="s">
        <v>84</v>
      </c>
      <c r="K123" s="96" t="s">
        <v>209</v>
      </c>
      <c r="L123" s="7"/>
      <c r="M123" s="95" t="s">
        <v>83</v>
      </c>
      <c r="N123" s="15" t="s">
        <v>423</v>
      </c>
      <c r="O123" s="7" t="s">
        <v>87</v>
      </c>
      <c r="P123" s="7">
        <v>141</v>
      </c>
      <c r="Q123" s="7">
        <v>105</v>
      </c>
      <c r="R123" s="7">
        <v>8</v>
      </c>
      <c r="S123" s="7">
        <v>0</v>
      </c>
      <c r="T123" s="7">
        <v>0</v>
      </c>
      <c r="U123" s="20">
        <f t="shared" si="42"/>
        <v>0.74468085106382975</v>
      </c>
      <c r="V123" s="20">
        <f t="shared" si="43"/>
        <v>7.6190476190476197E-2</v>
      </c>
      <c r="W123" s="7"/>
      <c r="X123" s="7"/>
      <c r="Y123" s="7"/>
      <c r="Z123" s="7"/>
      <c r="AA123" s="7"/>
    </row>
    <row r="124" spans="1:36">
      <c r="A124" s="6">
        <v>46135</v>
      </c>
      <c r="B124" s="7" t="s">
        <v>166</v>
      </c>
      <c r="C124" s="13">
        <v>0.47916666666666669</v>
      </c>
      <c r="D124" s="7">
        <v>3332237832</v>
      </c>
      <c r="E124" s="7" t="s">
        <v>478</v>
      </c>
      <c r="F124" s="31">
        <v>20919686</v>
      </c>
      <c r="G124" s="7" t="s">
        <v>425</v>
      </c>
      <c r="H124" s="7" t="s">
        <v>426</v>
      </c>
      <c r="I124" s="7" t="s">
        <v>85</v>
      </c>
      <c r="J124" s="7" t="s">
        <v>84</v>
      </c>
      <c r="K124" s="96" t="s">
        <v>209</v>
      </c>
      <c r="L124" s="7"/>
      <c r="M124" s="95" t="s">
        <v>83</v>
      </c>
      <c r="N124" s="15" t="s">
        <v>451</v>
      </c>
      <c r="O124" s="7" t="s">
        <v>87</v>
      </c>
      <c r="P124" s="7">
        <v>3686</v>
      </c>
      <c r="Q124" s="7">
        <v>953</v>
      </c>
      <c r="R124" s="7">
        <v>43</v>
      </c>
      <c r="S124" s="7">
        <v>5</v>
      </c>
      <c r="T124" s="7">
        <v>0</v>
      </c>
      <c r="U124" s="20">
        <f t="shared" si="42"/>
        <v>0.25854584915897993</v>
      </c>
      <c r="V124" s="20">
        <f t="shared" si="43"/>
        <v>4.5120671563483733E-2</v>
      </c>
      <c r="W124" s="7"/>
      <c r="X124" s="7"/>
      <c r="Y124" s="7"/>
      <c r="Z124" s="7"/>
      <c r="AA124" s="7"/>
    </row>
    <row r="125" spans="1:36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36">
      <c r="A126" s="6">
        <v>46135</v>
      </c>
      <c r="B126" s="7" t="s">
        <v>166</v>
      </c>
      <c r="C126" s="50" t="s">
        <v>304</v>
      </c>
      <c r="D126" s="7">
        <v>3328566299</v>
      </c>
      <c r="E126" s="7" t="s">
        <v>280</v>
      </c>
      <c r="F126" s="7">
        <v>20895381</v>
      </c>
      <c r="G126" s="7" t="s">
        <v>198</v>
      </c>
      <c r="H126" s="7" t="s">
        <v>281</v>
      </c>
      <c r="I126" s="7" t="s">
        <v>85</v>
      </c>
      <c r="J126" s="7" t="s">
        <v>84</v>
      </c>
      <c r="K126" s="96" t="s">
        <v>456</v>
      </c>
      <c r="L126" s="7" t="s">
        <v>202</v>
      </c>
      <c r="M126" s="95" t="s">
        <v>201</v>
      </c>
      <c r="N126" s="7" t="s">
        <v>415</v>
      </c>
      <c r="O126" s="7" t="s">
        <v>87</v>
      </c>
      <c r="P126" s="7">
        <v>1673</v>
      </c>
      <c r="Q126" s="7">
        <v>150</v>
      </c>
      <c r="R126" s="7">
        <v>5</v>
      </c>
      <c r="S126" s="7">
        <v>0</v>
      </c>
      <c r="T126" s="7">
        <v>0</v>
      </c>
      <c r="U126" s="20">
        <f t="shared" ref="U126:U129" si="44">Q126/P126</f>
        <v>8.9659294680215176E-2</v>
      </c>
      <c r="V126" s="20">
        <f t="shared" ref="V126:V129" si="45">R126/Q126</f>
        <v>3.3333333333333333E-2</v>
      </c>
      <c r="W126" s="7"/>
      <c r="X126" s="7"/>
      <c r="Y126" s="7"/>
      <c r="Z126" s="7"/>
      <c r="AA126" s="7"/>
    </row>
    <row r="127" spans="1:36">
      <c r="A127" s="6">
        <v>46135</v>
      </c>
      <c r="B127" s="7" t="s">
        <v>166</v>
      </c>
      <c r="C127" s="50" t="s">
        <v>86</v>
      </c>
      <c r="D127" s="7">
        <v>3329623467</v>
      </c>
      <c r="E127" s="7" t="s">
        <v>323</v>
      </c>
      <c r="F127" s="7">
        <v>20901515</v>
      </c>
      <c r="G127" s="7" t="s">
        <v>198</v>
      </c>
      <c r="H127" s="7" t="s">
        <v>324</v>
      </c>
      <c r="I127" s="7" t="s">
        <v>85</v>
      </c>
      <c r="J127" s="7" t="s">
        <v>84</v>
      </c>
      <c r="K127" s="96" t="s">
        <v>456</v>
      </c>
      <c r="L127" s="7" t="s">
        <v>202</v>
      </c>
      <c r="M127" s="95" t="s">
        <v>201</v>
      </c>
      <c r="N127" s="7" t="s">
        <v>415</v>
      </c>
      <c r="O127" s="7" t="s">
        <v>87</v>
      </c>
      <c r="P127" s="7">
        <v>144</v>
      </c>
      <c r="Q127" s="7">
        <v>16</v>
      </c>
      <c r="R127" s="7">
        <v>4</v>
      </c>
      <c r="S127" s="7">
        <v>0</v>
      </c>
      <c r="T127" s="7">
        <v>0</v>
      </c>
      <c r="U127" s="20">
        <f t="shared" si="44"/>
        <v>0.1111111111111111</v>
      </c>
      <c r="V127" s="20">
        <f t="shared" si="45"/>
        <v>0.25</v>
      </c>
      <c r="W127" s="7"/>
      <c r="X127" s="7"/>
      <c r="Y127" s="7"/>
      <c r="Z127" s="7"/>
      <c r="AA127" s="7"/>
    </row>
    <row r="128" spans="1:36">
      <c r="A128" s="6">
        <v>46135</v>
      </c>
      <c r="B128" s="7" t="s">
        <v>166</v>
      </c>
      <c r="C128" s="50" t="s">
        <v>86</v>
      </c>
      <c r="D128" s="7">
        <v>3324014643</v>
      </c>
      <c r="E128" s="7" t="s">
        <v>197</v>
      </c>
      <c r="F128" s="7">
        <v>20875349</v>
      </c>
      <c r="G128" s="7" t="s">
        <v>198</v>
      </c>
      <c r="H128" s="7" t="s">
        <v>199</v>
      </c>
      <c r="I128" s="7" t="s">
        <v>85</v>
      </c>
      <c r="J128" s="7" t="s">
        <v>84</v>
      </c>
      <c r="K128" s="96" t="s">
        <v>456</v>
      </c>
      <c r="L128" s="7" t="s">
        <v>202</v>
      </c>
      <c r="M128" s="95" t="s">
        <v>201</v>
      </c>
      <c r="N128" s="7" t="s">
        <v>200</v>
      </c>
      <c r="O128" s="7" t="s">
        <v>87</v>
      </c>
      <c r="P128" s="7">
        <v>18</v>
      </c>
      <c r="Q128" s="7">
        <v>3</v>
      </c>
      <c r="R128" s="7">
        <v>1</v>
      </c>
      <c r="S128" s="7">
        <v>0</v>
      </c>
      <c r="T128" s="7">
        <v>0</v>
      </c>
      <c r="U128" s="20">
        <f t="shared" si="44"/>
        <v>0.16666666666666666</v>
      </c>
      <c r="V128" s="20">
        <f t="shared" si="45"/>
        <v>0.33333333333333331</v>
      </c>
      <c r="W128" s="7"/>
      <c r="X128" s="7"/>
      <c r="Y128" s="7"/>
      <c r="Z128" s="7"/>
      <c r="AA128" s="7"/>
    </row>
    <row r="129" spans="1:27">
      <c r="A129" s="6">
        <v>46135</v>
      </c>
      <c r="B129" s="7" t="s">
        <v>166</v>
      </c>
      <c r="C129" s="50" t="s">
        <v>86</v>
      </c>
      <c r="D129" s="7">
        <v>3325254160</v>
      </c>
      <c r="E129" s="7" t="s">
        <v>268</v>
      </c>
      <c r="F129" s="7">
        <v>20887237</v>
      </c>
      <c r="G129" s="7" t="s">
        <v>198</v>
      </c>
      <c r="H129" s="7" t="s">
        <v>269</v>
      </c>
      <c r="I129" s="7" t="s">
        <v>85</v>
      </c>
      <c r="J129" s="7" t="s">
        <v>84</v>
      </c>
      <c r="K129" s="96" t="s">
        <v>456</v>
      </c>
      <c r="L129" s="7" t="s">
        <v>202</v>
      </c>
      <c r="M129" s="95" t="s">
        <v>201</v>
      </c>
      <c r="N129" s="7" t="s">
        <v>205</v>
      </c>
      <c r="O129" s="7" t="s">
        <v>87</v>
      </c>
      <c r="P129" s="7">
        <v>25</v>
      </c>
      <c r="Q129" s="7">
        <v>2</v>
      </c>
      <c r="R129" s="7">
        <v>1</v>
      </c>
      <c r="S129" s="7">
        <v>0</v>
      </c>
      <c r="T129" s="7">
        <v>0</v>
      </c>
      <c r="U129" s="20">
        <f t="shared" si="44"/>
        <v>0.08</v>
      </c>
      <c r="V129" s="20">
        <f t="shared" si="45"/>
        <v>0.5</v>
      </c>
      <c r="W129" s="7"/>
      <c r="X129" s="7"/>
      <c r="Y129" s="7"/>
      <c r="Z129" s="7"/>
      <c r="AA129" s="7"/>
    </row>
    <row r="130" spans="1:27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>
      <c r="A131" s="6">
        <v>46135</v>
      </c>
      <c r="B131" s="7" t="s">
        <v>166</v>
      </c>
      <c r="C131" s="50" t="s">
        <v>308</v>
      </c>
      <c r="D131" s="7">
        <v>3331048392</v>
      </c>
      <c r="E131" s="7" t="s">
        <v>416</v>
      </c>
      <c r="F131" s="7">
        <v>20912875</v>
      </c>
      <c r="G131" s="7" t="s">
        <v>27</v>
      </c>
      <c r="H131" s="77" t="s">
        <v>418</v>
      </c>
      <c r="I131" s="7" t="s">
        <v>85</v>
      </c>
      <c r="J131" s="7" t="s">
        <v>84</v>
      </c>
      <c r="K131" s="96" t="s">
        <v>456</v>
      </c>
      <c r="L131" s="7" t="s">
        <v>202</v>
      </c>
      <c r="M131" s="95" t="s">
        <v>27</v>
      </c>
      <c r="N131" s="7" t="s">
        <v>415</v>
      </c>
      <c r="O131" s="7" t="s">
        <v>87</v>
      </c>
      <c r="P131" s="7">
        <v>594</v>
      </c>
      <c r="Q131" s="7">
        <v>38</v>
      </c>
      <c r="R131" s="7">
        <v>12</v>
      </c>
      <c r="S131" s="7">
        <v>0</v>
      </c>
      <c r="T131" s="7">
        <v>0</v>
      </c>
      <c r="U131" s="20">
        <f t="shared" ref="U131:U132" si="46">Q131/P131</f>
        <v>6.3973063973063973E-2</v>
      </c>
      <c r="V131" s="20">
        <f t="shared" ref="V131:V132" si="47">R131/Q131</f>
        <v>0.31578947368421051</v>
      </c>
      <c r="W131" s="7"/>
      <c r="X131" s="7"/>
      <c r="Y131" s="7"/>
      <c r="Z131" s="7"/>
      <c r="AA131" s="7"/>
    </row>
    <row r="132" spans="1:27">
      <c r="A132" s="6">
        <v>46135</v>
      </c>
      <c r="B132" s="7" t="s">
        <v>166</v>
      </c>
      <c r="C132" s="50" t="s">
        <v>86</v>
      </c>
      <c r="D132" s="7">
        <v>3331056749</v>
      </c>
      <c r="E132" s="7" t="s">
        <v>417</v>
      </c>
      <c r="F132" s="7">
        <v>20913064</v>
      </c>
      <c r="G132" s="7" t="s">
        <v>27</v>
      </c>
      <c r="H132" s="77" t="s">
        <v>375</v>
      </c>
      <c r="I132" s="7" t="s">
        <v>85</v>
      </c>
      <c r="J132" s="7" t="s">
        <v>84</v>
      </c>
      <c r="K132" s="96" t="s">
        <v>456</v>
      </c>
      <c r="L132" s="7" t="s">
        <v>202</v>
      </c>
      <c r="M132" s="95" t="s">
        <v>27</v>
      </c>
      <c r="N132" s="7" t="s">
        <v>415</v>
      </c>
      <c r="O132" s="7" t="s">
        <v>87</v>
      </c>
      <c r="P132" s="7">
        <v>33</v>
      </c>
      <c r="Q132" s="7">
        <v>33</v>
      </c>
      <c r="R132" s="7">
        <v>7</v>
      </c>
      <c r="S132" s="7">
        <v>0</v>
      </c>
      <c r="T132" s="7">
        <v>0</v>
      </c>
      <c r="U132" s="20">
        <f t="shared" si="46"/>
        <v>1</v>
      </c>
      <c r="V132" s="20">
        <f t="shared" si="47"/>
        <v>0.21212121212121213</v>
      </c>
      <c r="W132" s="7"/>
      <c r="X132" s="7"/>
      <c r="Y132" s="7"/>
      <c r="Z132" s="7"/>
      <c r="AA132" s="7"/>
    </row>
    <row r="133" spans="1:27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>
      <c r="A134" s="6">
        <v>46135</v>
      </c>
      <c r="B134" s="7" t="s">
        <v>166</v>
      </c>
      <c r="C134" s="50" t="s">
        <v>457</v>
      </c>
      <c r="D134" s="7">
        <v>3332105684</v>
      </c>
      <c r="E134" s="7" t="s">
        <v>461</v>
      </c>
      <c r="F134" s="7">
        <v>20918686</v>
      </c>
      <c r="G134" s="7" t="s">
        <v>28</v>
      </c>
      <c r="H134" s="77" t="s">
        <v>469</v>
      </c>
      <c r="I134" s="7" t="s">
        <v>85</v>
      </c>
      <c r="J134" s="7" t="s">
        <v>84</v>
      </c>
      <c r="K134" s="60" t="s">
        <v>474</v>
      </c>
      <c r="L134" s="7" t="s">
        <v>202</v>
      </c>
      <c r="M134" s="95" t="s">
        <v>28</v>
      </c>
      <c r="N134" s="7" t="s">
        <v>415</v>
      </c>
      <c r="O134" s="7" t="s">
        <v>87</v>
      </c>
      <c r="P134" s="7">
        <v>336</v>
      </c>
      <c r="Q134" s="7">
        <v>19</v>
      </c>
      <c r="R134" s="7">
        <v>2</v>
      </c>
      <c r="S134" s="7">
        <v>0</v>
      </c>
      <c r="T134" s="7">
        <v>0</v>
      </c>
      <c r="U134" s="20">
        <f t="shared" ref="U134:U135" si="48">Q134/P134</f>
        <v>5.6547619047619048E-2</v>
      </c>
      <c r="V134" s="20">
        <f t="shared" ref="V134:V135" si="49">R134/Q134</f>
        <v>0.10526315789473684</v>
      </c>
      <c r="W134" s="7"/>
      <c r="X134" s="7"/>
      <c r="Y134" s="7"/>
      <c r="Z134" s="7"/>
      <c r="AA134" s="7"/>
    </row>
    <row r="135" spans="1:27">
      <c r="A135" s="6">
        <v>46135</v>
      </c>
      <c r="B135" s="7" t="s">
        <v>166</v>
      </c>
      <c r="C135" s="50" t="s">
        <v>86</v>
      </c>
      <c r="D135" s="7">
        <v>3332107648</v>
      </c>
      <c r="E135" s="7" t="s">
        <v>465</v>
      </c>
      <c r="F135" s="7">
        <v>20918706</v>
      </c>
      <c r="G135" s="7" t="s">
        <v>28</v>
      </c>
      <c r="H135" s="77" t="s">
        <v>470</v>
      </c>
      <c r="I135" s="7" t="s">
        <v>85</v>
      </c>
      <c r="J135" s="7" t="s">
        <v>84</v>
      </c>
      <c r="K135" s="60" t="s">
        <v>474</v>
      </c>
      <c r="L135" s="7" t="s">
        <v>202</v>
      </c>
      <c r="M135" s="95" t="s">
        <v>28</v>
      </c>
      <c r="N135" s="7" t="s">
        <v>415</v>
      </c>
      <c r="O135" s="7" t="s">
        <v>87</v>
      </c>
      <c r="P135" s="7">
        <v>16</v>
      </c>
      <c r="Q135" s="7">
        <v>6</v>
      </c>
      <c r="R135" s="7">
        <v>6</v>
      </c>
      <c r="S135" s="7">
        <v>0</v>
      </c>
      <c r="T135" s="7">
        <v>0</v>
      </c>
      <c r="U135" s="20">
        <f t="shared" si="48"/>
        <v>0.375</v>
      </c>
      <c r="V135" s="20">
        <f t="shared" si="49"/>
        <v>1</v>
      </c>
      <c r="W135" s="7"/>
      <c r="X135" s="7"/>
      <c r="Y135" s="7"/>
      <c r="Z135" s="7"/>
      <c r="AA135" s="7"/>
    </row>
    <row r="136" spans="1:27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>
      <c r="A137" s="6">
        <v>46135</v>
      </c>
      <c r="B137" s="7" t="s">
        <v>166</v>
      </c>
      <c r="C137" s="50" t="s">
        <v>458</v>
      </c>
      <c r="D137" s="7">
        <v>3332152089</v>
      </c>
      <c r="E137" s="7" t="s">
        <v>462</v>
      </c>
      <c r="F137" s="7">
        <v>20918761</v>
      </c>
      <c r="G137" s="7" t="s">
        <v>471</v>
      </c>
      <c r="H137" s="77" t="s">
        <v>472</v>
      </c>
      <c r="I137" s="7" t="s">
        <v>85</v>
      </c>
      <c r="J137" s="7" t="s">
        <v>84</v>
      </c>
      <c r="K137" s="60" t="s">
        <v>474</v>
      </c>
      <c r="L137" s="7" t="s">
        <v>202</v>
      </c>
      <c r="M137" s="95" t="s">
        <v>29</v>
      </c>
      <c r="N137" s="7" t="s">
        <v>415</v>
      </c>
      <c r="O137" s="7" t="s">
        <v>87</v>
      </c>
      <c r="P137" s="7">
        <v>1847</v>
      </c>
      <c r="Q137" s="7">
        <v>146</v>
      </c>
      <c r="R137" s="7">
        <v>21</v>
      </c>
      <c r="S137" s="7">
        <v>0</v>
      </c>
      <c r="T137" s="7">
        <v>0</v>
      </c>
      <c r="U137" s="20">
        <f t="shared" ref="U137:U138" si="50">Q137/P137</f>
        <v>7.9047103410936653E-2</v>
      </c>
      <c r="V137" s="20">
        <f t="shared" ref="V137:V138" si="51">R137/Q137</f>
        <v>0.14383561643835616</v>
      </c>
      <c r="W137" s="7"/>
      <c r="X137" s="7"/>
      <c r="Y137" s="7"/>
      <c r="Z137" s="7"/>
      <c r="AA137" s="7"/>
    </row>
    <row r="138" spans="1:27">
      <c r="A138" s="6">
        <v>46135</v>
      </c>
      <c r="B138" s="7" t="s">
        <v>166</v>
      </c>
      <c r="C138" s="50" t="s">
        <v>86</v>
      </c>
      <c r="D138" s="7">
        <v>3332153046</v>
      </c>
      <c r="E138" s="7" t="s">
        <v>466</v>
      </c>
      <c r="F138" s="7">
        <v>20918880</v>
      </c>
      <c r="G138" s="7" t="s">
        <v>471</v>
      </c>
      <c r="H138" s="77" t="s">
        <v>473</v>
      </c>
      <c r="I138" s="7" t="s">
        <v>85</v>
      </c>
      <c r="J138" s="7" t="s">
        <v>84</v>
      </c>
      <c r="K138" s="60" t="s">
        <v>474</v>
      </c>
      <c r="L138" s="7" t="s">
        <v>202</v>
      </c>
      <c r="M138" s="95" t="s">
        <v>29</v>
      </c>
      <c r="N138" s="7" t="s">
        <v>415</v>
      </c>
      <c r="O138" s="7" t="s">
        <v>87</v>
      </c>
      <c r="P138" s="7">
        <v>95</v>
      </c>
      <c r="Q138" s="7">
        <v>27</v>
      </c>
      <c r="R138" s="7">
        <v>4</v>
      </c>
      <c r="S138" s="7">
        <v>0</v>
      </c>
      <c r="T138" s="7">
        <v>0</v>
      </c>
      <c r="U138" s="20">
        <f t="shared" si="50"/>
        <v>0.28421052631578947</v>
      </c>
      <c r="V138" s="20">
        <f t="shared" si="51"/>
        <v>0.14814814814814814</v>
      </c>
      <c r="W138" s="7"/>
      <c r="X138" s="7"/>
      <c r="Y138" s="7"/>
      <c r="Z138" s="7"/>
      <c r="AA138" s="7"/>
    </row>
    <row r="139" spans="1:27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>
      <c r="A140" s="6">
        <v>46135</v>
      </c>
      <c r="B140" s="7" t="s">
        <v>166</v>
      </c>
      <c r="C140" s="50" t="s">
        <v>459</v>
      </c>
      <c r="D140" s="7">
        <v>3332177201</v>
      </c>
      <c r="E140" s="7" t="s">
        <v>463</v>
      </c>
      <c r="F140" s="7">
        <v>20918989</v>
      </c>
      <c r="G140" s="7" t="s">
        <v>31</v>
      </c>
      <c r="H140" s="77" t="s">
        <v>475</v>
      </c>
      <c r="I140" s="7" t="s">
        <v>85</v>
      </c>
      <c r="J140" s="7" t="s">
        <v>84</v>
      </c>
      <c r="K140" s="60" t="s">
        <v>474</v>
      </c>
      <c r="L140" s="7" t="s">
        <v>202</v>
      </c>
      <c r="M140" s="95" t="s">
        <v>31</v>
      </c>
      <c r="N140" s="7" t="s">
        <v>415</v>
      </c>
      <c r="O140" s="7" t="s">
        <v>87</v>
      </c>
      <c r="P140" s="7">
        <v>1832</v>
      </c>
      <c r="Q140" s="7">
        <v>236</v>
      </c>
      <c r="R140" s="7">
        <v>15</v>
      </c>
      <c r="S140" s="7">
        <v>0</v>
      </c>
      <c r="T140" s="7">
        <v>0</v>
      </c>
      <c r="U140" s="20">
        <f t="shared" ref="U140:U141" si="52">Q140/P140</f>
        <v>0.12882096069868995</v>
      </c>
      <c r="V140" s="20">
        <f t="shared" ref="V140:V141" si="53">R140/Q140</f>
        <v>6.3559322033898302E-2</v>
      </c>
      <c r="W140" s="7"/>
      <c r="X140" s="7"/>
      <c r="Y140" s="7"/>
      <c r="Z140" s="7"/>
      <c r="AA140" s="7"/>
    </row>
    <row r="141" spans="1:27">
      <c r="A141" s="6">
        <v>46135</v>
      </c>
      <c r="B141" s="7" t="s">
        <v>166</v>
      </c>
      <c r="C141" s="50" t="s">
        <v>86</v>
      </c>
      <c r="D141" s="7">
        <v>3332178023</v>
      </c>
      <c r="E141" s="7" t="s">
        <v>467</v>
      </c>
      <c r="F141" s="7">
        <v>20919028</v>
      </c>
      <c r="G141" s="7" t="s">
        <v>31</v>
      </c>
      <c r="H141" s="77" t="s">
        <v>476</v>
      </c>
      <c r="I141" s="7" t="s">
        <v>85</v>
      </c>
      <c r="J141" s="7" t="s">
        <v>84</v>
      </c>
      <c r="K141" s="60" t="s">
        <v>474</v>
      </c>
      <c r="L141" s="7" t="s">
        <v>202</v>
      </c>
      <c r="M141" s="95" t="s">
        <v>31</v>
      </c>
      <c r="N141" s="7" t="s">
        <v>415</v>
      </c>
      <c r="O141" s="7" t="s">
        <v>87</v>
      </c>
      <c r="P141" s="7">
        <v>197</v>
      </c>
      <c r="Q141" s="7">
        <v>143</v>
      </c>
      <c r="R141" s="7">
        <v>21</v>
      </c>
      <c r="S141" s="7">
        <v>0</v>
      </c>
      <c r="T141" s="7">
        <v>0</v>
      </c>
      <c r="U141" s="20">
        <f t="shared" si="52"/>
        <v>0.7258883248730964</v>
      </c>
      <c r="V141" s="20">
        <f t="shared" si="53"/>
        <v>0.14685314685314685</v>
      </c>
      <c r="W141" s="7"/>
      <c r="X141" s="7"/>
      <c r="Y141" s="7"/>
      <c r="Z141" s="7"/>
      <c r="AA141" s="7"/>
    </row>
    <row r="142" spans="1:27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>
      <c r="A143" s="6">
        <v>46135</v>
      </c>
      <c r="B143" s="7" t="s">
        <v>166</v>
      </c>
      <c r="C143" s="50" t="s">
        <v>460</v>
      </c>
      <c r="D143" s="7">
        <v>3332236214</v>
      </c>
      <c r="E143" s="7" t="s">
        <v>464</v>
      </c>
      <c r="F143" s="7">
        <v>20919229</v>
      </c>
      <c r="G143" s="7" t="s">
        <v>309</v>
      </c>
      <c r="H143" s="77" t="s">
        <v>375</v>
      </c>
      <c r="I143" s="7" t="s">
        <v>85</v>
      </c>
      <c r="J143" s="7" t="s">
        <v>84</v>
      </c>
      <c r="K143" s="96" t="s">
        <v>474</v>
      </c>
      <c r="L143" s="7" t="s">
        <v>202</v>
      </c>
      <c r="M143" s="95" t="s">
        <v>309</v>
      </c>
      <c r="N143" s="7" t="s">
        <v>415</v>
      </c>
      <c r="O143" s="7" t="s">
        <v>87</v>
      </c>
      <c r="P143" s="7">
        <v>244</v>
      </c>
      <c r="Q143" s="7">
        <v>20</v>
      </c>
      <c r="R143" s="7">
        <v>2</v>
      </c>
      <c r="S143" s="7">
        <v>0</v>
      </c>
      <c r="T143" s="7">
        <v>0</v>
      </c>
      <c r="U143" s="20">
        <f t="shared" ref="U143:U144" si="54">Q143/P143</f>
        <v>8.1967213114754092E-2</v>
      </c>
      <c r="V143" s="20">
        <f t="shared" ref="V143:V144" si="55">R143/Q143</f>
        <v>0.1</v>
      </c>
      <c r="W143" s="7"/>
      <c r="X143" s="7"/>
      <c r="Y143" s="7"/>
      <c r="Z143" s="7"/>
      <c r="AA143" s="7"/>
    </row>
    <row r="144" spans="1:27">
      <c r="A144" s="6">
        <v>46135</v>
      </c>
      <c r="B144" s="7" t="s">
        <v>166</v>
      </c>
      <c r="C144" s="50" t="s">
        <v>86</v>
      </c>
      <c r="D144" s="7">
        <v>3332236331</v>
      </c>
      <c r="E144" s="7" t="s">
        <v>468</v>
      </c>
      <c r="F144" s="7">
        <v>20919282</v>
      </c>
      <c r="G144" s="7" t="s">
        <v>309</v>
      </c>
      <c r="H144" s="77" t="s">
        <v>477</v>
      </c>
      <c r="I144" s="7" t="s">
        <v>85</v>
      </c>
      <c r="J144" s="7" t="s">
        <v>84</v>
      </c>
      <c r="K144" s="96" t="s">
        <v>474</v>
      </c>
      <c r="L144" s="7" t="s">
        <v>202</v>
      </c>
      <c r="M144" s="95" t="s">
        <v>309</v>
      </c>
      <c r="N144" s="7" t="s">
        <v>415</v>
      </c>
      <c r="O144" s="7" t="s">
        <v>87</v>
      </c>
      <c r="P144" s="7">
        <v>16</v>
      </c>
      <c r="Q144" s="7">
        <v>4</v>
      </c>
      <c r="R144" s="7">
        <v>0</v>
      </c>
      <c r="S144" s="7">
        <v>0</v>
      </c>
      <c r="T144" s="7">
        <v>0</v>
      </c>
      <c r="U144" s="20">
        <f t="shared" si="54"/>
        <v>0.25</v>
      </c>
      <c r="V144" s="20">
        <f t="shared" si="55"/>
        <v>0</v>
      </c>
      <c r="W144" s="7"/>
      <c r="X144" s="7"/>
      <c r="Y144" s="7"/>
      <c r="Z144" s="7"/>
      <c r="AA144" s="7"/>
    </row>
    <row r="145" spans="1:36" ht="7.8" customHeight="1">
      <c r="A145" s="8"/>
      <c r="B145" s="9"/>
      <c r="C145" s="10"/>
      <c r="D145" s="57"/>
      <c r="E145" s="57"/>
      <c r="F145" s="57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1"/>
      <c r="V145" s="11"/>
      <c r="W145" s="10"/>
      <c r="X145" s="10"/>
      <c r="Y145" s="10"/>
      <c r="Z145" s="11"/>
      <c r="AA145" s="12"/>
    </row>
    <row r="146" spans="1:36">
      <c r="A146" s="6">
        <v>46136</v>
      </c>
      <c r="B146" s="7" t="s">
        <v>206</v>
      </c>
      <c r="C146" s="33" t="s">
        <v>89</v>
      </c>
      <c r="D146" s="18">
        <v>1655163</v>
      </c>
      <c r="E146" s="18" t="s">
        <v>79</v>
      </c>
      <c r="F146" s="18">
        <v>20858469</v>
      </c>
      <c r="G146" s="18" t="s">
        <v>80</v>
      </c>
      <c r="H146" s="18" t="s">
        <v>81</v>
      </c>
      <c r="I146" s="18" t="s">
        <v>85</v>
      </c>
      <c r="J146" s="18" t="s">
        <v>84</v>
      </c>
      <c r="K146" s="14"/>
      <c r="L146" s="18"/>
      <c r="M146" s="95" t="s">
        <v>83</v>
      </c>
      <c r="N146" s="19" t="s">
        <v>88</v>
      </c>
      <c r="O146" s="18" t="s">
        <v>87</v>
      </c>
      <c r="P146" s="7"/>
      <c r="Q146" s="7"/>
      <c r="R146" s="7"/>
      <c r="S146" s="7"/>
      <c r="T146" s="7"/>
      <c r="U146" s="20" t="e">
        <f>Q146/P146</f>
        <v>#DIV/0!</v>
      </c>
      <c r="V146" s="20" t="e">
        <f>R146/Q146</f>
        <v>#DIV/0!</v>
      </c>
      <c r="W146" s="7"/>
      <c r="X146" s="7"/>
      <c r="Y146" s="7"/>
      <c r="Z146" s="7"/>
      <c r="AA146" s="7"/>
      <c r="AE146" s="17" t="s">
        <v>125</v>
      </c>
    </row>
    <row r="147" spans="1:36">
      <c r="A147" s="6">
        <v>46136</v>
      </c>
      <c r="B147" s="7" t="s">
        <v>206</v>
      </c>
      <c r="C147" s="33" t="s">
        <v>89</v>
      </c>
      <c r="D147" s="18">
        <v>1655163</v>
      </c>
      <c r="E147" s="18" t="s">
        <v>214</v>
      </c>
      <c r="F147" s="18">
        <v>20884021</v>
      </c>
      <c r="G147" s="18" t="s">
        <v>212</v>
      </c>
      <c r="H147" s="18" t="s">
        <v>213</v>
      </c>
      <c r="I147" s="18" t="s">
        <v>85</v>
      </c>
      <c r="J147" s="18" t="s">
        <v>84</v>
      </c>
      <c r="K147" s="30"/>
      <c r="L147" s="18"/>
      <c r="M147" s="95" t="s">
        <v>83</v>
      </c>
      <c r="N147" s="19" t="s">
        <v>88</v>
      </c>
      <c r="O147" s="18" t="s">
        <v>87</v>
      </c>
      <c r="P147" s="7"/>
      <c r="Q147" s="7"/>
      <c r="R147" s="7"/>
      <c r="S147" s="7"/>
      <c r="T147" s="7"/>
      <c r="U147" s="20" t="e">
        <f>Q147/P147</f>
        <v>#DIV/0!</v>
      </c>
      <c r="V147" s="20" t="e">
        <f>R147/Q147</f>
        <v>#DIV/0!</v>
      </c>
      <c r="W147" s="7"/>
      <c r="X147" s="7"/>
      <c r="Y147" s="7"/>
      <c r="Z147" s="7"/>
      <c r="AA147" s="7"/>
      <c r="AE147" s="17"/>
    </row>
    <row r="148" spans="1:36">
      <c r="A148" s="6">
        <v>46136</v>
      </c>
      <c r="B148" s="7" t="s">
        <v>206</v>
      </c>
      <c r="C148" s="33" t="s">
        <v>89</v>
      </c>
      <c r="D148" s="18">
        <v>1655164</v>
      </c>
      <c r="E148" s="18" t="s">
        <v>91</v>
      </c>
      <c r="F148" s="18">
        <v>20859118</v>
      </c>
      <c r="G148" s="18" t="s">
        <v>90</v>
      </c>
      <c r="H148" s="18" t="s">
        <v>92</v>
      </c>
      <c r="I148" s="18" t="s">
        <v>85</v>
      </c>
      <c r="J148" s="18" t="s">
        <v>84</v>
      </c>
      <c r="K148" s="29"/>
      <c r="L148" s="18"/>
      <c r="M148" s="95" t="s">
        <v>83</v>
      </c>
      <c r="N148" s="19" t="s">
        <v>93</v>
      </c>
      <c r="O148" s="18" t="s">
        <v>87</v>
      </c>
      <c r="P148" s="7"/>
      <c r="Q148" s="7"/>
      <c r="R148" s="7"/>
      <c r="S148" s="7"/>
      <c r="T148" s="7"/>
      <c r="U148" s="20" t="e">
        <f t="shared" ref="U148:U152" si="56">Q148/P148</f>
        <v>#DIV/0!</v>
      </c>
      <c r="V148" s="20" t="e">
        <f t="shared" ref="V148:V152" si="57">R148/Q148</f>
        <v>#DIV/0!</v>
      </c>
      <c r="W148" s="7"/>
      <c r="X148" s="7"/>
      <c r="Y148" s="7"/>
      <c r="Z148" s="7"/>
      <c r="AA148" s="7"/>
      <c r="AE148" t="s">
        <v>82</v>
      </c>
      <c r="AF148">
        <v>115</v>
      </c>
      <c r="AG148">
        <v>11</v>
      </c>
      <c r="AH148">
        <v>0</v>
      </c>
      <c r="AI148" s="28">
        <f>AG148/AF148</f>
        <v>9.5652173913043481E-2</v>
      </c>
      <c r="AJ148" s="27">
        <f>AH148/AG148</f>
        <v>0</v>
      </c>
    </row>
    <row r="149" spans="1:36">
      <c r="A149" s="6">
        <v>46136</v>
      </c>
      <c r="B149" s="7" t="s">
        <v>206</v>
      </c>
      <c r="C149" s="33" t="s">
        <v>89</v>
      </c>
      <c r="D149" s="18">
        <v>1655187</v>
      </c>
      <c r="E149" s="18" t="s">
        <v>131</v>
      </c>
      <c r="F149" s="18">
        <v>20865659</v>
      </c>
      <c r="G149" s="18" t="s">
        <v>103</v>
      </c>
      <c r="H149" s="18" t="s">
        <v>133</v>
      </c>
      <c r="I149" s="18" t="s">
        <v>85</v>
      </c>
      <c r="J149" s="18" t="s">
        <v>84</v>
      </c>
      <c r="K149" s="30"/>
      <c r="L149" s="18"/>
      <c r="M149" s="95" t="s">
        <v>83</v>
      </c>
      <c r="N149" s="19" t="s">
        <v>132</v>
      </c>
      <c r="O149" s="18" t="s">
        <v>87</v>
      </c>
      <c r="P149" s="7"/>
      <c r="Q149" s="7"/>
      <c r="R149" s="7"/>
      <c r="S149" s="7"/>
      <c r="T149" s="7"/>
      <c r="U149" s="20" t="e">
        <f t="shared" si="56"/>
        <v>#DIV/0!</v>
      </c>
      <c r="V149" s="20" t="e">
        <f t="shared" si="57"/>
        <v>#DIV/0!</v>
      </c>
      <c r="W149" s="7"/>
      <c r="X149" s="7"/>
      <c r="Y149" s="7"/>
      <c r="Z149" s="7"/>
      <c r="AA149" s="7"/>
      <c r="AI149" s="28"/>
      <c r="AJ149" s="27"/>
    </row>
    <row r="150" spans="1:36">
      <c r="A150" s="6">
        <v>46136</v>
      </c>
      <c r="B150" s="7" t="s">
        <v>206</v>
      </c>
      <c r="C150" s="33" t="s">
        <v>89</v>
      </c>
      <c r="D150" s="18">
        <v>1655289</v>
      </c>
      <c r="E150" s="18" t="s">
        <v>546</v>
      </c>
      <c r="F150" s="18">
        <v>20926440</v>
      </c>
      <c r="G150" s="18" t="s">
        <v>425</v>
      </c>
      <c r="H150" s="18" t="s">
        <v>543</v>
      </c>
      <c r="I150" s="18" t="s">
        <v>547</v>
      </c>
      <c r="J150" s="18" t="s">
        <v>541</v>
      </c>
      <c r="K150" s="96" t="s">
        <v>540</v>
      </c>
      <c r="L150" s="18"/>
      <c r="M150" s="95" t="s">
        <v>83</v>
      </c>
      <c r="N150" s="19" t="s">
        <v>542</v>
      </c>
      <c r="O150" s="18" t="s">
        <v>87</v>
      </c>
      <c r="P150" s="7"/>
      <c r="Q150" s="7"/>
      <c r="R150" s="7"/>
      <c r="S150" s="7"/>
      <c r="T150" s="7"/>
      <c r="U150" s="20" t="e">
        <f t="shared" ref="U150" si="58">Q150/P150</f>
        <v>#DIV/0!</v>
      </c>
      <c r="V150" s="20" t="e">
        <f t="shared" ref="V150" si="59">R150/Q150</f>
        <v>#DIV/0!</v>
      </c>
      <c r="W150" s="7"/>
      <c r="X150" s="7"/>
      <c r="Y150" s="7"/>
      <c r="Z150" s="7"/>
      <c r="AA150" s="7"/>
      <c r="AI150" s="28"/>
      <c r="AJ150" s="27"/>
    </row>
    <row r="151" spans="1:36">
      <c r="A151" s="6">
        <v>46136</v>
      </c>
      <c r="B151" s="7" t="s">
        <v>206</v>
      </c>
      <c r="C151" s="13">
        <v>0.45833333333333331</v>
      </c>
      <c r="D151" s="7">
        <v>3333264885</v>
      </c>
      <c r="E151" s="7" t="s">
        <v>544</v>
      </c>
      <c r="F151" s="31">
        <v>20926520</v>
      </c>
      <c r="G151" s="7" t="s">
        <v>425</v>
      </c>
      <c r="H151" s="77" t="s">
        <v>375</v>
      </c>
      <c r="I151" s="7" t="s">
        <v>85</v>
      </c>
      <c r="J151" s="7" t="s">
        <v>84</v>
      </c>
      <c r="K151" s="96" t="s">
        <v>209</v>
      </c>
      <c r="L151" s="7"/>
      <c r="M151" s="95" t="s">
        <v>83</v>
      </c>
      <c r="N151" s="15" t="s">
        <v>423</v>
      </c>
      <c r="O151" s="7" t="s">
        <v>87</v>
      </c>
      <c r="P151" s="7">
        <v>214</v>
      </c>
      <c r="Q151" s="7">
        <v>145</v>
      </c>
      <c r="R151" s="7">
        <v>12</v>
      </c>
      <c r="S151" s="7">
        <v>0</v>
      </c>
      <c r="T151" s="7">
        <v>2</v>
      </c>
      <c r="U151" s="20">
        <f t="shared" si="56"/>
        <v>0.67757009345794394</v>
      </c>
      <c r="V151" s="20">
        <f t="shared" si="57"/>
        <v>8.2758620689655171E-2</v>
      </c>
      <c r="W151" s="7"/>
      <c r="X151" s="7"/>
      <c r="Y151" s="7"/>
      <c r="Z151" s="7"/>
      <c r="AA151" s="7"/>
    </row>
    <row r="152" spans="1:36">
      <c r="A152" s="6">
        <v>46136</v>
      </c>
      <c r="B152" s="7" t="s">
        <v>206</v>
      </c>
      <c r="C152" s="13">
        <v>0.47916666666666669</v>
      </c>
      <c r="D152" s="7">
        <v>3333279234</v>
      </c>
      <c r="E152" s="7" t="s">
        <v>545</v>
      </c>
      <c r="F152" s="31">
        <v>20926534</v>
      </c>
      <c r="G152" s="7" t="s">
        <v>425</v>
      </c>
      <c r="H152" s="77" t="s">
        <v>470</v>
      </c>
      <c r="I152" s="7" t="s">
        <v>85</v>
      </c>
      <c r="J152" s="7" t="s">
        <v>84</v>
      </c>
      <c r="K152" s="96" t="s">
        <v>209</v>
      </c>
      <c r="L152" s="7"/>
      <c r="M152" s="95" t="s">
        <v>83</v>
      </c>
      <c r="N152" s="15" t="s">
        <v>451</v>
      </c>
      <c r="O152" s="7" t="s">
        <v>87</v>
      </c>
      <c r="P152" s="7">
        <v>3912</v>
      </c>
      <c r="Q152" s="7">
        <v>584</v>
      </c>
      <c r="R152" s="7">
        <v>41</v>
      </c>
      <c r="S152" s="7">
        <v>0</v>
      </c>
      <c r="T152" s="7">
        <v>3</v>
      </c>
      <c r="U152" s="20">
        <f t="shared" si="56"/>
        <v>0.1492842535787321</v>
      </c>
      <c r="V152" s="20">
        <f t="shared" si="57"/>
        <v>7.0205479452054798E-2</v>
      </c>
      <c r="W152" s="7"/>
      <c r="X152" s="7"/>
      <c r="Y152" s="7"/>
      <c r="Z152" s="7"/>
      <c r="AA152" s="7"/>
    </row>
    <row r="153" spans="1:36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36">
      <c r="A154" s="6">
        <v>46136</v>
      </c>
      <c r="B154" s="7" t="s">
        <v>206</v>
      </c>
      <c r="C154" s="50" t="s">
        <v>304</v>
      </c>
      <c r="D154" s="7">
        <v>3328566299</v>
      </c>
      <c r="E154" s="7" t="s">
        <v>280</v>
      </c>
      <c r="F154" s="7">
        <v>20895381</v>
      </c>
      <c r="G154" s="7" t="s">
        <v>198</v>
      </c>
      <c r="H154" s="7" t="s">
        <v>281</v>
      </c>
      <c r="I154" s="7" t="s">
        <v>85</v>
      </c>
      <c r="J154" s="7" t="s">
        <v>84</v>
      </c>
      <c r="K154" s="96" t="s">
        <v>456</v>
      </c>
      <c r="L154" s="7" t="s">
        <v>202</v>
      </c>
      <c r="M154" s="95" t="s">
        <v>201</v>
      </c>
      <c r="N154" s="7" t="s">
        <v>415</v>
      </c>
      <c r="O154" s="7" t="s">
        <v>87</v>
      </c>
      <c r="P154" s="7"/>
      <c r="Q154" s="7"/>
      <c r="R154" s="7"/>
      <c r="S154" s="7"/>
      <c r="T154" s="7"/>
      <c r="U154" s="20" t="e">
        <f t="shared" ref="U154:U157" si="60">Q154/P154</f>
        <v>#DIV/0!</v>
      </c>
      <c r="V154" s="20" t="e">
        <f t="shared" ref="V154:V157" si="61">R154/Q154</f>
        <v>#DIV/0!</v>
      </c>
      <c r="W154" s="7"/>
      <c r="X154" s="7"/>
      <c r="Y154" s="7"/>
      <c r="Z154" s="7"/>
      <c r="AA154" s="7"/>
    </row>
    <row r="155" spans="1:36">
      <c r="A155" s="6">
        <v>46136</v>
      </c>
      <c r="B155" s="7" t="s">
        <v>206</v>
      </c>
      <c r="C155" s="50" t="s">
        <v>86</v>
      </c>
      <c r="D155" s="7">
        <v>3329623467</v>
      </c>
      <c r="E155" s="7" t="s">
        <v>323</v>
      </c>
      <c r="F155" s="7">
        <v>20901515</v>
      </c>
      <c r="G155" s="7" t="s">
        <v>198</v>
      </c>
      <c r="H155" s="7" t="s">
        <v>324</v>
      </c>
      <c r="I155" s="7" t="s">
        <v>85</v>
      </c>
      <c r="J155" s="7" t="s">
        <v>84</v>
      </c>
      <c r="K155" s="96" t="s">
        <v>456</v>
      </c>
      <c r="L155" s="7" t="s">
        <v>202</v>
      </c>
      <c r="M155" s="95" t="s">
        <v>201</v>
      </c>
      <c r="N155" s="7" t="s">
        <v>415</v>
      </c>
      <c r="O155" s="7" t="s">
        <v>87</v>
      </c>
      <c r="P155" s="7"/>
      <c r="Q155" s="7"/>
      <c r="R155" s="7"/>
      <c r="S155" s="7"/>
      <c r="T155" s="7"/>
      <c r="U155" s="20" t="e">
        <f t="shared" si="60"/>
        <v>#DIV/0!</v>
      </c>
      <c r="V155" s="20" t="e">
        <f t="shared" si="61"/>
        <v>#DIV/0!</v>
      </c>
      <c r="W155" s="7"/>
      <c r="X155" s="7"/>
      <c r="Y155" s="7"/>
      <c r="Z155" s="7"/>
      <c r="AA155" s="7"/>
    </row>
    <row r="156" spans="1:36">
      <c r="A156" s="6">
        <v>46136</v>
      </c>
      <c r="B156" s="7" t="s">
        <v>206</v>
      </c>
      <c r="C156" s="50" t="s">
        <v>86</v>
      </c>
      <c r="D156" s="7">
        <v>3324014643</v>
      </c>
      <c r="E156" s="7" t="s">
        <v>197</v>
      </c>
      <c r="F156" s="7">
        <v>20875349</v>
      </c>
      <c r="G156" s="7" t="s">
        <v>198</v>
      </c>
      <c r="H156" s="7" t="s">
        <v>199</v>
      </c>
      <c r="I156" s="7" t="s">
        <v>85</v>
      </c>
      <c r="J156" s="7" t="s">
        <v>84</v>
      </c>
      <c r="K156" s="96" t="s">
        <v>456</v>
      </c>
      <c r="L156" s="7" t="s">
        <v>202</v>
      </c>
      <c r="M156" s="95" t="s">
        <v>201</v>
      </c>
      <c r="N156" s="7" t="s">
        <v>200</v>
      </c>
      <c r="O156" s="7" t="s">
        <v>87</v>
      </c>
      <c r="P156" s="7"/>
      <c r="Q156" s="7"/>
      <c r="R156" s="7"/>
      <c r="S156" s="7"/>
      <c r="T156" s="7"/>
      <c r="U156" s="20" t="e">
        <f t="shared" si="60"/>
        <v>#DIV/0!</v>
      </c>
      <c r="V156" s="20" t="e">
        <f t="shared" si="61"/>
        <v>#DIV/0!</v>
      </c>
      <c r="W156" s="7"/>
      <c r="X156" s="7"/>
      <c r="Y156" s="7"/>
      <c r="Z156" s="7"/>
      <c r="AA156" s="7"/>
    </row>
    <row r="157" spans="1:36">
      <c r="A157" s="6">
        <v>46136</v>
      </c>
      <c r="B157" s="7" t="s">
        <v>206</v>
      </c>
      <c r="C157" s="50" t="s">
        <v>86</v>
      </c>
      <c r="D157" s="7">
        <v>3325254160</v>
      </c>
      <c r="E157" s="7" t="s">
        <v>268</v>
      </c>
      <c r="F157" s="7">
        <v>20887237</v>
      </c>
      <c r="G157" s="7" t="s">
        <v>198</v>
      </c>
      <c r="H157" s="7" t="s">
        <v>269</v>
      </c>
      <c r="I157" s="7" t="s">
        <v>85</v>
      </c>
      <c r="J157" s="7" t="s">
        <v>84</v>
      </c>
      <c r="K157" s="96" t="s">
        <v>456</v>
      </c>
      <c r="L157" s="7" t="s">
        <v>202</v>
      </c>
      <c r="M157" s="95" t="s">
        <v>201</v>
      </c>
      <c r="N157" s="7" t="s">
        <v>205</v>
      </c>
      <c r="O157" s="7" t="s">
        <v>87</v>
      </c>
      <c r="P157" s="7"/>
      <c r="Q157" s="7"/>
      <c r="R157" s="7"/>
      <c r="S157" s="7"/>
      <c r="T157" s="7"/>
      <c r="U157" s="20" t="e">
        <f t="shared" si="60"/>
        <v>#DIV/0!</v>
      </c>
      <c r="V157" s="20" t="e">
        <f t="shared" si="61"/>
        <v>#DIV/0!</v>
      </c>
      <c r="W157" s="7"/>
      <c r="X157" s="7"/>
      <c r="Y157" s="7"/>
      <c r="Z157" s="7"/>
      <c r="AA157" s="7"/>
    </row>
    <row r="158" spans="1:36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36">
      <c r="A159" s="6">
        <v>46136</v>
      </c>
      <c r="B159" s="7" t="s">
        <v>206</v>
      </c>
      <c r="C159" s="50" t="s">
        <v>458</v>
      </c>
      <c r="D159" s="7">
        <v>3332152089</v>
      </c>
      <c r="E159" s="7" t="s">
        <v>462</v>
      </c>
      <c r="F159" s="7">
        <v>20918761</v>
      </c>
      <c r="G159" s="7" t="s">
        <v>471</v>
      </c>
      <c r="H159" s="77" t="s">
        <v>472</v>
      </c>
      <c r="I159" s="7" t="s">
        <v>85</v>
      </c>
      <c r="J159" s="7" t="s">
        <v>84</v>
      </c>
      <c r="K159" s="96" t="s">
        <v>456</v>
      </c>
      <c r="L159" s="7" t="s">
        <v>202</v>
      </c>
      <c r="M159" s="95" t="s">
        <v>29</v>
      </c>
      <c r="N159" s="7" t="s">
        <v>415</v>
      </c>
      <c r="O159" s="7" t="s">
        <v>87</v>
      </c>
      <c r="P159" s="7"/>
      <c r="Q159" s="7"/>
      <c r="R159" s="7"/>
      <c r="S159" s="7"/>
      <c r="T159" s="7"/>
      <c r="U159" s="20" t="e">
        <f t="shared" ref="U159:U160" si="62">Q159/P159</f>
        <v>#DIV/0!</v>
      </c>
      <c r="V159" s="20" t="e">
        <f t="shared" ref="V159:V160" si="63">R159/Q159</f>
        <v>#DIV/0!</v>
      </c>
      <c r="W159" s="7"/>
      <c r="X159" s="7"/>
      <c r="Y159" s="7"/>
      <c r="Z159" s="7"/>
      <c r="AA159" s="7"/>
    </row>
    <row r="160" spans="1:36">
      <c r="A160" s="6">
        <v>46136</v>
      </c>
      <c r="B160" s="7" t="s">
        <v>206</v>
      </c>
      <c r="C160" s="50" t="s">
        <v>86</v>
      </c>
      <c r="D160" s="7">
        <v>3332153046</v>
      </c>
      <c r="E160" s="7" t="s">
        <v>466</v>
      </c>
      <c r="F160" s="7">
        <v>20918880</v>
      </c>
      <c r="G160" s="7" t="s">
        <v>471</v>
      </c>
      <c r="H160" s="77" t="s">
        <v>473</v>
      </c>
      <c r="I160" s="7" t="s">
        <v>85</v>
      </c>
      <c r="J160" s="7" t="s">
        <v>84</v>
      </c>
      <c r="K160" s="96" t="s">
        <v>456</v>
      </c>
      <c r="L160" s="7" t="s">
        <v>202</v>
      </c>
      <c r="M160" s="95" t="s">
        <v>29</v>
      </c>
      <c r="N160" s="7" t="s">
        <v>415</v>
      </c>
      <c r="O160" s="7" t="s">
        <v>87</v>
      </c>
      <c r="P160" s="7"/>
      <c r="Q160" s="7"/>
      <c r="R160" s="7"/>
      <c r="S160" s="7"/>
      <c r="T160" s="7"/>
      <c r="U160" s="20" t="e">
        <f t="shared" si="62"/>
        <v>#DIV/0!</v>
      </c>
      <c r="V160" s="20" t="e">
        <f t="shared" si="63"/>
        <v>#DIV/0!</v>
      </c>
      <c r="W160" s="7"/>
      <c r="X160" s="7"/>
      <c r="Y160" s="7"/>
      <c r="Z160" s="7"/>
      <c r="AA160" s="7"/>
    </row>
    <row r="161" spans="1:36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36">
      <c r="A162" s="6">
        <v>46136</v>
      </c>
      <c r="B162" s="7" t="s">
        <v>206</v>
      </c>
      <c r="C162" s="50" t="s">
        <v>459</v>
      </c>
      <c r="D162" s="7">
        <v>3332177201</v>
      </c>
      <c r="E162" s="7" t="s">
        <v>463</v>
      </c>
      <c r="F162" s="7">
        <v>20918989</v>
      </c>
      <c r="G162" s="7" t="s">
        <v>31</v>
      </c>
      <c r="H162" s="77" t="s">
        <v>475</v>
      </c>
      <c r="I162" s="7" t="s">
        <v>85</v>
      </c>
      <c r="J162" s="7" t="s">
        <v>84</v>
      </c>
      <c r="K162" s="96" t="s">
        <v>456</v>
      </c>
      <c r="L162" s="7" t="s">
        <v>202</v>
      </c>
      <c r="M162" s="95" t="s">
        <v>31</v>
      </c>
      <c r="N162" s="7" t="s">
        <v>415</v>
      </c>
      <c r="O162" s="7" t="s">
        <v>87</v>
      </c>
      <c r="P162" s="7"/>
      <c r="Q162" s="7"/>
      <c r="R162" s="7"/>
      <c r="S162" s="7"/>
      <c r="T162" s="7"/>
      <c r="U162" s="20" t="e">
        <f t="shared" ref="U162:U163" si="64">Q162/P162</f>
        <v>#DIV/0!</v>
      </c>
      <c r="V162" s="20" t="e">
        <f t="shared" ref="V162:V163" si="65">R162/Q162</f>
        <v>#DIV/0!</v>
      </c>
      <c r="W162" s="7"/>
      <c r="X162" s="7"/>
      <c r="Y162" s="7"/>
      <c r="Z162" s="7"/>
      <c r="AA162" s="7"/>
    </row>
    <row r="163" spans="1:36">
      <c r="A163" s="6">
        <v>46136</v>
      </c>
      <c r="B163" s="7" t="s">
        <v>206</v>
      </c>
      <c r="C163" s="50" t="s">
        <v>86</v>
      </c>
      <c r="D163" s="7">
        <v>3332178023</v>
      </c>
      <c r="E163" s="7" t="s">
        <v>467</v>
      </c>
      <c r="F163" s="7">
        <v>20919028</v>
      </c>
      <c r="G163" s="7" t="s">
        <v>31</v>
      </c>
      <c r="H163" s="77" t="s">
        <v>476</v>
      </c>
      <c r="I163" s="7" t="s">
        <v>85</v>
      </c>
      <c r="J163" s="7" t="s">
        <v>84</v>
      </c>
      <c r="K163" s="96" t="s">
        <v>456</v>
      </c>
      <c r="L163" s="7" t="s">
        <v>202</v>
      </c>
      <c r="M163" s="95" t="s">
        <v>31</v>
      </c>
      <c r="N163" s="7" t="s">
        <v>415</v>
      </c>
      <c r="O163" s="7" t="s">
        <v>87</v>
      </c>
      <c r="P163" s="7"/>
      <c r="Q163" s="7"/>
      <c r="R163" s="7"/>
      <c r="S163" s="7"/>
      <c r="T163" s="7"/>
      <c r="U163" s="20" t="e">
        <f t="shared" si="64"/>
        <v>#DIV/0!</v>
      </c>
      <c r="V163" s="20" t="e">
        <f t="shared" si="65"/>
        <v>#DIV/0!</v>
      </c>
      <c r="W163" s="7"/>
      <c r="X163" s="7"/>
      <c r="Y163" s="7"/>
      <c r="Z163" s="7"/>
      <c r="AA163" s="7"/>
    </row>
    <row r="164" spans="1:36" ht="7.8" customHeight="1">
      <c r="A164" s="8"/>
      <c r="B164" s="9"/>
      <c r="C164" s="10"/>
      <c r="D164" s="57"/>
      <c r="E164" s="57"/>
      <c r="F164" s="57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1"/>
      <c r="V164" s="11"/>
      <c r="W164" s="10"/>
      <c r="X164" s="10"/>
      <c r="Y164" s="10"/>
      <c r="Z164" s="11"/>
      <c r="AA164" s="12"/>
    </row>
    <row r="165" spans="1:36">
      <c r="A165" s="6">
        <v>46137</v>
      </c>
      <c r="B165" s="7" t="s">
        <v>26</v>
      </c>
      <c r="C165" s="33" t="s">
        <v>89</v>
      </c>
      <c r="D165" s="18">
        <v>1655163</v>
      </c>
      <c r="E165" s="18" t="s">
        <v>79</v>
      </c>
      <c r="F165" s="18">
        <v>20858469</v>
      </c>
      <c r="G165" s="18" t="s">
        <v>80</v>
      </c>
      <c r="H165" s="18" t="s">
        <v>81</v>
      </c>
      <c r="I165" s="18" t="s">
        <v>85</v>
      </c>
      <c r="J165" s="18" t="s">
        <v>84</v>
      </c>
      <c r="K165" s="14"/>
      <c r="L165" s="18"/>
      <c r="M165" s="95" t="s">
        <v>83</v>
      </c>
      <c r="N165" s="19" t="s">
        <v>88</v>
      </c>
      <c r="O165" s="18" t="s">
        <v>87</v>
      </c>
      <c r="P165" s="7"/>
      <c r="Q165" s="7"/>
      <c r="R165" s="7"/>
      <c r="S165" s="7"/>
      <c r="T165" s="7"/>
      <c r="U165" s="20" t="e">
        <f>Q165/P165</f>
        <v>#DIV/0!</v>
      </c>
      <c r="V165" s="20" t="e">
        <f>R165/Q165</f>
        <v>#DIV/0!</v>
      </c>
      <c r="W165" s="7"/>
      <c r="X165" s="7"/>
      <c r="Y165" s="7"/>
      <c r="Z165" s="7"/>
      <c r="AA165" s="7"/>
      <c r="AE165" s="17" t="s">
        <v>125</v>
      </c>
    </row>
    <row r="166" spans="1:36">
      <c r="A166" s="6">
        <v>46137</v>
      </c>
      <c r="B166" s="7" t="s">
        <v>26</v>
      </c>
      <c r="C166" s="33" t="s">
        <v>89</v>
      </c>
      <c r="D166" s="18">
        <v>1655163</v>
      </c>
      <c r="E166" s="18" t="s">
        <v>214</v>
      </c>
      <c r="F166" s="18">
        <v>20884021</v>
      </c>
      <c r="G166" s="18" t="s">
        <v>212</v>
      </c>
      <c r="H166" s="18" t="s">
        <v>213</v>
      </c>
      <c r="I166" s="18" t="s">
        <v>85</v>
      </c>
      <c r="J166" s="18" t="s">
        <v>84</v>
      </c>
      <c r="K166" s="30"/>
      <c r="L166" s="18"/>
      <c r="M166" s="95" t="s">
        <v>83</v>
      </c>
      <c r="N166" s="19" t="s">
        <v>88</v>
      </c>
      <c r="O166" s="18" t="s">
        <v>87</v>
      </c>
      <c r="P166" s="7"/>
      <c r="Q166" s="7"/>
      <c r="R166" s="7"/>
      <c r="S166" s="7"/>
      <c r="T166" s="7"/>
      <c r="U166" s="20" t="e">
        <f>Q166/P166</f>
        <v>#DIV/0!</v>
      </c>
      <c r="V166" s="20" t="e">
        <f>R166/Q166</f>
        <v>#DIV/0!</v>
      </c>
      <c r="W166" s="7"/>
      <c r="X166" s="7"/>
      <c r="Y166" s="7"/>
      <c r="Z166" s="7"/>
      <c r="AA166" s="7"/>
      <c r="AE166" s="17"/>
    </row>
    <row r="167" spans="1:36">
      <c r="A167" s="6">
        <v>46137</v>
      </c>
      <c r="B167" s="7" t="s">
        <v>26</v>
      </c>
      <c r="C167" s="33" t="s">
        <v>89</v>
      </c>
      <c r="D167" s="18">
        <v>1655164</v>
      </c>
      <c r="E167" s="18" t="s">
        <v>91</v>
      </c>
      <c r="F167" s="18">
        <v>20859118</v>
      </c>
      <c r="G167" s="18" t="s">
        <v>90</v>
      </c>
      <c r="H167" s="18" t="s">
        <v>92</v>
      </c>
      <c r="I167" s="18" t="s">
        <v>85</v>
      </c>
      <c r="J167" s="18" t="s">
        <v>84</v>
      </c>
      <c r="K167" s="29"/>
      <c r="L167" s="18"/>
      <c r="M167" s="95" t="s">
        <v>83</v>
      </c>
      <c r="N167" s="19" t="s">
        <v>93</v>
      </c>
      <c r="O167" s="18" t="s">
        <v>87</v>
      </c>
      <c r="P167" s="7"/>
      <c r="Q167" s="7"/>
      <c r="R167" s="7"/>
      <c r="S167" s="7"/>
      <c r="T167" s="7"/>
      <c r="U167" s="20" t="e">
        <f t="shared" ref="U167:U171" si="66">Q167/P167</f>
        <v>#DIV/0!</v>
      </c>
      <c r="V167" s="20" t="e">
        <f t="shared" ref="V167:V171" si="67">R167/Q167</f>
        <v>#DIV/0!</v>
      </c>
      <c r="W167" s="7"/>
      <c r="X167" s="7"/>
      <c r="Y167" s="7"/>
      <c r="Z167" s="7"/>
      <c r="AA167" s="7"/>
      <c r="AE167" t="s">
        <v>82</v>
      </c>
      <c r="AF167">
        <v>115</v>
      </c>
      <c r="AG167">
        <v>11</v>
      </c>
      <c r="AH167">
        <v>0</v>
      </c>
      <c r="AI167" s="28">
        <f>AG167/AF167</f>
        <v>9.5652173913043481E-2</v>
      </c>
      <c r="AJ167" s="27">
        <f>AH167/AG167</f>
        <v>0</v>
      </c>
    </row>
    <row r="168" spans="1:36">
      <c r="A168" s="6">
        <v>46137</v>
      </c>
      <c r="B168" s="7" t="s">
        <v>26</v>
      </c>
      <c r="C168" s="33" t="s">
        <v>89</v>
      </c>
      <c r="D168" s="18">
        <v>1655187</v>
      </c>
      <c r="E168" s="18" t="s">
        <v>131</v>
      </c>
      <c r="F168" s="18">
        <v>20865659</v>
      </c>
      <c r="G168" s="18" t="s">
        <v>103</v>
      </c>
      <c r="H168" s="18" t="s">
        <v>133</v>
      </c>
      <c r="I168" s="18" t="s">
        <v>85</v>
      </c>
      <c r="J168" s="18" t="s">
        <v>84</v>
      </c>
      <c r="K168" s="30"/>
      <c r="L168" s="18"/>
      <c r="M168" s="95" t="s">
        <v>83</v>
      </c>
      <c r="N168" s="19" t="s">
        <v>132</v>
      </c>
      <c r="O168" s="18" t="s">
        <v>87</v>
      </c>
      <c r="P168" s="7"/>
      <c r="Q168" s="7"/>
      <c r="R168" s="7"/>
      <c r="S168" s="7"/>
      <c r="T168" s="7"/>
      <c r="U168" s="20" t="e">
        <f t="shared" si="66"/>
        <v>#DIV/0!</v>
      </c>
      <c r="V168" s="20" t="e">
        <f t="shared" si="67"/>
        <v>#DIV/0!</v>
      </c>
      <c r="W168" s="7"/>
      <c r="X168" s="7"/>
      <c r="Y168" s="7"/>
      <c r="Z168" s="7"/>
      <c r="AA168" s="7"/>
      <c r="AI168" s="28"/>
      <c r="AJ168" s="27"/>
    </row>
    <row r="169" spans="1:36">
      <c r="A169" s="6">
        <v>46137</v>
      </c>
      <c r="B169" s="7" t="s">
        <v>26</v>
      </c>
      <c r="C169" s="33" t="s">
        <v>89</v>
      </c>
      <c r="D169" s="18">
        <v>1655289</v>
      </c>
      <c r="E169" s="18" t="s">
        <v>546</v>
      </c>
      <c r="F169" s="18">
        <v>20926440</v>
      </c>
      <c r="G169" s="18" t="s">
        <v>425</v>
      </c>
      <c r="H169" s="18" t="s">
        <v>543</v>
      </c>
      <c r="I169" s="18" t="s">
        <v>547</v>
      </c>
      <c r="J169" s="18" t="s">
        <v>541</v>
      </c>
      <c r="K169" s="96" t="s">
        <v>540</v>
      </c>
      <c r="L169" s="18"/>
      <c r="M169" s="95" t="s">
        <v>83</v>
      </c>
      <c r="N169" s="19" t="s">
        <v>542</v>
      </c>
      <c r="O169" s="18" t="s">
        <v>87</v>
      </c>
      <c r="P169" s="7"/>
      <c r="Q169" s="7"/>
      <c r="R169" s="7"/>
      <c r="S169" s="7"/>
      <c r="T169" s="7"/>
      <c r="U169" s="20" t="e">
        <f t="shared" si="66"/>
        <v>#DIV/0!</v>
      </c>
      <c r="V169" s="20" t="e">
        <f t="shared" si="67"/>
        <v>#DIV/0!</v>
      </c>
      <c r="W169" s="7"/>
      <c r="X169" s="7"/>
      <c r="Y169" s="7"/>
      <c r="Z169" s="7"/>
      <c r="AA169" s="7"/>
      <c r="AI169" s="28"/>
      <c r="AJ169" s="27"/>
    </row>
    <row r="170" spans="1:36">
      <c r="A170" s="6">
        <v>46137</v>
      </c>
      <c r="B170" s="7" t="s">
        <v>26</v>
      </c>
      <c r="C170" s="13">
        <v>0.45833333333333331</v>
      </c>
      <c r="D170" s="7">
        <v>3333308706</v>
      </c>
      <c r="E170" s="7" t="s">
        <v>548</v>
      </c>
      <c r="F170" s="31">
        <v>20926647</v>
      </c>
      <c r="G170" s="7" t="s">
        <v>425</v>
      </c>
      <c r="H170" s="7" t="s">
        <v>479</v>
      </c>
      <c r="I170" s="7" t="s">
        <v>85</v>
      </c>
      <c r="J170" s="7" t="s">
        <v>84</v>
      </c>
      <c r="K170" s="96"/>
      <c r="L170" s="7"/>
      <c r="M170" s="95" t="s">
        <v>83</v>
      </c>
      <c r="N170" s="15" t="s">
        <v>423</v>
      </c>
      <c r="O170" s="7" t="s">
        <v>87</v>
      </c>
      <c r="P170" s="7">
        <v>263</v>
      </c>
      <c r="Q170" s="7">
        <v>121</v>
      </c>
      <c r="R170" s="7">
        <v>5</v>
      </c>
      <c r="S170" s="7">
        <v>0</v>
      </c>
      <c r="T170" s="7">
        <v>0</v>
      </c>
      <c r="U170" s="20">
        <f t="shared" si="66"/>
        <v>0.46007604562737642</v>
      </c>
      <c r="V170" s="20">
        <f t="shared" si="67"/>
        <v>4.1322314049586778E-2</v>
      </c>
      <c r="W170" s="7"/>
      <c r="X170" s="7"/>
      <c r="Y170" s="7"/>
      <c r="Z170" s="7"/>
      <c r="AA170" s="7"/>
    </row>
    <row r="171" spans="1:36">
      <c r="A171" s="6">
        <v>46137</v>
      </c>
      <c r="B171" s="7" t="s">
        <v>26</v>
      </c>
      <c r="C171" s="13">
        <v>0.47916666666666669</v>
      </c>
      <c r="D171" s="7">
        <v>3333308814</v>
      </c>
      <c r="E171" s="7" t="s">
        <v>549</v>
      </c>
      <c r="F171" s="31">
        <v>20926649</v>
      </c>
      <c r="G171" s="7" t="s">
        <v>425</v>
      </c>
      <c r="H171" s="7" t="s">
        <v>426</v>
      </c>
      <c r="I171" s="7" t="s">
        <v>85</v>
      </c>
      <c r="J171" s="7" t="s">
        <v>84</v>
      </c>
      <c r="K171" s="96"/>
      <c r="L171" s="7"/>
      <c r="M171" s="95" t="s">
        <v>83</v>
      </c>
      <c r="N171" s="15" t="s">
        <v>451</v>
      </c>
      <c r="O171" s="7" t="s">
        <v>87</v>
      </c>
      <c r="P171" s="7">
        <v>4168</v>
      </c>
      <c r="Q171" s="7">
        <v>282</v>
      </c>
      <c r="R171" s="7">
        <v>7</v>
      </c>
      <c r="S171" s="7">
        <v>1</v>
      </c>
      <c r="T171" s="7">
        <v>0</v>
      </c>
      <c r="U171" s="20">
        <f t="shared" si="66"/>
        <v>6.7658349328214976E-2</v>
      </c>
      <c r="V171" s="20">
        <f t="shared" si="67"/>
        <v>2.4822695035460994E-2</v>
      </c>
      <c r="W171" s="7"/>
      <c r="X171" s="7"/>
      <c r="Y171" s="7"/>
      <c r="Z171" s="7"/>
      <c r="AA171" s="7"/>
    </row>
    <row r="172" spans="1:36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36">
      <c r="A173" s="6">
        <v>46137</v>
      </c>
      <c r="B173" s="7" t="s">
        <v>26</v>
      </c>
      <c r="C173" s="50" t="s">
        <v>304</v>
      </c>
      <c r="D173" s="7">
        <v>3328566299</v>
      </c>
      <c r="E173" s="7" t="s">
        <v>280</v>
      </c>
      <c r="F173" s="7">
        <v>20895381</v>
      </c>
      <c r="G173" s="7" t="s">
        <v>198</v>
      </c>
      <c r="H173" s="7" t="s">
        <v>281</v>
      </c>
      <c r="I173" s="7" t="s">
        <v>85</v>
      </c>
      <c r="J173" s="7" t="s">
        <v>84</v>
      </c>
      <c r="K173" s="96" t="s">
        <v>456</v>
      </c>
      <c r="L173" s="7" t="s">
        <v>202</v>
      </c>
      <c r="M173" s="95" t="s">
        <v>201</v>
      </c>
      <c r="N173" s="7" t="s">
        <v>415</v>
      </c>
      <c r="O173" s="7" t="s">
        <v>87</v>
      </c>
      <c r="P173" s="7"/>
      <c r="Q173" s="7"/>
      <c r="R173" s="7"/>
      <c r="S173" s="7"/>
      <c r="T173" s="7"/>
      <c r="U173" s="20" t="e">
        <f t="shared" ref="U173:U176" si="68">Q173/P173</f>
        <v>#DIV/0!</v>
      </c>
      <c r="V173" s="20" t="e">
        <f t="shared" ref="V173:V176" si="69">R173/Q173</f>
        <v>#DIV/0!</v>
      </c>
      <c r="W173" s="7"/>
      <c r="X173" s="7"/>
      <c r="Y173" s="7"/>
      <c r="Z173" s="7"/>
      <c r="AA173" s="7"/>
    </row>
    <row r="174" spans="1:36">
      <c r="A174" s="6">
        <v>46137</v>
      </c>
      <c r="B174" s="7" t="s">
        <v>26</v>
      </c>
      <c r="C174" s="50" t="s">
        <v>86</v>
      </c>
      <c r="D174" s="7">
        <v>3329623467</v>
      </c>
      <c r="E174" s="7" t="s">
        <v>323</v>
      </c>
      <c r="F174" s="7">
        <v>20901515</v>
      </c>
      <c r="G174" s="7" t="s">
        <v>198</v>
      </c>
      <c r="H174" s="7" t="s">
        <v>324</v>
      </c>
      <c r="I174" s="7" t="s">
        <v>85</v>
      </c>
      <c r="J174" s="7" t="s">
        <v>84</v>
      </c>
      <c r="K174" s="96" t="s">
        <v>456</v>
      </c>
      <c r="L174" s="7" t="s">
        <v>202</v>
      </c>
      <c r="M174" s="95" t="s">
        <v>201</v>
      </c>
      <c r="N174" s="7" t="s">
        <v>415</v>
      </c>
      <c r="O174" s="7" t="s">
        <v>87</v>
      </c>
      <c r="P174" s="7"/>
      <c r="Q174" s="7"/>
      <c r="R174" s="7"/>
      <c r="S174" s="7"/>
      <c r="T174" s="7"/>
      <c r="U174" s="20" t="e">
        <f t="shared" si="68"/>
        <v>#DIV/0!</v>
      </c>
      <c r="V174" s="20" t="e">
        <f t="shared" si="69"/>
        <v>#DIV/0!</v>
      </c>
      <c r="W174" s="7"/>
      <c r="X174" s="7"/>
      <c r="Y174" s="7"/>
      <c r="Z174" s="7"/>
      <c r="AA174" s="7"/>
    </row>
    <row r="175" spans="1:36">
      <c r="A175" s="6">
        <v>46137</v>
      </c>
      <c r="B175" s="7" t="s">
        <v>26</v>
      </c>
      <c r="C175" s="50" t="s">
        <v>86</v>
      </c>
      <c r="D175" s="7">
        <v>3324014643</v>
      </c>
      <c r="E175" s="7" t="s">
        <v>197</v>
      </c>
      <c r="F175" s="7">
        <v>20875349</v>
      </c>
      <c r="G175" s="7" t="s">
        <v>198</v>
      </c>
      <c r="H175" s="7" t="s">
        <v>199</v>
      </c>
      <c r="I175" s="7" t="s">
        <v>85</v>
      </c>
      <c r="J175" s="7" t="s">
        <v>84</v>
      </c>
      <c r="K175" s="96" t="s">
        <v>456</v>
      </c>
      <c r="L175" s="7" t="s">
        <v>202</v>
      </c>
      <c r="M175" s="95" t="s">
        <v>201</v>
      </c>
      <c r="N175" s="7" t="s">
        <v>200</v>
      </c>
      <c r="O175" s="7" t="s">
        <v>87</v>
      </c>
      <c r="P175" s="7"/>
      <c r="Q175" s="7"/>
      <c r="R175" s="7"/>
      <c r="S175" s="7"/>
      <c r="T175" s="7"/>
      <c r="U175" s="20" t="e">
        <f t="shared" si="68"/>
        <v>#DIV/0!</v>
      </c>
      <c r="V175" s="20" t="e">
        <f t="shared" si="69"/>
        <v>#DIV/0!</v>
      </c>
      <c r="W175" s="7"/>
      <c r="X175" s="7"/>
      <c r="Y175" s="7"/>
      <c r="Z175" s="7"/>
      <c r="AA175" s="7"/>
    </row>
    <row r="176" spans="1:36">
      <c r="A176" s="6">
        <v>46137</v>
      </c>
      <c r="B176" s="7" t="s">
        <v>26</v>
      </c>
      <c r="C176" s="50" t="s">
        <v>86</v>
      </c>
      <c r="D176" s="7">
        <v>3325254160</v>
      </c>
      <c r="E176" s="7" t="s">
        <v>268</v>
      </c>
      <c r="F176" s="7">
        <v>20887237</v>
      </c>
      <c r="G176" s="7" t="s">
        <v>198</v>
      </c>
      <c r="H176" s="7" t="s">
        <v>269</v>
      </c>
      <c r="I176" s="7" t="s">
        <v>85</v>
      </c>
      <c r="J176" s="7" t="s">
        <v>84</v>
      </c>
      <c r="K176" s="96" t="s">
        <v>456</v>
      </c>
      <c r="L176" s="7" t="s">
        <v>202</v>
      </c>
      <c r="M176" s="95" t="s">
        <v>201</v>
      </c>
      <c r="N176" s="7" t="s">
        <v>205</v>
      </c>
      <c r="O176" s="7" t="s">
        <v>87</v>
      </c>
      <c r="P176" s="7"/>
      <c r="Q176" s="7"/>
      <c r="R176" s="7"/>
      <c r="S176" s="7"/>
      <c r="T176" s="7"/>
      <c r="U176" s="20" t="e">
        <f t="shared" si="68"/>
        <v>#DIV/0!</v>
      </c>
      <c r="V176" s="20" t="e">
        <f t="shared" si="69"/>
        <v>#DIV/0!</v>
      </c>
      <c r="W176" s="7"/>
      <c r="X176" s="7"/>
      <c r="Y176" s="7"/>
      <c r="Z176" s="7"/>
      <c r="AA176" s="7"/>
    </row>
    <row r="177" spans="1:36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36">
      <c r="A178" s="6">
        <v>46137</v>
      </c>
      <c r="B178" s="7" t="s">
        <v>26</v>
      </c>
      <c r="C178" s="50" t="s">
        <v>458</v>
      </c>
      <c r="D178" s="7">
        <v>3332152089</v>
      </c>
      <c r="E178" s="7" t="s">
        <v>462</v>
      </c>
      <c r="F178" s="7">
        <v>20918761</v>
      </c>
      <c r="G178" s="7" t="s">
        <v>471</v>
      </c>
      <c r="H178" s="77" t="s">
        <v>472</v>
      </c>
      <c r="I178" s="7" t="s">
        <v>85</v>
      </c>
      <c r="J178" s="7" t="s">
        <v>84</v>
      </c>
      <c r="K178" s="96" t="s">
        <v>456</v>
      </c>
      <c r="L178" s="7" t="s">
        <v>202</v>
      </c>
      <c r="M178" s="95" t="s">
        <v>29</v>
      </c>
      <c r="N178" s="7" t="s">
        <v>415</v>
      </c>
      <c r="O178" s="7" t="s">
        <v>87</v>
      </c>
      <c r="P178" s="7"/>
      <c r="Q178" s="7"/>
      <c r="R178" s="7"/>
      <c r="S178" s="7"/>
      <c r="T178" s="7"/>
      <c r="U178" s="20" t="e">
        <f t="shared" ref="U178:U179" si="70">Q178/P178</f>
        <v>#DIV/0!</v>
      </c>
      <c r="V178" s="20" t="e">
        <f t="shared" ref="V178:V179" si="71">R178/Q178</f>
        <v>#DIV/0!</v>
      </c>
      <c r="W178" s="7"/>
      <c r="X178" s="7"/>
      <c r="Y178" s="7"/>
      <c r="Z178" s="7"/>
      <c r="AA178" s="7"/>
    </row>
    <row r="179" spans="1:36">
      <c r="A179" s="6">
        <v>46137</v>
      </c>
      <c r="B179" s="7" t="s">
        <v>26</v>
      </c>
      <c r="C179" s="50" t="s">
        <v>86</v>
      </c>
      <c r="D179" s="7">
        <v>3332153046</v>
      </c>
      <c r="E179" s="7" t="s">
        <v>466</v>
      </c>
      <c r="F179" s="7">
        <v>20918880</v>
      </c>
      <c r="G179" s="7" t="s">
        <v>471</v>
      </c>
      <c r="H179" s="77" t="s">
        <v>473</v>
      </c>
      <c r="I179" s="7" t="s">
        <v>85</v>
      </c>
      <c r="J179" s="7" t="s">
        <v>84</v>
      </c>
      <c r="K179" s="96" t="s">
        <v>456</v>
      </c>
      <c r="L179" s="7" t="s">
        <v>202</v>
      </c>
      <c r="M179" s="95" t="s">
        <v>29</v>
      </c>
      <c r="N179" s="7" t="s">
        <v>415</v>
      </c>
      <c r="O179" s="7" t="s">
        <v>87</v>
      </c>
      <c r="P179" s="7"/>
      <c r="Q179" s="7"/>
      <c r="R179" s="7"/>
      <c r="S179" s="7"/>
      <c r="T179" s="7"/>
      <c r="U179" s="20" t="e">
        <f t="shared" si="70"/>
        <v>#DIV/0!</v>
      </c>
      <c r="V179" s="20" t="e">
        <f t="shared" si="71"/>
        <v>#DIV/0!</v>
      </c>
      <c r="W179" s="7"/>
      <c r="X179" s="7"/>
      <c r="Y179" s="7"/>
      <c r="Z179" s="7"/>
      <c r="AA179" s="7"/>
    </row>
    <row r="180" spans="1:36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36">
      <c r="A181" s="6">
        <v>46137</v>
      </c>
      <c r="B181" s="7" t="s">
        <v>26</v>
      </c>
      <c r="C181" s="50" t="s">
        <v>459</v>
      </c>
      <c r="D181" s="7">
        <v>3332177201</v>
      </c>
      <c r="E181" s="7" t="s">
        <v>463</v>
      </c>
      <c r="F181" s="7">
        <v>20918989</v>
      </c>
      <c r="G181" s="7" t="s">
        <v>31</v>
      </c>
      <c r="H181" s="77" t="s">
        <v>475</v>
      </c>
      <c r="I181" s="7" t="s">
        <v>85</v>
      </c>
      <c r="J181" s="7" t="s">
        <v>84</v>
      </c>
      <c r="K181" s="96" t="s">
        <v>456</v>
      </c>
      <c r="L181" s="7" t="s">
        <v>202</v>
      </c>
      <c r="M181" s="95" t="s">
        <v>31</v>
      </c>
      <c r="N181" s="7" t="s">
        <v>415</v>
      </c>
      <c r="O181" s="7" t="s">
        <v>87</v>
      </c>
      <c r="P181" s="7"/>
      <c r="Q181" s="7"/>
      <c r="R181" s="7"/>
      <c r="S181" s="7"/>
      <c r="T181" s="7"/>
      <c r="U181" s="20" t="e">
        <f t="shared" ref="U181:U182" si="72">Q181/P181</f>
        <v>#DIV/0!</v>
      </c>
      <c r="V181" s="20" t="e">
        <f t="shared" ref="V181:V182" si="73">R181/Q181</f>
        <v>#DIV/0!</v>
      </c>
      <c r="W181" s="7"/>
      <c r="X181" s="7"/>
      <c r="Y181" s="7"/>
      <c r="Z181" s="7"/>
      <c r="AA181" s="7"/>
    </row>
    <row r="182" spans="1:36">
      <c r="A182" s="6">
        <v>46137</v>
      </c>
      <c r="B182" s="7" t="s">
        <v>26</v>
      </c>
      <c r="C182" s="50" t="s">
        <v>86</v>
      </c>
      <c r="D182" s="7">
        <v>3332178023</v>
      </c>
      <c r="E182" s="7" t="s">
        <v>467</v>
      </c>
      <c r="F182" s="7">
        <v>20919028</v>
      </c>
      <c r="G182" s="7" t="s">
        <v>31</v>
      </c>
      <c r="H182" s="77" t="s">
        <v>476</v>
      </c>
      <c r="I182" s="7" t="s">
        <v>85</v>
      </c>
      <c r="J182" s="7" t="s">
        <v>84</v>
      </c>
      <c r="K182" s="96" t="s">
        <v>456</v>
      </c>
      <c r="L182" s="7" t="s">
        <v>202</v>
      </c>
      <c r="M182" s="95" t="s">
        <v>31</v>
      </c>
      <c r="N182" s="7" t="s">
        <v>415</v>
      </c>
      <c r="O182" s="7" t="s">
        <v>87</v>
      </c>
      <c r="P182" s="7"/>
      <c r="Q182" s="7"/>
      <c r="R182" s="7"/>
      <c r="S182" s="7"/>
      <c r="T182" s="7"/>
      <c r="U182" s="20" t="e">
        <f t="shared" si="72"/>
        <v>#DIV/0!</v>
      </c>
      <c r="V182" s="20" t="e">
        <f t="shared" si="73"/>
        <v>#DIV/0!</v>
      </c>
      <c r="W182" s="7"/>
      <c r="X182" s="7"/>
      <c r="Y182" s="7"/>
      <c r="Z182" s="7"/>
      <c r="AA182" s="7"/>
    </row>
    <row r="183" spans="1:36" ht="7.8" customHeight="1">
      <c r="A183" s="8"/>
      <c r="B183" s="9"/>
      <c r="C183" s="10"/>
      <c r="D183" s="57"/>
      <c r="E183" s="57"/>
      <c r="F183" s="57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1"/>
      <c r="V183" s="11"/>
      <c r="W183" s="10"/>
      <c r="X183" s="10"/>
      <c r="Y183" s="10"/>
      <c r="Z183" s="11"/>
      <c r="AA183" s="12"/>
    </row>
    <row r="184" spans="1:36">
      <c r="A184" s="6">
        <v>46138</v>
      </c>
      <c r="B184" s="7" t="s">
        <v>33</v>
      </c>
      <c r="C184" s="33" t="s">
        <v>89</v>
      </c>
      <c r="D184" s="18">
        <v>1655163</v>
      </c>
      <c r="E184" s="18" t="s">
        <v>79</v>
      </c>
      <c r="F184" s="18">
        <v>20858469</v>
      </c>
      <c r="G184" s="18" t="s">
        <v>80</v>
      </c>
      <c r="H184" s="18" t="s">
        <v>81</v>
      </c>
      <c r="I184" s="18" t="s">
        <v>85</v>
      </c>
      <c r="J184" s="18" t="s">
        <v>84</v>
      </c>
      <c r="K184" s="14"/>
      <c r="L184" s="18"/>
      <c r="M184" s="95" t="s">
        <v>83</v>
      </c>
      <c r="N184" s="19" t="s">
        <v>88</v>
      </c>
      <c r="O184" s="18" t="s">
        <v>87</v>
      </c>
      <c r="P184" s="7"/>
      <c r="Q184" s="7"/>
      <c r="R184" s="7"/>
      <c r="S184" s="7"/>
      <c r="T184" s="7"/>
      <c r="U184" s="20" t="e">
        <f>Q184/P184</f>
        <v>#DIV/0!</v>
      </c>
      <c r="V184" s="20" t="e">
        <f>R184/Q184</f>
        <v>#DIV/0!</v>
      </c>
      <c r="W184" s="7"/>
      <c r="X184" s="7"/>
      <c r="Y184" s="7"/>
      <c r="Z184" s="7"/>
      <c r="AA184" s="7"/>
      <c r="AE184" s="17" t="s">
        <v>125</v>
      </c>
    </row>
    <row r="185" spans="1:36">
      <c r="A185" s="6">
        <v>46138</v>
      </c>
      <c r="B185" s="7" t="s">
        <v>33</v>
      </c>
      <c r="C185" s="33" t="s">
        <v>89</v>
      </c>
      <c r="D185" s="18">
        <v>1655163</v>
      </c>
      <c r="E185" s="18" t="s">
        <v>214</v>
      </c>
      <c r="F185" s="18">
        <v>20884021</v>
      </c>
      <c r="G185" s="18" t="s">
        <v>212</v>
      </c>
      <c r="H185" s="18" t="s">
        <v>213</v>
      </c>
      <c r="I185" s="18" t="s">
        <v>85</v>
      </c>
      <c r="J185" s="18" t="s">
        <v>84</v>
      </c>
      <c r="K185" s="30"/>
      <c r="L185" s="18"/>
      <c r="M185" s="95" t="s">
        <v>83</v>
      </c>
      <c r="N185" s="19" t="s">
        <v>88</v>
      </c>
      <c r="O185" s="18" t="s">
        <v>87</v>
      </c>
      <c r="P185" s="7"/>
      <c r="Q185" s="7"/>
      <c r="R185" s="7"/>
      <c r="S185" s="7"/>
      <c r="T185" s="7"/>
      <c r="U185" s="20" t="e">
        <f>Q185/P185</f>
        <v>#DIV/0!</v>
      </c>
      <c r="V185" s="20" t="e">
        <f>R185/Q185</f>
        <v>#DIV/0!</v>
      </c>
      <c r="W185" s="7"/>
      <c r="X185" s="7"/>
      <c r="Y185" s="7"/>
      <c r="Z185" s="7"/>
      <c r="AA185" s="7"/>
      <c r="AE185" s="17"/>
    </row>
    <row r="186" spans="1:36">
      <c r="A186" s="6">
        <v>46138</v>
      </c>
      <c r="B186" s="7" t="s">
        <v>33</v>
      </c>
      <c r="C186" s="33" t="s">
        <v>89</v>
      </c>
      <c r="D186" s="18">
        <v>1655164</v>
      </c>
      <c r="E186" s="18" t="s">
        <v>91</v>
      </c>
      <c r="F186" s="18">
        <v>20859118</v>
      </c>
      <c r="G186" s="18" t="s">
        <v>90</v>
      </c>
      <c r="H186" s="18" t="s">
        <v>92</v>
      </c>
      <c r="I186" s="18" t="s">
        <v>85</v>
      </c>
      <c r="J186" s="18" t="s">
        <v>84</v>
      </c>
      <c r="K186" s="29"/>
      <c r="L186" s="18"/>
      <c r="M186" s="95" t="s">
        <v>83</v>
      </c>
      <c r="N186" s="19" t="s">
        <v>93</v>
      </c>
      <c r="O186" s="18" t="s">
        <v>87</v>
      </c>
      <c r="P186" s="7"/>
      <c r="Q186" s="7"/>
      <c r="R186" s="7"/>
      <c r="S186" s="7"/>
      <c r="T186" s="7"/>
      <c r="U186" s="20" t="e">
        <f t="shared" ref="U186:U190" si="74">Q186/P186</f>
        <v>#DIV/0!</v>
      </c>
      <c r="V186" s="20" t="e">
        <f t="shared" ref="V186:V190" si="75">R186/Q186</f>
        <v>#DIV/0!</v>
      </c>
      <c r="W186" s="7"/>
      <c r="X186" s="7"/>
      <c r="Y186" s="7"/>
      <c r="Z186" s="7"/>
      <c r="AA186" s="7"/>
      <c r="AE186" t="s">
        <v>82</v>
      </c>
      <c r="AF186">
        <v>115</v>
      </c>
      <c r="AG186">
        <v>11</v>
      </c>
      <c r="AH186">
        <v>0</v>
      </c>
      <c r="AI186" s="28">
        <f>AG186/AF186</f>
        <v>9.5652173913043481E-2</v>
      </c>
      <c r="AJ186" s="27">
        <f>AH186/AG186</f>
        <v>0</v>
      </c>
    </row>
    <row r="187" spans="1:36">
      <c r="A187" s="6">
        <v>46138</v>
      </c>
      <c r="B187" s="7" t="s">
        <v>33</v>
      </c>
      <c r="C187" s="33" t="s">
        <v>89</v>
      </c>
      <c r="D187" s="18">
        <v>1655187</v>
      </c>
      <c r="E187" s="18" t="s">
        <v>131</v>
      </c>
      <c r="F187" s="18">
        <v>20865659</v>
      </c>
      <c r="G187" s="18" t="s">
        <v>103</v>
      </c>
      <c r="H187" s="18" t="s">
        <v>133</v>
      </c>
      <c r="I187" s="18" t="s">
        <v>85</v>
      </c>
      <c r="J187" s="18" t="s">
        <v>84</v>
      </c>
      <c r="K187" s="30"/>
      <c r="L187" s="18"/>
      <c r="M187" s="95" t="s">
        <v>83</v>
      </c>
      <c r="N187" s="19" t="s">
        <v>132</v>
      </c>
      <c r="O187" s="18" t="s">
        <v>87</v>
      </c>
      <c r="P187" s="7"/>
      <c r="Q187" s="7"/>
      <c r="R187" s="7"/>
      <c r="S187" s="7"/>
      <c r="T187" s="7"/>
      <c r="U187" s="20" t="e">
        <f t="shared" si="74"/>
        <v>#DIV/0!</v>
      </c>
      <c r="V187" s="20" t="e">
        <f t="shared" si="75"/>
        <v>#DIV/0!</v>
      </c>
      <c r="W187" s="7"/>
      <c r="X187" s="7"/>
      <c r="Y187" s="7"/>
      <c r="Z187" s="7"/>
      <c r="AA187" s="7"/>
      <c r="AI187" s="28"/>
      <c r="AJ187" s="27"/>
    </row>
    <row r="188" spans="1:36">
      <c r="A188" s="6">
        <v>46138</v>
      </c>
      <c r="B188" s="7" t="s">
        <v>33</v>
      </c>
      <c r="C188" s="33" t="s">
        <v>89</v>
      </c>
      <c r="D188" s="18">
        <v>1655289</v>
      </c>
      <c r="E188" s="18" t="s">
        <v>546</v>
      </c>
      <c r="F188" s="18">
        <v>20926440</v>
      </c>
      <c r="G188" s="18" t="s">
        <v>425</v>
      </c>
      <c r="H188" s="18" t="s">
        <v>543</v>
      </c>
      <c r="I188" s="18" t="s">
        <v>547</v>
      </c>
      <c r="J188" s="18" t="s">
        <v>541</v>
      </c>
      <c r="K188" s="96" t="s">
        <v>540</v>
      </c>
      <c r="L188" s="18"/>
      <c r="M188" s="95" t="s">
        <v>83</v>
      </c>
      <c r="N188" s="19" t="s">
        <v>542</v>
      </c>
      <c r="O188" s="18" t="s">
        <v>87</v>
      </c>
      <c r="P188" s="7"/>
      <c r="Q188" s="7"/>
      <c r="R188" s="7"/>
      <c r="S188" s="7"/>
      <c r="T188" s="7"/>
      <c r="U188" s="20" t="e">
        <f t="shared" si="74"/>
        <v>#DIV/0!</v>
      </c>
      <c r="V188" s="20" t="e">
        <f t="shared" si="75"/>
        <v>#DIV/0!</v>
      </c>
      <c r="W188" s="7"/>
      <c r="X188" s="7"/>
      <c r="Y188" s="7"/>
      <c r="Z188" s="7"/>
      <c r="AA188" s="7"/>
      <c r="AI188" s="28"/>
      <c r="AJ188" s="27"/>
    </row>
    <row r="189" spans="1:36">
      <c r="A189" s="6">
        <v>46138</v>
      </c>
      <c r="B189" s="7" t="s">
        <v>33</v>
      </c>
      <c r="C189" s="13">
        <v>0.45833333333333331</v>
      </c>
      <c r="D189" s="7">
        <v>3333324350</v>
      </c>
      <c r="E189" s="7" t="s">
        <v>550</v>
      </c>
      <c r="F189" s="31">
        <v>20926702</v>
      </c>
      <c r="G189" s="7" t="s">
        <v>425</v>
      </c>
      <c r="H189" s="77" t="s">
        <v>375</v>
      </c>
      <c r="I189" s="7" t="s">
        <v>85</v>
      </c>
      <c r="J189" s="7" t="s">
        <v>84</v>
      </c>
      <c r="K189" s="96"/>
      <c r="L189" s="7"/>
      <c r="M189" s="95" t="s">
        <v>83</v>
      </c>
      <c r="N189" s="15" t="s">
        <v>423</v>
      </c>
      <c r="O189" s="7" t="s">
        <v>87</v>
      </c>
      <c r="P189" s="7">
        <v>285</v>
      </c>
      <c r="Q189" s="7">
        <v>59</v>
      </c>
      <c r="R189" s="7">
        <v>2</v>
      </c>
      <c r="S189" s="7">
        <v>0</v>
      </c>
      <c r="T189" s="7">
        <v>0</v>
      </c>
      <c r="U189" s="20">
        <f t="shared" si="74"/>
        <v>0.20701754385964913</v>
      </c>
      <c r="V189" s="20">
        <f t="shared" si="75"/>
        <v>3.3898305084745763E-2</v>
      </c>
      <c r="W189" s="7"/>
      <c r="X189" s="7"/>
      <c r="Y189" s="7"/>
      <c r="Z189" s="7"/>
      <c r="AA189" s="7"/>
    </row>
    <row r="190" spans="1:36">
      <c r="A190" s="6">
        <v>46138</v>
      </c>
      <c r="B190" s="7" t="s">
        <v>33</v>
      </c>
      <c r="C190" s="13">
        <v>0.47916666666666669</v>
      </c>
      <c r="D190" s="7">
        <v>3333324572</v>
      </c>
      <c r="E190" s="7" t="s">
        <v>551</v>
      </c>
      <c r="F190" s="31">
        <v>20926704</v>
      </c>
      <c r="G190" s="7" t="s">
        <v>425</v>
      </c>
      <c r="H190" s="77" t="s">
        <v>470</v>
      </c>
      <c r="I190" s="7" t="s">
        <v>85</v>
      </c>
      <c r="J190" s="7" t="s">
        <v>84</v>
      </c>
      <c r="K190" s="96"/>
      <c r="L190" s="7"/>
      <c r="M190" s="95" t="s">
        <v>83</v>
      </c>
      <c r="N190" s="15" t="s">
        <v>451</v>
      </c>
      <c r="O190" s="7" t="s">
        <v>87</v>
      </c>
      <c r="P190" s="7">
        <v>4445</v>
      </c>
      <c r="Q190" s="7">
        <v>341</v>
      </c>
      <c r="R190" s="7">
        <v>8</v>
      </c>
      <c r="S190" s="7">
        <v>0</v>
      </c>
      <c r="T190" s="7">
        <v>0</v>
      </c>
      <c r="U190" s="20">
        <f t="shared" si="74"/>
        <v>7.6715410573678297E-2</v>
      </c>
      <c r="V190" s="20">
        <f t="shared" si="75"/>
        <v>2.3460410557184751E-2</v>
      </c>
      <c r="W190" s="7"/>
      <c r="X190" s="7"/>
      <c r="Y190" s="7"/>
      <c r="Z190" s="7"/>
      <c r="AA190" s="7"/>
    </row>
    <row r="191" spans="1:36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36">
      <c r="A192" s="6">
        <v>46138</v>
      </c>
      <c r="B192" s="7" t="s">
        <v>33</v>
      </c>
      <c r="C192" s="50" t="s">
        <v>304</v>
      </c>
      <c r="D192" s="7">
        <v>3328566299</v>
      </c>
      <c r="E192" s="7" t="s">
        <v>280</v>
      </c>
      <c r="F192" s="7">
        <v>20895381</v>
      </c>
      <c r="G192" s="7" t="s">
        <v>198</v>
      </c>
      <c r="H192" s="7" t="s">
        <v>281</v>
      </c>
      <c r="I192" s="7" t="s">
        <v>85</v>
      </c>
      <c r="J192" s="7" t="s">
        <v>84</v>
      </c>
      <c r="K192" s="96" t="s">
        <v>456</v>
      </c>
      <c r="L192" s="7" t="s">
        <v>202</v>
      </c>
      <c r="M192" s="95" t="s">
        <v>201</v>
      </c>
      <c r="N192" s="7" t="s">
        <v>415</v>
      </c>
      <c r="O192" s="7" t="s">
        <v>87</v>
      </c>
      <c r="P192" s="7"/>
      <c r="Q192" s="7"/>
      <c r="R192" s="7"/>
      <c r="S192" s="7"/>
      <c r="T192" s="7"/>
      <c r="U192" s="20" t="e">
        <f t="shared" ref="U192:U195" si="76">Q192/P192</f>
        <v>#DIV/0!</v>
      </c>
      <c r="V192" s="20" t="e">
        <f t="shared" ref="V192:V195" si="77">R192/Q192</f>
        <v>#DIV/0!</v>
      </c>
      <c r="W192" s="7"/>
      <c r="X192" s="7"/>
      <c r="Y192" s="7"/>
      <c r="Z192" s="7"/>
      <c r="AA192" s="7"/>
    </row>
    <row r="193" spans="1:36">
      <c r="A193" s="6">
        <v>46138</v>
      </c>
      <c r="B193" s="7" t="s">
        <v>33</v>
      </c>
      <c r="C193" s="50" t="s">
        <v>86</v>
      </c>
      <c r="D193" s="7">
        <v>3329623467</v>
      </c>
      <c r="E193" s="7" t="s">
        <v>323</v>
      </c>
      <c r="F193" s="7">
        <v>20901515</v>
      </c>
      <c r="G193" s="7" t="s">
        <v>198</v>
      </c>
      <c r="H193" s="7" t="s">
        <v>324</v>
      </c>
      <c r="I193" s="7" t="s">
        <v>85</v>
      </c>
      <c r="J193" s="7" t="s">
        <v>84</v>
      </c>
      <c r="K193" s="96" t="s">
        <v>456</v>
      </c>
      <c r="L193" s="7" t="s">
        <v>202</v>
      </c>
      <c r="M193" s="95" t="s">
        <v>201</v>
      </c>
      <c r="N193" s="7" t="s">
        <v>415</v>
      </c>
      <c r="O193" s="7" t="s">
        <v>87</v>
      </c>
      <c r="P193" s="7"/>
      <c r="Q193" s="7"/>
      <c r="R193" s="7"/>
      <c r="S193" s="7"/>
      <c r="T193" s="7"/>
      <c r="U193" s="20" t="e">
        <f t="shared" si="76"/>
        <v>#DIV/0!</v>
      </c>
      <c r="V193" s="20" t="e">
        <f t="shared" si="77"/>
        <v>#DIV/0!</v>
      </c>
      <c r="W193" s="7"/>
      <c r="X193" s="7"/>
      <c r="Y193" s="7"/>
      <c r="Z193" s="7"/>
      <c r="AA193" s="7"/>
    </row>
    <row r="194" spans="1:36">
      <c r="A194" s="6">
        <v>46138</v>
      </c>
      <c r="B194" s="7" t="s">
        <v>33</v>
      </c>
      <c r="C194" s="50" t="s">
        <v>86</v>
      </c>
      <c r="D194" s="7">
        <v>3324014643</v>
      </c>
      <c r="E194" s="7" t="s">
        <v>197</v>
      </c>
      <c r="F194" s="7">
        <v>20875349</v>
      </c>
      <c r="G194" s="7" t="s">
        <v>198</v>
      </c>
      <c r="H194" s="7" t="s">
        <v>199</v>
      </c>
      <c r="I194" s="7" t="s">
        <v>85</v>
      </c>
      <c r="J194" s="7" t="s">
        <v>84</v>
      </c>
      <c r="K194" s="96" t="s">
        <v>456</v>
      </c>
      <c r="L194" s="7" t="s">
        <v>202</v>
      </c>
      <c r="M194" s="95" t="s">
        <v>201</v>
      </c>
      <c r="N194" s="7" t="s">
        <v>200</v>
      </c>
      <c r="O194" s="7" t="s">
        <v>87</v>
      </c>
      <c r="P194" s="7"/>
      <c r="Q194" s="7"/>
      <c r="R194" s="7"/>
      <c r="S194" s="7"/>
      <c r="T194" s="7"/>
      <c r="U194" s="20" t="e">
        <f t="shared" si="76"/>
        <v>#DIV/0!</v>
      </c>
      <c r="V194" s="20" t="e">
        <f t="shared" si="77"/>
        <v>#DIV/0!</v>
      </c>
      <c r="W194" s="7"/>
      <c r="X194" s="7"/>
      <c r="Y194" s="7"/>
      <c r="Z194" s="7"/>
      <c r="AA194" s="7"/>
    </row>
    <row r="195" spans="1:36">
      <c r="A195" s="6">
        <v>46138</v>
      </c>
      <c r="B195" s="7" t="s">
        <v>33</v>
      </c>
      <c r="C195" s="50" t="s">
        <v>86</v>
      </c>
      <c r="D195" s="7">
        <v>3325254160</v>
      </c>
      <c r="E195" s="7" t="s">
        <v>268</v>
      </c>
      <c r="F195" s="7">
        <v>20887237</v>
      </c>
      <c r="G195" s="7" t="s">
        <v>198</v>
      </c>
      <c r="H195" s="7" t="s">
        <v>269</v>
      </c>
      <c r="I195" s="7" t="s">
        <v>85</v>
      </c>
      <c r="J195" s="7" t="s">
        <v>84</v>
      </c>
      <c r="K195" s="96" t="s">
        <v>456</v>
      </c>
      <c r="L195" s="7" t="s">
        <v>202</v>
      </c>
      <c r="M195" s="95" t="s">
        <v>201</v>
      </c>
      <c r="N195" s="7" t="s">
        <v>205</v>
      </c>
      <c r="O195" s="7" t="s">
        <v>87</v>
      </c>
      <c r="P195" s="7"/>
      <c r="Q195" s="7"/>
      <c r="R195" s="7"/>
      <c r="S195" s="7"/>
      <c r="T195" s="7"/>
      <c r="U195" s="20" t="e">
        <f t="shared" si="76"/>
        <v>#DIV/0!</v>
      </c>
      <c r="V195" s="20" t="e">
        <f t="shared" si="77"/>
        <v>#DIV/0!</v>
      </c>
      <c r="W195" s="7"/>
      <c r="X195" s="7"/>
      <c r="Y195" s="7"/>
      <c r="Z195" s="7"/>
      <c r="AA195" s="7"/>
    </row>
    <row r="196" spans="1:3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36">
      <c r="A197" s="6">
        <v>46138</v>
      </c>
      <c r="B197" s="7" t="s">
        <v>33</v>
      </c>
      <c r="C197" s="50" t="s">
        <v>458</v>
      </c>
      <c r="D197" s="7">
        <v>3332152089</v>
      </c>
      <c r="E197" s="7" t="s">
        <v>462</v>
      </c>
      <c r="F197" s="7">
        <v>20918761</v>
      </c>
      <c r="G197" s="7" t="s">
        <v>471</v>
      </c>
      <c r="H197" s="77" t="s">
        <v>472</v>
      </c>
      <c r="I197" s="7" t="s">
        <v>85</v>
      </c>
      <c r="J197" s="7" t="s">
        <v>84</v>
      </c>
      <c r="K197" s="96" t="s">
        <v>456</v>
      </c>
      <c r="L197" s="7" t="s">
        <v>202</v>
      </c>
      <c r="M197" s="95" t="s">
        <v>29</v>
      </c>
      <c r="N197" s="7" t="s">
        <v>415</v>
      </c>
      <c r="O197" s="7" t="s">
        <v>87</v>
      </c>
      <c r="P197" s="7"/>
      <c r="Q197" s="7"/>
      <c r="R197" s="7"/>
      <c r="S197" s="7"/>
      <c r="T197" s="7"/>
      <c r="U197" s="20" t="e">
        <f t="shared" ref="U197:U198" si="78">Q197/P197</f>
        <v>#DIV/0!</v>
      </c>
      <c r="V197" s="20" t="e">
        <f t="shared" ref="V197:V198" si="79">R197/Q197</f>
        <v>#DIV/0!</v>
      </c>
      <c r="W197" s="7"/>
      <c r="X197" s="7"/>
      <c r="Y197" s="7"/>
      <c r="Z197" s="7"/>
      <c r="AA197" s="7"/>
    </row>
    <row r="198" spans="1:36">
      <c r="A198" s="6">
        <v>46138</v>
      </c>
      <c r="B198" s="7" t="s">
        <v>33</v>
      </c>
      <c r="C198" s="50" t="s">
        <v>86</v>
      </c>
      <c r="D198" s="7">
        <v>3332153046</v>
      </c>
      <c r="E198" s="7" t="s">
        <v>466</v>
      </c>
      <c r="F198" s="7">
        <v>20918880</v>
      </c>
      <c r="G198" s="7" t="s">
        <v>471</v>
      </c>
      <c r="H198" s="77" t="s">
        <v>473</v>
      </c>
      <c r="I198" s="7" t="s">
        <v>85</v>
      </c>
      <c r="J198" s="7" t="s">
        <v>84</v>
      </c>
      <c r="K198" s="96" t="s">
        <v>456</v>
      </c>
      <c r="L198" s="7" t="s">
        <v>202</v>
      </c>
      <c r="M198" s="95" t="s">
        <v>29</v>
      </c>
      <c r="N198" s="7" t="s">
        <v>415</v>
      </c>
      <c r="O198" s="7" t="s">
        <v>87</v>
      </c>
      <c r="P198" s="7"/>
      <c r="Q198" s="7"/>
      <c r="R198" s="7"/>
      <c r="S198" s="7"/>
      <c r="T198" s="7"/>
      <c r="U198" s="20" t="e">
        <f t="shared" si="78"/>
        <v>#DIV/0!</v>
      </c>
      <c r="V198" s="20" t="e">
        <f t="shared" si="79"/>
        <v>#DIV/0!</v>
      </c>
      <c r="W198" s="7"/>
      <c r="X198" s="7"/>
      <c r="Y198" s="7"/>
      <c r="Z198" s="7"/>
      <c r="AA198" s="7"/>
    </row>
    <row r="199" spans="1:36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36">
      <c r="A200" s="6">
        <v>46138</v>
      </c>
      <c r="B200" s="7" t="s">
        <v>33</v>
      </c>
      <c r="C200" s="50" t="s">
        <v>459</v>
      </c>
      <c r="D200" s="7">
        <v>3332177201</v>
      </c>
      <c r="E200" s="7" t="s">
        <v>463</v>
      </c>
      <c r="F200" s="7">
        <v>20918989</v>
      </c>
      <c r="G200" s="7" t="s">
        <v>31</v>
      </c>
      <c r="H200" s="77" t="s">
        <v>475</v>
      </c>
      <c r="I200" s="7" t="s">
        <v>85</v>
      </c>
      <c r="J200" s="7" t="s">
        <v>84</v>
      </c>
      <c r="K200" s="96" t="s">
        <v>456</v>
      </c>
      <c r="L200" s="7" t="s">
        <v>202</v>
      </c>
      <c r="M200" s="95" t="s">
        <v>31</v>
      </c>
      <c r="N200" s="7" t="s">
        <v>415</v>
      </c>
      <c r="O200" s="7" t="s">
        <v>87</v>
      </c>
      <c r="P200" s="7"/>
      <c r="Q200" s="7"/>
      <c r="R200" s="7"/>
      <c r="S200" s="7"/>
      <c r="T200" s="7"/>
      <c r="U200" s="20" t="e">
        <f t="shared" ref="U200:U201" si="80">Q200/P200</f>
        <v>#DIV/0!</v>
      </c>
      <c r="V200" s="20" t="e">
        <f t="shared" ref="V200:V201" si="81">R200/Q200</f>
        <v>#DIV/0!</v>
      </c>
      <c r="W200" s="7"/>
      <c r="X200" s="7"/>
      <c r="Y200" s="7"/>
      <c r="Z200" s="7"/>
      <c r="AA200" s="7"/>
    </row>
    <row r="201" spans="1:36">
      <c r="A201" s="6">
        <v>46138</v>
      </c>
      <c r="B201" s="7" t="s">
        <v>33</v>
      </c>
      <c r="C201" s="50" t="s">
        <v>86</v>
      </c>
      <c r="D201" s="7">
        <v>3332178023</v>
      </c>
      <c r="E201" s="7" t="s">
        <v>467</v>
      </c>
      <c r="F201" s="7">
        <v>20919028</v>
      </c>
      <c r="G201" s="7" t="s">
        <v>31</v>
      </c>
      <c r="H201" s="77" t="s">
        <v>476</v>
      </c>
      <c r="I201" s="7" t="s">
        <v>85</v>
      </c>
      <c r="J201" s="7" t="s">
        <v>84</v>
      </c>
      <c r="K201" s="96" t="s">
        <v>456</v>
      </c>
      <c r="L201" s="7" t="s">
        <v>202</v>
      </c>
      <c r="M201" s="95" t="s">
        <v>31</v>
      </c>
      <c r="N201" s="7" t="s">
        <v>415</v>
      </c>
      <c r="O201" s="7" t="s">
        <v>87</v>
      </c>
      <c r="P201" s="7"/>
      <c r="Q201" s="7"/>
      <c r="R201" s="7"/>
      <c r="S201" s="7"/>
      <c r="T201" s="7"/>
      <c r="U201" s="20" t="e">
        <f t="shared" si="80"/>
        <v>#DIV/0!</v>
      </c>
      <c r="V201" s="20" t="e">
        <f t="shared" si="81"/>
        <v>#DIV/0!</v>
      </c>
      <c r="W201" s="7"/>
      <c r="X201" s="7"/>
      <c r="Y201" s="7"/>
      <c r="Z201" s="7"/>
      <c r="AA201" s="7"/>
    </row>
    <row r="202" spans="1:36" ht="7.8" customHeight="1">
      <c r="A202" s="8"/>
      <c r="B202" s="9"/>
      <c r="C202" s="10"/>
      <c r="D202" s="57"/>
      <c r="E202" s="57"/>
      <c r="F202" s="57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1"/>
      <c r="V202" s="11"/>
      <c r="W202" s="10"/>
      <c r="X202" s="10"/>
      <c r="Y202" s="10"/>
      <c r="Z202" s="11"/>
      <c r="AA202" s="12"/>
    </row>
    <row r="203" spans="1:36">
      <c r="A203" s="6">
        <v>46139</v>
      </c>
      <c r="B203" s="7" t="s">
        <v>36</v>
      </c>
      <c r="C203" s="33" t="s">
        <v>89</v>
      </c>
      <c r="D203" s="18">
        <v>1655163</v>
      </c>
      <c r="E203" s="18" t="s">
        <v>79</v>
      </c>
      <c r="F203" s="18">
        <v>20858469</v>
      </c>
      <c r="G203" s="18" t="s">
        <v>80</v>
      </c>
      <c r="H203" s="18" t="s">
        <v>81</v>
      </c>
      <c r="I203" s="18" t="s">
        <v>85</v>
      </c>
      <c r="J203" s="18" t="s">
        <v>84</v>
      </c>
      <c r="K203" s="14"/>
      <c r="L203" s="18"/>
      <c r="M203" s="95" t="s">
        <v>83</v>
      </c>
      <c r="N203" s="19" t="s">
        <v>88</v>
      </c>
      <c r="O203" s="18" t="s">
        <v>87</v>
      </c>
      <c r="P203" s="7">
        <v>392</v>
      </c>
      <c r="Q203" s="7">
        <v>201</v>
      </c>
      <c r="R203" s="7">
        <v>3</v>
      </c>
      <c r="S203" s="7">
        <v>0</v>
      </c>
      <c r="T203" s="7">
        <v>0</v>
      </c>
      <c r="U203" s="20">
        <f>Q203/P203</f>
        <v>0.51275510204081631</v>
      </c>
      <c r="V203" s="20">
        <f>R203/Q203</f>
        <v>1.4925373134328358E-2</v>
      </c>
      <c r="W203" s="7"/>
      <c r="X203" s="7"/>
      <c r="Y203" s="7"/>
      <c r="Z203" s="7"/>
      <c r="AA203" s="7"/>
      <c r="AE203" s="17" t="s">
        <v>125</v>
      </c>
    </row>
    <row r="204" spans="1:36">
      <c r="A204" s="6">
        <v>46139</v>
      </c>
      <c r="B204" s="7" t="s">
        <v>36</v>
      </c>
      <c r="C204" s="33" t="s">
        <v>89</v>
      </c>
      <c r="D204" s="18">
        <v>1655163</v>
      </c>
      <c r="E204" s="18" t="s">
        <v>214</v>
      </c>
      <c r="F204" s="18">
        <v>20884021</v>
      </c>
      <c r="G204" s="18" t="s">
        <v>212</v>
      </c>
      <c r="H204" s="18" t="s">
        <v>213</v>
      </c>
      <c r="I204" s="18" t="s">
        <v>85</v>
      </c>
      <c r="J204" s="18" t="s">
        <v>84</v>
      </c>
      <c r="K204" s="30"/>
      <c r="L204" s="18"/>
      <c r="M204" s="95" t="s">
        <v>83</v>
      </c>
      <c r="N204" s="19" t="s">
        <v>88</v>
      </c>
      <c r="O204" s="18" t="s">
        <v>87</v>
      </c>
      <c r="P204" s="7">
        <v>383</v>
      </c>
      <c r="Q204" s="7">
        <v>153</v>
      </c>
      <c r="R204" s="7">
        <v>1</v>
      </c>
      <c r="S204" s="7">
        <v>0</v>
      </c>
      <c r="T204" s="7">
        <v>0</v>
      </c>
      <c r="U204" s="20">
        <f>Q204/P204</f>
        <v>0.39947780678851175</v>
      </c>
      <c r="V204" s="20">
        <f>R204/Q204</f>
        <v>6.5359477124183009E-3</v>
      </c>
      <c r="W204" s="7"/>
      <c r="X204" s="7"/>
      <c r="Y204" s="7"/>
      <c r="Z204" s="7"/>
      <c r="AA204" s="7"/>
      <c r="AE204" s="17"/>
    </row>
    <row r="205" spans="1:36">
      <c r="A205" s="6">
        <v>46139</v>
      </c>
      <c r="B205" s="7" t="s">
        <v>36</v>
      </c>
      <c r="C205" s="33" t="s">
        <v>89</v>
      </c>
      <c r="D205" s="18">
        <v>1655164</v>
      </c>
      <c r="E205" s="18" t="s">
        <v>91</v>
      </c>
      <c r="F205" s="18">
        <v>20859118</v>
      </c>
      <c r="G205" s="18" t="s">
        <v>90</v>
      </c>
      <c r="H205" s="18" t="s">
        <v>92</v>
      </c>
      <c r="I205" s="18" t="s">
        <v>85</v>
      </c>
      <c r="J205" s="18" t="s">
        <v>84</v>
      </c>
      <c r="K205" s="29"/>
      <c r="L205" s="18"/>
      <c r="M205" s="95" t="s">
        <v>83</v>
      </c>
      <c r="N205" s="19" t="s">
        <v>93</v>
      </c>
      <c r="O205" s="18" t="s">
        <v>87</v>
      </c>
      <c r="P205" s="7">
        <v>11</v>
      </c>
      <c r="Q205" s="7">
        <v>8</v>
      </c>
      <c r="R205" s="7">
        <v>0</v>
      </c>
      <c r="S205" s="7">
        <v>0</v>
      </c>
      <c r="T205" s="7">
        <v>0</v>
      </c>
      <c r="U205" s="20">
        <f t="shared" ref="U205:U209" si="82">Q205/P205</f>
        <v>0.72727272727272729</v>
      </c>
      <c r="V205" s="20">
        <f t="shared" ref="V205:V209" si="83">R205/Q205</f>
        <v>0</v>
      </c>
      <c r="W205" s="7"/>
      <c r="X205" s="7"/>
      <c r="Y205" s="7"/>
      <c r="Z205" s="7"/>
      <c r="AA205" s="7"/>
      <c r="AE205" t="s">
        <v>82</v>
      </c>
      <c r="AF205">
        <v>115</v>
      </c>
      <c r="AG205">
        <v>11</v>
      </c>
      <c r="AH205">
        <v>0</v>
      </c>
      <c r="AI205" s="28">
        <f>AG205/AF205</f>
        <v>9.5652173913043481E-2</v>
      </c>
      <c r="AJ205" s="27">
        <f>AH205/AG205</f>
        <v>0</v>
      </c>
    </row>
    <row r="206" spans="1:36">
      <c r="A206" s="6">
        <v>46139</v>
      </c>
      <c r="B206" s="7" t="s">
        <v>36</v>
      </c>
      <c r="C206" s="33" t="s">
        <v>89</v>
      </c>
      <c r="D206" s="18">
        <v>1655187</v>
      </c>
      <c r="E206" s="18" t="s">
        <v>131</v>
      </c>
      <c r="F206" s="18">
        <v>20865659</v>
      </c>
      <c r="G206" s="18" t="s">
        <v>103</v>
      </c>
      <c r="H206" s="18" t="s">
        <v>133</v>
      </c>
      <c r="I206" s="18" t="s">
        <v>85</v>
      </c>
      <c r="J206" s="18" t="s">
        <v>84</v>
      </c>
      <c r="K206" s="30"/>
      <c r="L206" s="18"/>
      <c r="M206" s="95" t="s">
        <v>83</v>
      </c>
      <c r="N206" s="19" t="s">
        <v>132</v>
      </c>
      <c r="O206" s="18" t="s">
        <v>87</v>
      </c>
      <c r="P206" s="7">
        <v>210</v>
      </c>
      <c r="Q206" s="7">
        <v>207</v>
      </c>
      <c r="R206" s="7">
        <v>0</v>
      </c>
      <c r="S206" s="7">
        <v>0</v>
      </c>
      <c r="T206" s="7">
        <v>0</v>
      </c>
      <c r="U206" s="20">
        <f t="shared" si="82"/>
        <v>0.98571428571428577</v>
      </c>
      <c r="V206" s="20">
        <f t="shared" si="83"/>
        <v>0</v>
      </c>
      <c r="W206" s="7"/>
      <c r="X206" s="7"/>
      <c r="Y206" s="7"/>
      <c r="Z206" s="7"/>
      <c r="AA206" s="7"/>
      <c r="AI206" s="28"/>
      <c r="AJ206" s="27"/>
    </row>
    <row r="207" spans="1:36">
      <c r="A207" s="6">
        <v>46139</v>
      </c>
      <c r="B207" s="7" t="s">
        <v>36</v>
      </c>
      <c r="C207" s="33" t="s">
        <v>89</v>
      </c>
      <c r="D207" s="18">
        <v>1655289</v>
      </c>
      <c r="E207" s="18" t="s">
        <v>546</v>
      </c>
      <c r="F207" s="18">
        <v>20926440</v>
      </c>
      <c r="G207" s="18" t="s">
        <v>425</v>
      </c>
      <c r="H207" s="18" t="s">
        <v>543</v>
      </c>
      <c r="I207" s="18" t="s">
        <v>547</v>
      </c>
      <c r="J207" s="18" t="s">
        <v>541</v>
      </c>
      <c r="K207" s="96"/>
      <c r="L207" s="18"/>
      <c r="M207" s="95" t="s">
        <v>83</v>
      </c>
      <c r="N207" s="19" t="s">
        <v>542</v>
      </c>
      <c r="O207" s="18" t="s">
        <v>87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20" t="e">
        <f t="shared" si="82"/>
        <v>#DIV/0!</v>
      </c>
      <c r="V207" s="20" t="e">
        <f t="shared" si="83"/>
        <v>#DIV/0!</v>
      </c>
      <c r="W207" s="7"/>
      <c r="X207" s="7"/>
      <c r="Y207" s="7"/>
      <c r="Z207" s="7"/>
      <c r="AA207" s="7"/>
      <c r="AI207" s="28"/>
      <c r="AJ207" s="27"/>
    </row>
    <row r="208" spans="1:36">
      <c r="A208" s="6">
        <v>46139</v>
      </c>
      <c r="B208" s="7" t="s">
        <v>36</v>
      </c>
      <c r="C208" s="13">
        <v>0.45833333333333331</v>
      </c>
      <c r="D208" s="7">
        <v>3336706436</v>
      </c>
      <c r="E208" s="7" t="s">
        <v>678</v>
      </c>
      <c r="F208" s="31">
        <v>20936120</v>
      </c>
      <c r="G208" s="7" t="s">
        <v>680</v>
      </c>
      <c r="H208" s="77" t="s">
        <v>681</v>
      </c>
      <c r="I208" s="7" t="s">
        <v>85</v>
      </c>
      <c r="J208" s="7" t="s">
        <v>84</v>
      </c>
      <c r="K208" s="60" t="s">
        <v>209</v>
      </c>
      <c r="L208" s="7"/>
      <c r="M208" s="95" t="s">
        <v>83</v>
      </c>
      <c r="N208" s="15" t="s">
        <v>423</v>
      </c>
      <c r="O208" s="7" t="s">
        <v>87</v>
      </c>
      <c r="P208" s="7">
        <v>271</v>
      </c>
      <c r="Q208" s="7">
        <v>127</v>
      </c>
      <c r="R208" s="7">
        <v>6</v>
      </c>
      <c r="S208" s="7">
        <v>0</v>
      </c>
      <c r="T208" s="7">
        <v>0</v>
      </c>
      <c r="U208" s="20">
        <f t="shared" si="82"/>
        <v>0.46863468634686345</v>
      </c>
      <c r="V208" s="20">
        <f t="shared" si="83"/>
        <v>4.7244094488188976E-2</v>
      </c>
      <c r="W208" s="7"/>
      <c r="X208" s="7"/>
      <c r="Y208" s="7"/>
      <c r="Z208" s="7"/>
      <c r="AA208" s="7"/>
    </row>
    <row r="209" spans="1:36">
      <c r="A209" s="6">
        <v>46139</v>
      </c>
      <c r="B209" s="7" t="s">
        <v>36</v>
      </c>
      <c r="C209" s="13">
        <v>0.47916666666666669</v>
      </c>
      <c r="D209" s="7">
        <v>3336708898</v>
      </c>
      <c r="E209" s="7" t="s">
        <v>679</v>
      </c>
      <c r="F209" s="31">
        <v>20936194</v>
      </c>
      <c r="G209" s="101" t="s">
        <v>680</v>
      </c>
      <c r="H209" s="77" t="s">
        <v>682</v>
      </c>
      <c r="I209" s="7" t="s">
        <v>85</v>
      </c>
      <c r="J209" s="7" t="s">
        <v>84</v>
      </c>
      <c r="K209" s="60" t="s">
        <v>209</v>
      </c>
      <c r="L209" s="7"/>
      <c r="M209" s="95" t="s">
        <v>83</v>
      </c>
      <c r="N209" s="15" t="s">
        <v>451</v>
      </c>
      <c r="O209" s="7" t="s">
        <v>87</v>
      </c>
      <c r="P209" s="7">
        <v>4451</v>
      </c>
      <c r="Q209" s="7">
        <v>402</v>
      </c>
      <c r="R209" s="7">
        <v>9</v>
      </c>
      <c r="S209" s="7">
        <v>1</v>
      </c>
      <c r="T209" s="7">
        <v>0</v>
      </c>
      <c r="U209" s="20">
        <f t="shared" si="82"/>
        <v>9.0316782745450463E-2</v>
      </c>
      <c r="V209" s="20">
        <f t="shared" si="83"/>
        <v>2.2388059701492536E-2</v>
      </c>
      <c r="W209" s="7"/>
      <c r="X209" s="7"/>
      <c r="Y209" s="7"/>
      <c r="Z209" s="7"/>
      <c r="AA209" s="7"/>
    </row>
    <row r="210" spans="1:36">
      <c r="A210" s="6">
        <v>46139</v>
      </c>
      <c r="B210" s="7" t="s">
        <v>36</v>
      </c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36">
      <c r="A211" s="6">
        <v>46139</v>
      </c>
      <c r="B211" s="7" t="s">
        <v>36</v>
      </c>
      <c r="C211" s="50" t="s">
        <v>304</v>
      </c>
      <c r="D211" s="7">
        <v>3328566299</v>
      </c>
      <c r="E211" s="7" t="s">
        <v>280</v>
      </c>
      <c r="F211" s="7">
        <v>20895381</v>
      </c>
      <c r="G211" s="7" t="s">
        <v>198</v>
      </c>
      <c r="H211" s="7" t="s">
        <v>281</v>
      </c>
      <c r="I211" s="7" t="s">
        <v>85</v>
      </c>
      <c r="J211" s="7" t="s">
        <v>84</v>
      </c>
      <c r="K211" s="96" t="s">
        <v>456</v>
      </c>
      <c r="L211" s="7" t="s">
        <v>202</v>
      </c>
      <c r="M211" s="95" t="s">
        <v>201</v>
      </c>
      <c r="N211" s="7" t="s">
        <v>415</v>
      </c>
      <c r="O211" s="7" t="s">
        <v>87</v>
      </c>
      <c r="P211" s="7">
        <v>1343</v>
      </c>
      <c r="Q211" s="7">
        <v>179</v>
      </c>
      <c r="R211" s="7">
        <v>3</v>
      </c>
      <c r="S211" s="7">
        <v>0</v>
      </c>
      <c r="T211" s="7">
        <v>0</v>
      </c>
      <c r="U211" s="20">
        <f t="shared" ref="U211:U214" si="84">Q211/P211</f>
        <v>0.13328369322412509</v>
      </c>
      <c r="V211" s="20">
        <f t="shared" ref="V211:V214" si="85">R211/Q211</f>
        <v>1.6759776536312849E-2</v>
      </c>
      <c r="W211" s="7"/>
      <c r="X211" s="7"/>
      <c r="Y211" s="7"/>
      <c r="Z211" s="7"/>
      <c r="AA211" s="7"/>
    </row>
    <row r="212" spans="1:36">
      <c r="A212" s="6">
        <v>46139</v>
      </c>
      <c r="B212" s="7" t="s">
        <v>36</v>
      </c>
      <c r="C212" s="50" t="s">
        <v>86</v>
      </c>
      <c r="D212" s="7">
        <v>3329623467</v>
      </c>
      <c r="E212" s="7" t="s">
        <v>323</v>
      </c>
      <c r="F212" s="7">
        <v>20901515</v>
      </c>
      <c r="G212" s="7" t="s">
        <v>198</v>
      </c>
      <c r="H212" s="7" t="s">
        <v>324</v>
      </c>
      <c r="I212" s="7" t="s">
        <v>85</v>
      </c>
      <c r="J212" s="7" t="s">
        <v>84</v>
      </c>
      <c r="K212" s="96" t="s">
        <v>456</v>
      </c>
      <c r="L212" s="7" t="s">
        <v>202</v>
      </c>
      <c r="M212" s="95" t="s">
        <v>201</v>
      </c>
      <c r="N212" s="7" t="s">
        <v>415</v>
      </c>
      <c r="O212" s="7" t="s">
        <v>87</v>
      </c>
      <c r="P212" s="7">
        <v>179</v>
      </c>
      <c r="Q212" s="7">
        <v>17</v>
      </c>
      <c r="R212" s="7">
        <v>0</v>
      </c>
      <c r="S212" s="7">
        <v>0</v>
      </c>
      <c r="T212" s="7">
        <v>0</v>
      </c>
      <c r="U212" s="20">
        <f t="shared" si="84"/>
        <v>9.4972067039106142E-2</v>
      </c>
      <c r="V212" s="20">
        <f t="shared" si="85"/>
        <v>0</v>
      </c>
      <c r="W212" s="7"/>
      <c r="X212" s="7"/>
      <c r="Y212" s="7"/>
      <c r="Z212" s="7"/>
      <c r="AA212" s="7"/>
    </row>
    <row r="213" spans="1:36">
      <c r="A213" s="6">
        <v>46139</v>
      </c>
      <c r="B213" s="7" t="s">
        <v>36</v>
      </c>
      <c r="C213" s="50" t="s">
        <v>86</v>
      </c>
      <c r="D213" s="7">
        <v>3324014643</v>
      </c>
      <c r="E213" s="7" t="s">
        <v>197</v>
      </c>
      <c r="F213" s="7">
        <v>20875349</v>
      </c>
      <c r="G213" s="7" t="s">
        <v>198</v>
      </c>
      <c r="H213" s="7" t="s">
        <v>199</v>
      </c>
      <c r="I213" s="7" t="s">
        <v>85</v>
      </c>
      <c r="J213" s="7" t="s">
        <v>84</v>
      </c>
      <c r="K213" s="96" t="s">
        <v>456</v>
      </c>
      <c r="L213" s="7" t="s">
        <v>202</v>
      </c>
      <c r="M213" s="95" t="s">
        <v>201</v>
      </c>
      <c r="N213" s="7" t="s">
        <v>200</v>
      </c>
      <c r="O213" s="7" t="s">
        <v>87</v>
      </c>
      <c r="P213" s="7">
        <v>11</v>
      </c>
      <c r="Q213" s="7">
        <v>1</v>
      </c>
      <c r="R213" s="7">
        <v>0</v>
      </c>
      <c r="S213" s="7">
        <v>0</v>
      </c>
      <c r="T213" s="7">
        <v>0</v>
      </c>
      <c r="U213" s="20">
        <f t="shared" si="84"/>
        <v>9.0909090909090912E-2</v>
      </c>
      <c r="V213" s="20">
        <f t="shared" si="85"/>
        <v>0</v>
      </c>
      <c r="W213" s="7"/>
      <c r="X213" s="7"/>
      <c r="Y213" s="7"/>
      <c r="Z213" s="7"/>
      <c r="AA213" s="7"/>
    </row>
    <row r="214" spans="1:36">
      <c r="A214" s="6">
        <v>46139</v>
      </c>
      <c r="B214" s="7" t="s">
        <v>36</v>
      </c>
      <c r="C214" s="50" t="s">
        <v>86</v>
      </c>
      <c r="D214" s="7">
        <v>3325254160</v>
      </c>
      <c r="E214" s="7" t="s">
        <v>268</v>
      </c>
      <c r="F214" s="7">
        <v>20887237</v>
      </c>
      <c r="G214" s="7" t="s">
        <v>198</v>
      </c>
      <c r="H214" s="7" t="s">
        <v>269</v>
      </c>
      <c r="I214" s="7" t="s">
        <v>85</v>
      </c>
      <c r="J214" s="7" t="s">
        <v>84</v>
      </c>
      <c r="K214" s="96" t="s">
        <v>456</v>
      </c>
      <c r="L214" s="7" t="s">
        <v>202</v>
      </c>
      <c r="M214" s="95" t="s">
        <v>201</v>
      </c>
      <c r="N214" s="7" t="s">
        <v>205</v>
      </c>
      <c r="O214" s="7" t="s">
        <v>87</v>
      </c>
      <c r="P214" s="7">
        <v>15</v>
      </c>
      <c r="Q214" s="7">
        <v>1</v>
      </c>
      <c r="R214" s="7">
        <v>0</v>
      </c>
      <c r="S214" s="7">
        <v>0</v>
      </c>
      <c r="T214" s="7">
        <v>0</v>
      </c>
      <c r="U214" s="20">
        <f t="shared" si="84"/>
        <v>6.6666666666666666E-2</v>
      </c>
      <c r="V214" s="20">
        <f t="shared" si="85"/>
        <v>0</v>
      </c>
      <c r="W214" s="7"/>
      <c r="X214" s="7"/>
      <c r="Y214" s="7"/>
      <c r="Z214" s="7"/>
      <c r="AA214" s="7"/>
    </row>
    <row r="215" spans="1:36">
      <c r="A215" s="6">
        <v>46139</v>
      </c>
      <c r="B215" s="7" t="s">
        <v>36</v>
      </c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36">
      <c r="A216" s="6">
        <v>46139</v>
      </c>
      <c r="B216" s="7" t="s">
        <v>36</v>
      </c>
      <c r="C216" s="50" t="s">
        <v>458</v>
      </c>
      <c r="D216" s="7">
        <v>3332152089</v>
      </c>
      <c r="E216" s="7" t="s">
        <v>462</v>
      </c>
      <c r="F216" s="7">
        <v>20918761</v>
      </c>
      <c r="G216" s="7" t="s">
        <v>471</v>
      </c>
      <c r="H216" s="77" t="s">
        <v>472</v>
      </c>
      <c r="I216" s="7" t="s">
        <v>85</v>
      </c>
      <c r="J216" s="7" t="s">
        <v>84</v>
      </c>
      <c r="K216" s="96" t="s">
        <v>456</v>
      </c>
      <c r="L216" s="7" t="s">
        <v>202</v>
      </c>
      <c r="M216" s="95" t="s">
        <v>29</v>
      </c>
      <c r="N216" s="7" t="s">
        <v>415</v>
      </c>
      <c r="O216" s="7" t="s">
        <v>87</v>
      </c>
      <c r="P216" s="7">
        <v>1548</v>
      </c>
      <c r="Q216" s="7">
        <v>157</v>
      </c>
      <c r="R216" s="7">
        <v>2</v>
      </c>
      <c r="S216" s="7">
        <v>0</v>
      </c>
      <c r="T216" s="7">
        <v>0</v>
      </c>
      <c r="U216" s="20">
        <f t="shared" ref="U216:U217" si="86">Q216/P216</f>
        <v>0.10142118863049096</v>
      </c>
      <c r="V216" s="20">
        <f t="shared" ref="V216:V217" si="87">R216/Q216</f>
        <v>1.2738853503184714E-2</v>
      </c>
      <c r="W216" s="7"/>
      <c r="X216" s="7"/>
      <c r="Y216" s="7"/>
      <c r="Z216" s="7"/>
      <c r="AA216" s="7"/>
    </row>
    <row r="217" spans="1:36">
      <c r="A217" s="6">
        <v>46139</v>
      </c>
      <c r="B217" s="7" t="s">
        <v>36</v>
      </c>
      <c r="C217" s="50" t="s">
        <v>86</v>
      </c>
      <c r="D217" s="7">
        <v>3332153046</v>
      </c>
      <c r="E217" s="7" t="s">
        <v>466</v>
      </c>
      <c r="F217" s="7">
        <v>20918880</v>
      </c>
      <c r="G217" s="7" t="s">
        <v>471</v>
      </c>
      <c r="H217" s="77" t="s">
        <v>473</v>
      </c>
      <c r="I217" s="7" t="s">
        <v>85</v>
      </c>
      <c r="J217" s="7" t="s">
        <v>84</v>
      </c>
      <c r="K217" s="96" t="s">
        <v>456</v>
      </c>
      <c r="L217" s="7" t="s">
        <v>202</v>
      </c>
      <c r="M217" s="95" t="s">
        <v>29</v>
      </c>
      <c r="N217" s="7" t="s">
        <v>415</v>
      </c>
      <c r="O217" s="7" t="s">
        <v>87</v>
      </c>
      <c r="P217" s="7">
        <v>149</v>
      </c>
      <c r="Q217" s="7">
        <v>17</v>
      </c>
      <c r="R217" s="7">
        <v>0</v>
      </c>
      <c r="S217" s="7">
        <v>0</v>
      </c>
      <c r="T217" s="7">
        <v>0</v>
      </c>
      <c r="U217" s="20">
        <f t="shared" si="86"/>
        <v>0.11409395973154363</v>
      </c>
      <c r="V217" s="20">
        <f t="shared" si="87"/>
        <v>0</v>
      </c>
      <c r="W217" s="7"/>
      <c r="X217" s="7"/>
      <c r="Y217" s="7"/>
      <c r="Z217" s="7"/>
      <c r="AA217" s="7"/>
    </row>
    <row r="218" spans="1:36">
      <c r="A218" s="6">
        <v>46139</v>
      </c>
      <c r="B218" s="7" t="s">
        <v>36</v>
      </c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36">
      <c r="A219" s="6">
        <v>46139</v>
      </c>
      <c r="B219" s="7" t="s">
        <v>36</v>
      </c>
      <c r="C219" s="50" t="s">
        <v>459</v>
      </c>
      <c r="D219" s="7">
        <v>3332177201</v>
      </c>
      <c r="E219" s="7" t="s">
        <v>463</v>
      </c>
      <c r="F219" s="7">
        <v>20918989</v>
      </c>
      <c r="G219" s="7" t="s">
        <v>31</v>
      </c>
      <c r="H219" s="77" t="s">
        <v>475</v>
      </c>
      <c r="I219" s="7" t="s">
        <v>85</v>
      </c>
      <c r="J219" s="7" t="s">
        <v>84</v>
      </c>
      <c r="K219" s="96" t="s">
        <v>456</v>
      </c>
      <c r="L219" s="7" t="s">
        <v>202</v>
      </c>
      <c r="M219" s="95" t="s">
        <v>31</v>
      </c>
      <c r="N219" s="7" t="s">
        <v>415</v>
      </c>
      <c r="O219" s="7" t="s">
        <v>87</v>
      </c>
      <c r="P219" s="7">
        <v>1548</v>
      </c>
      <c r="Q219" s="7">
        <v>269</v>
      </c>
      <c r="R219" s="7">
        <v>11</v>
      </c>
      <c r="S219" s="7">
        <v>0</v>
      </c>
      <c r="T219" s="7">
        <v>0</v>
      </c>
      <c r="U219" s="20">
        <f t="shared" ref="U219:U220" si="88">Q219/P219</f>
        <v>0.17377260981912146</v>
      </c>
      <c r="V219" s="20">
        <f t="shared" ref="V219:V220" si="89">R219/Q219</f>
        <v>4.0892193308550186E-2</v>
      </c>
      <c r="W219" s="7"/>
      <c r="X219" s="7"/>
      <c r="Y219" s="7"/>
      <c r="Z219" s="7"/>
      <c r="AA219" s="7"/>
    </row>
    <row r="220" spans="1:36">
      <c r="A220" s="6">
        <v>46139</v>
      </c>
      <c r="B220" s="7" t="s">
        <v>36</v>
      </c>
      <c r="C220" s="50" t="s">
        <v>86</v>
      </c>
      <c r="D220" s="7">
        <v>3332178023</v>
      </c>
      <c r="E220" s="7" t="s">
        <v>467</v>
      </c>
      <c r="F220" s="7">
        <v>20919028</v>
      </c>
      <c r="G220" s="7" t="s">
        <v>31</v>
      </c>
      <c r="H220" s="77" t="s">
        <v>476</v>
      </c>
      <c r="I220" s="7" t="s">
        <v>85</v>
      </c>
      <c r="J220" s="7" t="s">
        <v>84</v>
      </c>
      <c r="K220" s="96" t="s">
        <v>456</v>
      </c>
      <c r="L220" s="7" t="s">
        <v>202</v>
      </c>
      <c r="M220" s="95" t="s">
        <v>31</v>
      </c>
      <c r="N220" s="7" t="s">
        <v>415</v>
      </c>
      <c r="O220" s="7" t="s">
        <v>87</v>
      </c>
      <c r="P220" s="7">
        <v>226</v>
      </c>
      <c r="Q220" s="7">
        <v>214</v>
      </c>
      <c r="R220" s="7">
        <v>18</v>
      </c>
      <c r="S220" s="7">
        <v>0</v>
      </c>
      <c r="T220" s="7">
        <v>0</v>
      </c>
      <c r="U220" s="20">
        <f t="shared" si="88"/>
        <v>0.94690265486725667</v>
      </c>
      <c r="V220" s="20">
        <f t="shared" si="89"/>
        <v>8.4112149532710276E-2</v>
      </c>
      <c r="W220" s="7"/>
      <c r="X220" s="7"/>
      <c r="Y220" s="7"/>
      <c r="Z220" s="7"/>
      <c r="AA220" s="7"/>
    </row>
    <row r="221" spans="1:36" ht="7.8" customHeight="1">
      <c r="A221" s="8"/>
      <c r="B221" s="9"/>
      <c r="C221" s="10"/>
      <c r="D221" s="57"/>
      <c r="E221" s="57"/>
      <c r="F221" s="57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1"/>
      <c r="V221" s="11"/>
      <c r="W221" s="10"/>
      <c r="X221" s="10"/>
      <c r="Y221" s="10"/>
      <c r="Z221" s="11"/>
      <c r="AA221" s="12"/>
    </row>
    <row r="222" spans="1:36">
      <c r="A222" s="6">
        <v>46140</v>
      </c>
      <c r="B222" s="7" t="s">
        <v>78</v>
      </c>
      <c r="C222" s="33" t="s">
        <v>89</v>
      </c>
      <c r="D222" s="18">
        <v>1655163</v>
      </c>
      <c r="E222" s="18" t="s">
        <v>79</v>
      </c>
      <c r="F222" s="18">
        <v>20858469</v>
      </c>
      <c r="G222" s="18" t="s">
        <v>80</v>
      </c>
      <c r="H222" s="18" t="s">
        <v>81</v>
      </c>
      <c r="I222" s="18" t="s">
        <v>85</v>
      </c>
      <c r="J222" s="18" t="s">
        <v>84</v>
      </c>
      <c r="K222" s="14"/>
      <c r="L222" s="18"/>
      <c r="M222" s="95" t="s">
        <v>83</v>
      </c>
      <c r="N222" s="19" t="s">
        <v>88</v>
      </c>
      <c r="O222" s="18" t="s">
        <v>87</v>
      </c>
      <c r="P222" s="7">
        <v>351</v>
      </c>
      <c r="Q222" s="7">
        <v>133</v>
      </c>
      <c r="R222" s="7">
        <v>1</v>
      </c>
      <c r="S222" s="7">
        <v>0</v>
      </c>
      <c r="T222" s="7">
        <v>0</v>
      </c>
      <c r="U222" s="125">
        <f>Q222/P222</f>
        <v>0.37891737891737892</v>
      </c>
      <c r="V222" s="125">
        <f>R222/Q222</f>
        <v>7.5187969924812026E-3</v>
      </c>
      <c r="W222" s="7"/>
      <c r="X222" s="7"/>
      <c r="Y222" s="7"/>
      <c r="Z222" s="7"/>
      <c r="AA222" s="7"/>
      <c r="AE222" s="17" t="s">
        <v>125</v>
      </c>
    </row>
    <row r="223" spans="1:36">
      <c r="A223" s="6">
        <v>46140</v>
      </c>
      <c r="B223" s="7" t="s">
        <v>78</v>
      </c>
      <c r="C223" s="33" t="s">
        <v>89</v>
      </c>
      <c r="D223" s="18">
        <v>1655163</v>
      </c>
      <c r="E223" s="18" t="s">
        <v>214</v>
      </c>
      <c r="F223" s="18">
        <v>20884021</v>
      </c>
      <c r="G223" s="18" t="s">
        <v>212</v>
      </c>
      <c r="H223" s="18" t="s">
        <v>213</v>
      </c>
      <c r="I223" s="18" t="s">
        <v>85</v>
      </c>
      <c r="J223" s="18" t="s">
        <v>84</v>
      </c>
      <c r="K223" s="30"/>
      <c r="L223" s="18"/>
      <c r="M223" s="95" t="s">
        <v>83</v>
      </c>
      <c r="N223" s="19" t="s">
        <v>88</v>
      </c>
      <c r="O223" s="18" t="s">
        <v>87</v>
      </c>
      <c r="P223" s="7">
        <v>348</v>
      </c>
      <c r="Q223" s="7">
        <v>130</v>
      </c>
      <c r="R223" s="7">
        <v>0</v>
      </c>
      <c r="S223" s="7">
        <v>0</v>
      </c>
      <c r="T223" s="7">
        <v>0</v>
      </c>
      <c r="U223" s="125">
        <f t="shared" ref="U223:U228" si="90">Q223/P223</f>
        <v>0.37356321839080459</v>
      </c>
      <c r="V223" s="125">
        <f t="shared" ref="V223:V228" si="91">R223/Q223</f>
        <v>0</v>
      </c>
      <c r="W223" s="7"/>
      <c r="X223" s="7"/>
      <c r="Y223" s="7"/>
      <c r="Z223" s="7"/>
      <c r="AA223" s="7"/>
      <c r="AE223" s="17"/>
    </row>
    <row r="224" spans="1:36">
      <c r="A224" s="6">
        <v>46140</v>
      </c>
      <c r="B224" s="7" t="s">
        <v>78</v>
      </c>
      <c r="C224" s="33" t="s">
        <v>89</v>
      </c>
      <c r="D224" s="18">
        <v>1655164</v>
      </c>
      <c r="E224" s="18" t="s">
        <v>91</v>
      </c>
      <c r="F224" s="18">
        <v>20859118</v>
      </c>
      <c r="G224" s="18" t="s">
        <v>90</v>
      </c>
      <c r="H224" s="18" t="s">
        <v>92</v>
      </c>
      <c r="I224" s="18" t="s">
        <v>85</v>
      </c>
      <c r="J224" s="18" t="s">
        <v>84</v>
      </c>
      <c r="K224" s="29"/>
      <c r="L224" s="18"/>
      <c r="M224" s="95" t="s">
        <v>83</v>
      </c>
      <c r="N224" s="19" t="s">
        <v>93</v>
      </c>
      <c r="O224" s="18" t="s">
        <v>87</v>
      </c>
      <c r="P224" s="7">
        <v>9</v>
      </c>
      <c r="Q224" s="7">
        <v>6</v>
      </c>
      <c r="R224" s="7">
        <v>0</v>
      </c>
      <c r="S224" s="7">
        <v>0</v>
      </c>
      <c r="T224" s="7">
        <v>0</v>
      </c>
      <c r="U224" s="125">
        <f t="shared" si="90"/>
        <v>0.66666666666666663</v>
      </c>
      <c r="V224" s="125">
        <f t="shared" si="91"/>
        <v>0</v>
      </c>
      <c r="W224" s="7"/>
      <c r="X224" s="7"/>
      <c r="Y224" s="7"/>
      <c r="Z224" s="7"/>
      <c r="AA224" s="7"/>
      <c r="AE224" t="s">
        <v>82</v>
      </c>
      <c r="AF224">
        <v>115</v>
      </c>
      <c r="AG224">
        <v>11</v>
      </c>
      <c r="AH224">
        <v>0</v>
      </c>
      <c r="AI224" s="28">
        <f>AG224/AF224</f>
        <v>9.5652173913043481E-2</v>
      </c>
      <c r="AJ224" s="27">
        <f>AH224/AG224</f>
        <v>0</v>
      </c>
    </row>
    <row r="225" spans="1:36">
      <c r="A225" s="6">
        <v>46140</v>
      </c>
      <c r="B225" s="7" t="s">
        <v>78</v>
      </c>
      <c r="C225" s="33" t="s">
        <v>89</v>
      </c>
      <c r="D225" s="18">
        <v>1655187</v>
      </c>
      <c r="E225" s="18" t="s">
        <v>131</v>
      </c>
      <c r="F225" s="18">
        <v>20865659</v>
      </c>
      <c r="G225" s="18" t="s">
        <v>103</v>
      </c>
      <c r="H225" s="18" t="s">
        <v>133</v>
      </c>
      <c r="I225" s="18" t="s">
        <v>85</v>
      </c>
      <c r="J225" s="18" t="s">
        <v>84</v>
      </c>
      <c r="K225" s="30"/>
      <c r="L225" s="18"/>
      <c r="M225" s="95" t="s">
        <v>83</v>
      </c>
      <c r="N225" s="19" t="s">
        <v>132</v>
      </c>
      <c r="O225" s="18" t="s">
        <v>87</v>
      </c>
      <c r="P225" s="7">
        <v>166</v>
      </c>
      <c r="Q225" s="7">
        <v>148</v>
      </c>
      <c r="R225" s="7">
        <v>1</v>
      </c>
      <c r="S225" s="7">
        <v>0</v>
      </c>
      <c r="T225" s="7">
        <v>0</v>
      </c>
      <c r="U225" s="125">
        <f t="shared" si="90"/>
        <v>0.89156626506024095</v>
      </c>
      <c r="V225" s="125">
        <f t="shared" si="91"/>
        <v>6.7567567567567571E-3</v>
      </c>
      <c r="W225" s="7"/>
      <c r="X225" s="7"/>
      <c r="Y225" s="7"/>
      <c r="Z225" s="7"/>
      <c r="AA225" s="7"/>
      <c r="AI225" s="28"/>
      <c r="AJ225" s="27"/>
    </row>
    <row r="226" spans="1:36" s="119" customFormat="1">
      <c r="A226" s="114">
        <v>46140</v>
      </c>
      <c r="B226" s="51" t="s">
        <v>78</v>
      </c>
      <c r="C226" s="115" t="s">
        <v>89</v>
      </c>
      <c r="D226" s="116">
        <v>1655289</v>
      </c>
      <c r="E226" s="116" t="s">
        <v>546</v>
      </c>
      <c r="F226" s="116">
        <v>20926440</v>
      </c>
      <c r="G226" s="116" t="s">
        <v>425</v>
      </c>
      <c r="H226" s="116" t="s">
        <v>543</v>
      </c>
      <c r="I226" s="116" t="s">
        <v>547</v>
      </c>
      <c r="J226" s="116" t="s">
        <v>541</v>
      </c>
      <c r="K226" s="83"/>
      <c r="L226" s="116"/>
      <c r="M226" s="117" t="s">
        <v>83</v>
      </c>
      <c r="N226" s="118" t="s">
        <v>542</v>
      </c>
      <c r="O226" s="116" t="s">
        <v>87</v>
      </c>
      <c r="P226" s="51"/>
      <c r="Q226" s="51"/>
      <c r="R226" s="51"/>
      <c r="S226" s="51"/>
      <c r="T226" s="51"/>
      <c r="U226" s="125" t="e">
        <f t="shared" si="90"/>
        <v>#DIV/0!</v>
      </c>
      <c r="V226" s="125" t="e">
        <f t="shared" si="91"/>
        <v>#DIV/0!</v>
      </c>
      <c r="W226" s="51"/>
      <c r="X226" s="51"/>
      <c r="Y226" s="51"/>
      <c r="Z226" s="51"/>
      <c r="AA226" s="51"/>
      <c r="AI226" s="28"/>
      <c r="AJ226" s="28"/>
    </row>
    <row r="227" spans="1:36">
      <c r="A227" s="6">
        <v>46140</v>
      </c>
      <c r="B227" s="7" t="s">
        <v>78</v>
      </c>
      <c r="C227" s="13">
        <v>0.45833333333333331</v>
      </c>
      <c r="D227" s="7">
        <v>3337973622</v>
      </c>
      <c r="E227" s="7" t="s">
        <v>766</v>
      </c>
      <c r="F227" s="31">
        <v>20943561</v>
      </c>
      <c r="G227" s="7" t="s">
        <v>680</v>
      </c>
      <c r="H227" s="77" t="s">
        <v>768</v>
      </c>
      <c r="I227" s="7" t="s">
        <v>85</v>
      </c>
      <c r="J227" s="7" t="s">
        <v>84</v>
      </c>
      <c r="K227" s="60" t="s">
        <v>209</v>
      </c>
      <c r="L227" s="7"/>
      <c r="M227" s="95" t="s">
        <v>83</v>
      </c>
      <c r="N227" s="15" t="s">
        <v>423</v>
      </c>
      <c r="O227" s="7" t="s">
        <v>87</v>
      </c>
      <c r="P227" s="7">
        <v>275</v>
      </c>
      <c r="Q227" s="7">
        <v>124</v>
      </c>
      <c r="R227" s="7">
        <v>5</v>
      </c>
      <c r="S227" s="7">
        <v>0</v>
      </c>
      <c r="T227" s="7">
        <v>0</v>
      </c>
      <c r="U227" s="125">
        <f t="shared" si="90"/>
        <v>0.45090909090909093</v>
      </c>
      <c r="V227" s="125">
        <f t="shared" si="91"/>
        <v>4.0322580645161289E-2</v>
      </c>
      <c r="W227" s="7"/>
      <c r="X227" s="7"/>
      <c r="Y227" s="7"/>
      <c r="Z227" s="7"/>
      <c r="AA227" s="7"/>
    </row>
    <row r="228" spans="1:36">
      <c r="A228" s="6">
        <v>46140</v>
      </c>
      <c r="B228" s="7" t="s">
        <v>78</v>
      </c>
      <c r="C228" s="13">
        <v>0.47916666666666669</v>
      </c>
      <c r="D228" s="7">
        <v>3337975970</v>
      </c>
      <c r="E228" s="7" t="s">
        <v>767</v>
      </c>
      <c r="F228" s="31">
        <v>20943619</v>
      </c>
      <c r="G228" s="101" t="s">
        <v>680</v>
      </c>
      <c r="H228" s="77" t="s">
        <v>769</v>
      </c>
      <c r="I228" s="7" t="s">
        <v>85</v>
      </c>
      <c r="J228" s="7" t="s">
        <v>84</v>
      </c>
      <c r="K228" s="60" t="s">
        <v>209</v>
      </c>
      <c r="L228" s="7"/>
      <c r="M228" s="95" t="s">
        <v>83</v>
      </c>
      <c r="N228" s="15" t="s">
        <v>451</v>
      </c>
      <c r="O228" s="7" t="s">
        <v>87</v>
      </c>
      <c r="P228" s="7">
        <v>4607</v>
      </c>
      <c r="Q228" s="7">
        <v>386</v>
      </c>
      <c r="R228" s="7">
        <v>8</v>
      </c>
      <c r="S228" s="7">
        <v>0</v>
      </c>
      <c r="T228" s="7">
        <v>0</v>
      </c>
      <c r="U228" s="125">
        <f t="shared" si="90"/>
        <v>8.3785543737790319E-2</v>
      </c>
      <c r="V228" s="125">
        <f t="shared" si="91"/>
        <v>2.072538860103627E-2</v>
      </c>
      <c r="W228" s="7"/>
      <c r="X228" s="7"/>
      <c r="Y228" s="7"/>
      <c r="Z228" s="7"/>
      <c r="AA228" s="7"/>
    </row>
    <row r="229" spans="1:36">
      <c r="A229" s="6">
        <v>46140</v>
      </c>
      <c r="B229" s="7" t="s">
        <v>78</v>
      </c>
      <c r="C229" s="13">
        <v>0.41666666666666669</v>
      </c>
      <c r="D229" s="7">
        <v>3337978155</v>
      </c>
      <c r="E229" s="7" t="s">
        <v>772</v>
      </c>
      <c r="F229" s="31">
        <v>20943694</v>
      </c>
      <c r="G229" s="7" t="s">
        <v>680</v>
      </c>
      <c r="H229" s="77" t="s">
        <v>768</v>
      </c>
      <c r="I229" s="7" t="s">
        <v>85</v>
      </c>
      <c r="J229" s="7" t="s">
        <v>84</v>
      </c>
      <c r="K229" s="60" t="s">
        <v>209</v>
      </c>
      <c r="L229" s="7"/>
      <c r="M229" s="95" t="s">
        <v>83</v>
      </c>
      <c r="N229" s="15" t="s">
        <v>770</v>
      </c>
      <c r="O229" s="7" t="s">
        <v>87</v>
      </c>
      <c r="P229" s="7">
        <v>27</v>
      </c>
      <c r="Q229" s="7">
        <v>0</v>
      </c>
      <c r="R229" s="7">
        <v>0</v>
      </c>
      <c r="S229" s="7">
        <v>0</v>
      </c>
      <c r="T229" s="7">
        <v>12</v>
      </c>
      <c r="U229" s="125">
        <f t="shared" ref="U229:U230" si="92">Q229/P229</f>
        <v>0</v>
      </c>
      <c r="V229" s="125" t="e">
        <f t="shared" ref="V229:V230" si="93">R229/Q229</f>
        <v>#DIV/0!</v>
      </c>
      <c r="W229" s="7"/>
      <c r="X229" s="7"/>
      <c r="Y229" s="7"/>
      <c r="Z229" s="7"/>
      <c r="AA229" s="7"/>
    </row>
    <row r="230" spans="1:36">
      <c r="A230" s="34">
        <v>46140</v>
      </c>
      <c r="B230" s="35" t="s">
        <v>78</v>
      </c>
      <c r="C230" s="129">
        <v>0.44791666666666669</v>
      </c>
      <c r="D230" s="35">
        <v>3337978227</v>
      </c>
      <c r="E230" s="35" t="s">
        <v>773</v>
      </c>
      <c r="F230" s="48">
        <v>20943696</v>
      </c>
      <c r="G230" s="101" t="s">
        <v>680</v>
      </c>
      <c r="H230" s="130" t="s">
        <v>769</v>
      </c>
      <c r="I230" s="35" t="s">
        <v>85</v>
      </c>
      <c r="J230" s="35" t="s">
        <v>84</v>
      </c>
      <c r="K230" s="131" t="s">
        <v>209</v>
      </c>
      <c r="L230" s="35"/>
      <c r="M230" s="132" t="s">
        <v>83</v>
      </c>
      <c r="N230" s="133" t="s">
        <v>771</v>
      </c>
      <c r="O230" s="35" t="s">
        <v>87</v>
      </c>
      <c r="P230" s="35">
        <v>78</v>
      </c>
      <c r="Q230" s="35">
        <v>1</v>
      </c>
      <c r="R230" s="35">
        <v>0</v>
      </c>
      <c r="S230" s="35">
        <v>0</v>
      </c>
      <c r="T230" s="35">
        <v>0</v>
      </c>
      <c r="U230" s="134">
        <f t="shared" si="92"/>
        <v>1.282051282051282E-2</v>
      </c>
      <c r="V230" s="134">
        <f t="shared" si="93"/>
        <v>0</v>
      </c>
      <c r="W230" s="35"/>
      <c r="X230" s="35"/>
      <c r="Y230" s="35"/>
      <c r="Z230" s="35"/>
      <c r="AA230" s="35"/>
    </row>
    <row r="231" spans="1:36">
      <c r="A231" s="85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92"/>
      <c r="V231" s="92"/>
      <c r="W231" s="86"/>
      <c r="X231" s="86"/>
      <c r="Y231" s="86"/>
      <c r="Z231" s="86"/>
      <c r="AA231" s="87"/>
    </row>
    <row r="232" spans="1:36" s="119" customFormat="1">
      <c r="A232" s="135">
        <v>46140</v>
      </c>
      <c r="B232" s="136" t="s">
        <v>78</v>
      </c>
      <c r="C232" s="137" t="s">
        <v>304</v>
      </c>
      <c r="D232" s="136">
        <v>3328566299</v>
      </c>
      <c r="E232" s="136" t="s">
        <v>280</v>
      </c>
      <c r="F232" s="136">
        <v>20895381</v>
      </c>
      <c r="G232" s="136" t="s">
        <v>198</v>
      </c>
      <c r="H232" s="136" t="s">
        <v>281</v>
      </c>
      <c r="I232" s="136" t="s">
        <v>85</v>
      </c>
      <c r="J232" s="136" t="s">
        <v>84</v>
      </c>
      <c r="K232" s="138" t="s">
        <v>748</v>
      </c>
      <c r="L232" s="136" t="s">
        <v>202</v>
      </c>
      <c r="M232" s="139" t="s">
        <v>201</v>
      </c>
      <c r="N232" s="136" t="s">
        <v>415</v>
      </c>
      <c r="O232" s="136" t="s">
        <v>87</v>
      </c>
      <c r="P232" s="136">
        <v>152</v>
      </c>
      <c r="Q232" s="136">
        <v>26</v>
      </c>
      <c r="R232" s="136">
        <v>0</v>
      </c>
      <c r="S232" s="136">
        <v>0</v>
      </c>
      <c r="T232" s="136">
        <v>0</v>
      </c>
      <c r="U232" s="140">
        <f t="shared" ref="U232:U235" si="94">Q232/P232</f>
        <v>0.17105263157894737</v>
      </c>
      <c r="V232" s="140">
        <f t="shared" ref="V232:V235" si="95">R232/Q232</f>
        <v>0</v>
      </c>
      <c r="W232" s="136"/>
      <c r="X232" s="136"/>
      <c r="Y232" s="136"/>
      <c r="Z232" s="136"/>
      <c r="AA232" s="136"/>
    </row>
    <row r="233" spans="1:36" s="119" customFormat="1">
      <c r="A233" s="114">
        <v>46140</v>
      </c>
      <c r="B233" s="51" t="s">
        <v>78</v>
      </c>
      <c r="C233" s="120" t="s">
        <v>86</v>
      </c>
      <c r="D233" s="51">
        <v>3329623467</v>
      </c>
      <c r="E233" s="51" t="s">
        <v>323</v>
      </c>
      <c r="F233" s="51">
        <v>20901515</v>
      </c>
      <c r="G233" s="51" t="s">
        <v>198</v>
      </c>
      <c r="H233" s="51" t="s">
        <v>324</v>
      </c>
      <c r="I233" s="51" t="s">
        <v>85</v>
      </c>
      <c r="J233" s="51" t="s">
        <v>84</v>
      </c>
      <c r="K233" s="96" t="s">
        <v>748</v>
      </c>
      <c r="L233" s="51" t="s">
        <v>202</v>
      </c>
      <c r="M233" s="117" t="s">
        <v>201</v>
      </c>
      <c r="N233" s="51" t="s">
        <v>415</v>
      </c>
      <c r="O233" s="51" t="s">
        <v>87</v>
      </c>
      <c r="P233" s="51">
        <v>25</v>
      </c>
      <c r="Q233" s="51">
        <v>4</v>
      </c>
      <c r="R233" s="51">
        <v>1</v>
      </c>
      <c r="S233" s="51">
        <v>0</v>
      </c>
      <c r="T233" s="51">
        <v>0</v>
      </c>
      <c r="U233" s="125">
        <f t="shared" si="94"/>
        <v>0.16</v>
      </c>
      <c r="V233" s="125">
        <f t="shared" si="95"/>
        <v>0.25</v>
      </c>
      <c r="W233" s="51"/>
      <c r="X233" s="51"/>
      <c r="Y233" s="51"/>
      <c r="Z233" s="51"/>
      <c r="AA233" s="51"/>
    </row>
    <row r="234" spans="1:36" s="119" customFormat="1">
      <c r="A234" s="114">
        <v>46140</v>
      </c>
      <c r="B234" s="51" t="s">
        <v>78</v>
      </c>
      <c r="C234" s="120" t="s">
        <v>86</v>
      </c>
      <c r="D234" s="51">
        <v>3324014643</v>
      </c>
      <c r="E234" s="51" t="s">
        <v>197</v>
      </c>
      <c r="F234" s="51">
        <v>20875349</v>
      </c>
      <c r="G234" s="51" t="s">
        <v>198</v>
      </c>
      <c r="H234" s="51" t="s">
        <v>199</v>
      </c>
      <c r="I234" s="51" t="s">
        <v>85</v>
      </c>
      <c r="J234" s="51" t="s">
        <v>84</v>
      </c>
      <c r="K234" s="96" t="s">
        <v>748</v>
      </c>
      <c r="L234" s="51" t="s">
        <v>202</v>
      </c>
      <c r="M234" s="117" t="s">
        <v>201</v>
      </c>
      <c r="N234" s="51" t="s">
        <v>200</v>
      </c>
      <c r="O234" s="51" t="s">
        <v>87</v>
      </c>
      <c r="P234" s="51">
        <v>3</v>
      </c>
      <c r="Q234" s="51">
        <v>1</v>
      </c>
      <c r="R234" s="51">
        <v>0</v>
      </c>
      <c r="S234" s="51">
        <v>0</v>
      </c>
      <c r="T234" s="51">
        <v>0</v>
      </c>
      <c r="U234" s="125">
        <f t="shared" si="94"/>
        <v>0.33333333333333331</v>
      </c>
      <c r="V234" s="125">
        <f t="shared" si="95"/>
        <v>0</v>
      </c>
      <c r="W234" s="51"/>
      <c r="X234" s="51"/>
      <c r="Y234" s="51"/>
      <c r="Z234" s="51"/>
      <c r="AA234" s="51"/>
    </row>
    <row r="235" spans="1:36" s="119" customFormat="1">
      <c r="A235" s="114">
        <v>46140</v>
      </c>
      <c r="B235" s="51" t="s">
        <v>78</v>
      </c>
      <c r="C235" s="120" t="s">
        <v>86</v>
      </c>
      <c r="D235" s="51">
        <v>3325254160</v>
      </c>
      <c r="E235" s="51" t="s">
        <v>268</v>
      </c>
      <c r="F235" s="51">
        <v>20887237</v>
      </c>
      <c r="G235" s="51" t="s">
        <v>198</v>
      </c>
      <c r="H235" s="51" t="s">
        <v>269</v>
      </c>
      <c r="I235" s="51" t="s">
        <v>85</v>
      </c>
      <c r="J235" s="51" t="s">
        <v>84</v>
      </c>
      <c r="K235" s="96" t="s">
        <v>748</v>
      </c>
      <c r="L235" s="51" t="s">
        <v>202</v>
      </c>
      <c r="M235" s="117" t="s">
        <v>201</v>
      </c>
      <c r="N235" s="51" t="s">
        <v>205</v>
      </c>
      <c r="O235" s="51" t="s">
        <v>87</v>
      </c>
      <c r="P235" s="51">
        <v>4</v>
      </c>
      <c r="Q235" s="51">
        <v>2</v>
      </c>
      <c r="R235" s="51">
        <v>1</v>
      </c>
      <c r="S235" s="51">
        <v>0</v>
      </c>
      <c r="T235" s="51">
        <v>0</v>
      </c>
      <c r="U235" s="125">
        <f t="shared" si="94"/>
        <v>0.5</v>
      </c>
      <c r="V235" s="125">
        <f t="shared" si="95"/>
        <v>0.5</v>
      </c>
      <c r="W235" s="51"/>
      <c r="X235" s="51"/>
      <c r="Y235" s="51"/>
      <c r="Z235" s="51"/>
      <c r="AA235" s="51"/>
    </row>
    <row r="236" spans="1:36">
      <c r="A236" s="6">
        <v>46140</v>
      </c>
      <c r="B236" s="7" t="s">
        <v>78</v>
      </c>
      <c r="C236" s="50" t="s">
        <v>304</v>
      </c>
      <c r="D236" s="7">
        <v>3337953065</v>
      </c>
      <c r="E236" s="7" t="s">
        <v>758</v>
      </c>
      <c r="F236" s="7">
        <v>20942854</v>
      </c>
      <c r="G236" s="31" t="s">
        <v>198</v>
      </c>
      <c r="H236" s="7" t="s">
        <v>757</v>
      </c>
      <c r="I236" s="7" t="s">
        <v>85</v>
      </c>
      <c r="J236" s="7" t="s">
        <v>84</v>
      </c>
      <c r="K236" s="60" t="s">
        <v>761</v>
      </c>
      <c r="L236" s="7" t="s">
        <v>202</v>
      </c>
      <c r="M236" s="122" t="s">
        <v>201</v>
      </c>
      <c r="N236" s="7" t="s">
        <v>415</v>
      </c>
      <c r="O236" s="7" t="s">
        <v>87</v>
      </c>
      <c r="P236" s="7">
        <v>1666</v>
      </c>
      <c r="Q236" s="7">
        <v>144</v>
      </c>
      <c r="R236" s="7">
        <v>7</v>
      </c>
      <c r="S236" s="7">
        <v>0</v>
      </c>
      <c r="T236" s="7">
        <v>0</v>
      </c>
      <c r="U236" s="125">
        <f t="shared" ref="U236:U237" si="96">Q236/P236</f>
        <v>8.6434573829531819E-2</v>
      </c>
      <c r="V236" s="125">
        <f t="shared" ref="V236:V237" si="97">R236/Q236</f>
        <v>4.8611111111111112E-2</v>
      </c>
      <c r="W236" s="7"/>
      <c r="X236" s="7"/>
      <c r="Y236" s="7"/>
      <c r="Z236" s="7"/>
      <c r="AA236" s="7"/>
    </row>
    <row r="237" spans="1:36">
      <c r="A237" s="6">
        <v>46140</v>
      </c>
      <c r="B237" s="7" t="s">
        <v>78</v>
      </c>
      <c r="C237" s="50" t="s">
        <v>347</v>
      </c>
      <c r="D237" s="7">
        <v>3337953071</v>
      </c>
      <c r="E237" s="7" t="s">
        <v>760</v>
      </c>
      <c r="F237" s="7">
        <v>20942934</v>
      </c>
      <c r="G237" s="31" t="s">
        <v>198</v>
      </c>
      <c r="H237" s="7" t="s">
        <v>759</v>
      </c>
      <c r="I237" s="7" t="s">
        <v>85</v>
      </c>
      <c r="J237" s="7" t="s">
        <v>84</v>
      </c>
      <c r="K237" s="60" t="s">
        <v>761</v>
      </c>
      <c r="L237" s="7" t="s">
        <v>202</v>
      </c>
      <c r="M237" s="122" t="s">
        <v>201</v>
      </c>
      <c r="N237" s="7" t="s">
        <v>749</v>
      </c>
      <c r="O237" s="7" t="s">
        <v>87</v>
      </c>
      <c r="P237" s="7">
        <v>144</v>
      </c>
      <c r="Q237" s="7">
        <v>63</v>
      </c>
      <c r="R237" s="7">
        <v>1</v>
      </c>
      <c r="S237" s="7">
        <v>0</v>
      </c>
      <c r="T237" s="7">
        <v>0</v>
      </c>
      <c r="U237" s="125">
        <f t="shared" si="96"/>
        <v>0.4375</v>
      </c>
      <c r="V237" s="125">
        <f t="shared" si="97"/>
        <v>1.5873015873015872E-2</v>
      </c>
      <c r="W237" s="7"/>
      <c r="X237" s="7"/>
      <c r="Y237" s="7"/>
      <c r="Z237" s="7"/>
      <c r="AA237" s="7"/>
    </row>
    <row r="238" spans="1:36">
      <c r="A238" s="6">
        <v>46140</v>
      </c>
      <c r="B238" s="7" t="s">
        <v>78</v>
      </c>
      <c r="C238" s="50" t="s">
        <v>304</v>
      </c>
      <c r="D238" s="7">
        <v>3337954458</v>
      </c>
      <c r="E238" s="7" t="s">
        <v>758</v>
      </c>
      <c r="F238" s="7">
        <v>20943184</v>
      </c>
      <c r="G238" s="31" t="s">
        <v>198</v>
      </c>
      <c r="H238" s="7" t="s">
        <v>757</v>
      </c>
      <c r="I238" s="7" t="s">
        <v>85</v>
      </c>
      <c r="J238" s="7" t="s">
        <v>751</v>
      </c>
      <c r="K238" s="60" t="s">
        <v>761</v>
      </c>
      <c r="L238" s="7" t="s">
        <v>202</v>
      </c>
      <c r="M238" s="122" t="s">
        <v>201</v>
      </c>
      <c r="N238" s="7" t="s">
        <v>415</v>
      </c>
      <c r="O238" s="7" t="s">
        <v>87</v>
      </c>
      <c r="P238" s="7">
        <v>278</v>
      </c>
      <c r="Q238" s="7">
        <v>56</v>
      </c>
      <c r="R238" s="7">
        <v>7</v>
      </c>
      <c r="S238" s="7">
        <v>0</v>
      </c>
      <c r="T238" s="7">
        <v>0</v>
      </c>
      <c r="U238" s="125">
        <f t="shared" ref="U238:U241" si="98">Q238/P238</f>
        <v>0.20143884892086331</v>
      </c>
      <c r="V238" s="125">
        <f t="shared" ref="V238:V241" si="99">R238/Q238</f>
        <v>0.125</v>
      </c>
      <c r="W238" s="7"/>
      <c r="X238" s="7"/>
      <c r="Y238" s="7"/>
      <c r="Z238" s="7"/>
      <c r="AA238" s="7"/>
    </row>
    <row r="239" spans="1:36">
      <c r="A239" s="6">
        <v>46140</v>
      </c>
      <c r="B239" s="7" t="s">
        <v>78</v>
      </c>
      <c r="C239" s="50" t="s">
        <v>347</v>
      </c>
      <c r="D239" s="7">
        <v>3337954666</v>
      </c>
      <c r="E239" s="7" t="s">
        <v>760</v>
      </c>
      <c r="F239" s="7">
        <v>20943187</v>
      </c>
      <c r="G239" s="31" t="s">
        <v>198</v>
      </c>
      <c r="H239" s="7" t="s">
        <v>759</v>
      </c>
      <c r="I239" s="7" t="s">
        <v>85</v>
      </c>
      <c r="J239" s="7" t="s">
        <v>751</v>
      </c>
      <c r="K239" s="60" t="s">
        <v>761</v>
      </c>
      <c r="L239" s="7" t="s">
        <v>202</v>
      </c>
      <c r="M239" s="122" t="s">
        <v>201</v>
      </c>
      <c r="N239" s="7" t="s">
        <v>749</v>
      </c>
      <c r="O239" s="7" t="s">
        <v>87</v>
      </c>
      <c r="P239" s="7">
        <v>54</v>
      </c>
      <c r="Q239" s="7">
        <v>34</v>
      </c>
      <c r="R239" s="7">
        <v>3</v>
      </c>
      <c r="S239" s="7">
        <v>0</v>
      </c>
      <c r="T239" s="7">
        <v>0</v>
      </c>
      <c r="U239" s="125">
        <f t="shared" si="98"/>
        <v>0.62962962962962965</v>
      </c>
      <c r="V239" s="125">
        <f t="shared" si="99"/>
        <v>8.8235294117647065E-2</v>
      </c>
      <c r="W239" s="7"/>
      <c r="X239" s="7"/>
      <c r="Y239" s="7"/>
      <c r="Z239" s="7"/>
      <c r="AA239" s="7"/>
    </row>
    <row r="240" spans="1:36">
      <c r="A240" s="6">
        <v>46140</v>
      </c>
      <c r="B240" s="7" t="s">
        <v>78</v>
      </c>
      <c r="C240" s="50" t="s">
        <v>304</v>
      </c>
      <c r="D240" s="7">
        <v>3337955897</v>
      </c>
      <c r="E240" s="7" t="s">
        <v>758</v>
      </c>
      <c r="F240" s="7">
        <v>20943185</v>
      </c>
      <c r="G240" s="31" t="s">
        <v>198</v>
      </c>
      <c r="H240" s="7" t="s">
        <v>757</v>
      </c>
      <c r="I240" s="7" t="s">
        <v>85</v>
      </c>
      <c r="J240" s="7" t="s">
        <v>754</v>
      </c>
      <c r="K240" s="60" t="s">
        <v>761</v>
      </c>
      <c r="L240" s="7" t="s">
        <v>202</v>
      </c>
      <c r="M240" s="122" t="s">
        <v>201</v>
      </c>
      <c r="N240" s="7" t="s">
        <v>415</v>
      </c>
      <c r="O240" s="7" t="s">
        <v>87</v>
      </c>
      <c r="P240" s="7">
        <v>565</v>
      </c>
      <c r="Q240" s="7">
        <v>142</v>
      </c>
      <c r="R240" s="7">
        <v>9</v>
      </c>
      <c r="S240" s="7">
        <v>0</v>
      </c>
      <c r="T240" s="7">
        <v>0</v>
      </c>
      <c r="U240" s="125">
        <f t="shared" si="98"/>
        <v>0.25132743362831861</v>
      </c>
      <c r="V240" s="125">
        <f t="shared" si="99"/>
        <v>6.3380281690140844E-2</v>
      </c>
      <c r="W240" s="7"/>
      <c r="X240" s="7"/>
      <c r="Y240" s="7">
        <v>0.35399999999999998</v>
      </c>
      <c r="Z240" s="7"/>
      <c r="AA240" s="7"/>
    </row>
    <row r="241" spans="1:27">
      <c r="A241" s="6">
        <v>46140</v>
      </c>
      <c r="B241" s="7" t="s">
        <v>78</v>
      </c>
      <c r="C241" s="50" t="s">
        <v>347</v>
      </c>
      <c r="D241" s="7">
        <v>3337955921</v>
      </c>
      <c r="E241" s="7" t="s">
        <v>760</v>
      </c>
      <c r="F241" s="7">
        <v>20943188</v>
      </c>
      <c r="G241" s="31" t="s">
        <v>198</v>
      </c>
      <c r="H241" s="7" t="s">
        <v>759</v>
      </c>
      <c r="I241" s="7" t="s">
        <v>85</v>
      </c>
      <c r="J241" s="7" t="s">
        <v>754</v>
      </c>
      <c r="K241" s="60" t="s">
        <v>761</v>
      </c>
      <c r="L241" s="7" t="s">
        <v>202</v>
      </c>
      <c r="M241" s="122" t="s">
        <v>201</v>
      </c>
      <c r="N241" s="7" t="s">
        <v>749</v>
      </c>
      <c r="O241" s="7" t="s">
        <v>87</v>
      </c>
      <c r="P241" s="7">
        <v>139</v>
      </c>
      <c r="Q241" s="7">
        <v>87</v>
      </c>
      <c r="R241" s="7">
        <v>10</v>
      </c>
      <c r="S241" s="7">
        <v>0</v>
      </c>
      <c r="T241" s="7">
        <v>0</v>
      </c>
      <c r="U241" s="125">
        <f t="shared" si="98"/>
        <v>0.62589928057553956</v>
      </c>
      <c r="V241" s="125">
        <f t="shared" si="99"/>
        <v>0.11494252873563218</v>
      </c>
      <c r="W241" s="7"/>
      <c r="X241" s="7"/>
      <c r="Y241" s="7">
        <v>0.308</v>
      </c>
      <c r="Z241" s="7"/>
      <c r="AA241" s="7"/>
    </row>
    <row r="242" spans="1:27">
      <c r="A242" s="85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92"/>
      <c r="V242" s="92"/>
      <c r="W242" s="86"/>
      <c r="X242" s="86"/>
      <c r="Y242" s="86"/>
      <c r="Z242" s="86"/>
      <c r="AA242" s="87"/>
    </row>
    <row r="243" spans="1:27" s="119" customFormat="1">
      <c r="A243" s="114">
        <v>46140</v>
      </c>
      <c r="B243" s="51" t="s">
        <v>78</v>
      </c>
      <c r="C243" s="120" t="s">
        <v>458</v>
      </c>
      <c r="D243" s="51">
        <v>3332152089</v>
      </c>
      <c r="E243" s="51" t="s">
        <v>462</v>
      </c>
      <c r="F243" s="51">
        <v>20918761</v>
      </c>
      <c r="G243" s="51" t="s">
        <v>471</v>
      </c>
      <c r="H243" s="121" t="s">
        <v>472</v>
      </c>
      <c r="I243" s="51" t="s">
        <v>85</v>
      </c>
      <c r="J243" s="51" t="s">
        <v>84</v>
      </c>
      <c r="K243" s="60" t="s">
        <v>748</v>
      </c>
      <c r="L243" s="51" t="s">
        <v>202</v>
      </c>
      <c r="M243" s="117" t="s">
        <v>29</v>
      </c>
      <c r="N243" s="51" t="s">
        <v>415</v>
      </c>
      <c r="O243" s="51" t="s">
        <v>87</v>
      </c>
      <c r="P243" s="51">
        <v>171</v>
      </c>
      <c r="Q243" s="51">
        <v>17</v>
      </c>
      <c r="R243" s="51">
        <v>1</v>
      </c>
      <c r="S243" s="51">
        <v>0</v>
      </c>
      <c r="T243" s="51">
        <v>0</v>
      </c>
      <c r="U243" s="125">
        <f t="shared" ref="U243:U244" si="100">Q243/P243</f>
        <v>9.9415204678362568E-2</v>
      </c>
      <c r="V243" s="125">
        <f t="shared" ref="V243:V244" si="101">R243/Q243</f>
        <v>5.8823529411764705E-2</v>
      </c>
      <c r="W243" s="51"/>
      <c r="X243" s="51"/>
      <c r="Y243" s="51"/>
      <c r="Z243" s="51"/>
      <c r="AA243" s="51"/>
    </row>
    <row r="244" spans="1:27" s="119" customFormat="1">
      <c r="A244" s="114">
        <v>46140</v>
      </c>
      <c r="B244" s="51" t="s">
        <v>78</v>
      </c>
      <c r="C244" s="120" t="s">
        <v>750</v>
      </c>
      <c r="D244" s="51">
        <v>3332153046</v>
      </c>
      <c r="E244" s="51" t="s">
        <v>466</v>
      </c>
      <c r="F244" s="51">
        <v>20918880</v>
      </c>
      <c r="G244" s="51" t="s">
        <v>471</v>
      </c>
      <c r="H244" s="121" t="s">
        <v>473</v>
      </c>
      <c r="I244" s="51" t="s">
        <v>85</v>
      </c>
      <c r="J244" s="51" t="s">
        <v>84</v>
      </c>
      <c r="K244" s="60" t="s">
        <v>748</v>
      </c>
      <c r="L244" s="51" t="s">
        <v>202</v>
      </c>
      <c r="M244" s="117" t="s">
        <v>29</v>
      </c>
      <c r="N244" s="51" t="s">
        <v>415</v>
      </c>
      <c r="O244" s="51" t="s">
        <v>87</v>
      </c>
      <c r="P244" s="51">
        <v>15</v>
      </c>
      <c r="Q244" s="51">
        <v>4</v>
      </c>
      <c r="R244" s="51">
        <v>0</v>
      </c>
      <c r="S244" s="51">
        <v>0</v>
      </c>
      <c r="T244" s="51">
        <v>0</v>
      </c>
      <c r="U244" s="125">
        <f t="shared" si="100"/>
        <v>0.26666666666666666</v>
      </c>
      <c r="V244" s="125">
        <f t="shared" si="101"/>
        <v>0</v>
      </c>
      <c r="W244" s="51"/>
      <c r="X244" s="51"/>
      <c r="Y244" s="51"/>
      <c r="Z244" s="51"/>
      <c r="AA244" s="51"/>
    </row>
    <row r="245" spans="1:27" s="72" customFormat="1">
      <c r="A245" s="123">
        <v>46140</v>
      </c>
      <c r="B245" s="31" t="s">
        <v>78</v>
      </c>
      <c r="C245" s="124" t="s">
        <v>599</v>
      </c>
      <c r="D245" s="31">
        <v>3337959044</v>
      </c>
      <c r="E245" s="31" t="s">
        <v>762</v>
      </c>
      <c r="F245" s="31">
        <v>20943220</v>
      </c>
      <c r="G245" s="31" t="s">
        <v>471</v>
      </c>
      <c r="H245" s="99" t="s">
        <v>763</v>
      </c>
      <c r="I245" s="31" t="s">
        <v>85</v>
      </c>
      <c r="J245" s="31" t="s">
        <v>84</v>
      </c>
      <c r="K245" s="60" t="s">
        <v>761</v>
      </c>
      <c r="L245" s="31" t="s">
        <v>202</v>
      </c>
      <c r="M245" s="122" t="s">
        <v>29</v>
      </c>
      <c r="N245" s="31" t="s">
        <v>415</v>
      </c>
      <c r="O245" s="31" t="s">
        <v>87</v>
      </c>
      <c r="P245" s="31">
        <v>1655</v>
      </c>
      <c r="Q245" s="31">
        <v>97</v>
      </c>
      <c r="R245" s="31">
        <v>0</v>
      </c>
      <c r="S245" s="31">
        <v>0</v>
      </c>
      <c r="T245" s="31">
        <v>0</v>
      </c>
      <c r="U245" s="125">
        <f t="shared" ref="U245:U250" si="102">Q245/P245</f>
        <v>5.8610271903323262E-2</v>
      </c>
      <c r="V245" s="125">
        <f t="shared" ref="V245:V250" si="103">R245/Q245</f>
        <v>0</v>
      </c>
      <c r="W245" s="31"/>
      <c r="X245" s="31"/>
      <c r="Y245" s="31"/>
      <c r="Z245" s="31"/>
      <c r="AA245" s="31"/>
    </row>
    <row r="246" spans="1:27" s="72" customFormat="1">
      <c r="A246" s="123">
        <v>46140</v>
      </c>
      <c r="B246" s="31" t="s">
        <v>78</v>
      </c>
      <c r="C246" s="124" t="s">
        <v>347</v>
      </c>
      <c r="D246" s="31">
        <v>3337959050</v>
      </c>
      <c r="E246" s="31" t="s">
        <v>765</v>
      </c>
      <c r="F246" s="31">
        <v>20943246</v>
      </c>
      <c r="G246" s="31" t="s">
        <v>471</v>
      </c>
      <c r="H246" s="99" t="s">
        <v>764</v>
      </c>
      <c r="I246" s="31" t="s">
        <v>85</v>
      </c>
      <c r="J246" s="31" t="s">
        <v>84</v>
      </c>
      <c r="K246" s="60" t="s">
        <v>761</v>
      </c>
      <c r="L246" s="31" t="s">
        <v>202</v>
      </c>
      <c r="M246" s="122" t="s">
        <v>29</v>
      </c>
      <c r="N246" s="31" t="s">
        <v>749</v>
      </c>
      <c r="O246" s="31" t="s">
        <v>87</v>
      </c>
      <c r="P246" s="31">
        <v>97</v>
      </c>
      <c r="Q246" s="31">
        <v>82</v>
      </c>
      <c r="R246" s="31">
        <v>0</v>
      </c>
      <c r="S246" s="31">
        <v>0</v>
      </c>
      <c r="T246" s="31">
        <v>0</v>
      </c>
      <c r="U246" s="125">
        <f t="shared" si="102"/>
        <v>0.84536082474226804</v>
      </c>
      <c r="V246" s="125">
        <f t="shared" si="103"/>
        <v>0</v>
      </c>
      <c r="W246" s="31"/>
      <c r="X246" s="31"/>
      <c r="Y246" s="31"/>
      <c r="Z246" s="31"/>
      <c r="AA246" s="31"/>
    </row>
    <row r="247" spans="1:27" s="72" customFormat="1">
      <c r="A247" s="123">
        <v>46140</v>
      </c>
      <c r="B247" s="31" t="s">
        <v>78</v>
      </c>
      <c r="C247" s="124" t="s">
        <v>599</v>
      </c>
      <c r="D247" s="31">
        <v>3337962432</v>
      </c>
      <c r="E247" s="31" t="s">
        <v>762</v>
      </c>
      <c r="F247" s="31">
        <v>20943326</v>
      </c>
      <c r="G247" s="31" t="s">
        <v>471</v>
      </c>
      <c r="H247" s="99" t="s">
        <v>763</v>
      </c>
      <c r="I247" s="31" t="s">
        <v>85</v>
      </c>
      <c r="J247" s="7" t="s">
        <v>751</v>
      </c>
      <c r="K247" s="60" t="s">
        <v>761</v>
      </c>
      <c r="L247" s="31" t="s">
        <v>202</v>
      </c>
      <c r="M247" s="122" t="s">
        <v>29</v>
      </c>
      <c r="N247" s="31" t="s">
        <v>415</v>
      </c>
      <c r="O247" s="31" t="s">
        <v>87</v>
      </c>
      <c r="P247" s="31">
        <v>277</v>
      </c>
      <c r="Q247" s="31">
        <v>38</v>
      </c>
      <c r="R247" s="31">
        <v>2</v>
      </c>
      <c r="S247" s="31">
        <v>0</v>
      </c>
      <c r="T247" s="31">
        <v>0</v>
      </c>
      <c r="U247" s="125">
        <f t="shared" si="102"/>
        <v>0.13718411552346571</v>
      </c>
      <c r="V247" s="125">
        <f t="shared" si="103"/>
        <v>5.2631578947368418E-2</v>
      </c>
      <c r="W247" s="31"/>
      <c r="X247" s="31"/>
      <c r="Y247" s="31"/>
      <c r="Z247" s="31"/>
      <c r="AA247" s="31"/>
    </row>
    <row r="248" spans="1:27" s="72" customFormat="1">
      <c r="A248" s="123">
        <v>46140</v>
      </c>
      <c r="B248" s="31" t="s">
        <v>78</v>
      </c>
      <c r="C248" s="124" t="s">
        <v>347</v>
      </c>
      <c r="D248" s="31">
        <v>3337962882</v>
      </c>
      <c r="E248" s="31" t="s">
        <v>765</v>
      </c>
      <c r="F248" s="31">
        <v>20943330</v>
      </c>
      <c r="G248" s="31" t="s">
        <v>471</v>
      </c>
      <c r="H248" s="99" t="s">
        <v>764</v>
      </c>
      <c r="I248" s="31" t="s">
        <v>85</v>
      </c>
      <c r="J248" s="7" t="s">
        <v>751</v>
      </c>
      <c r="K248" s="60" t="s">
        <v>761</v>
      </c>
      <c r="L248" s="31" t="s">
        <v>202</v>
      </c>
      <c r="M248" s="122" t="s">
        <v>29</v>
      </c>
      <c r="N248" s="31" t="s">
        <v>749</v>
      </c>
      <c r="O248" s="31" t="s">
        <v>87</v>
      </c>
      <c r="P248" s="31">
        <v>38</v>
      </c>
      <c r="Q248" s="31">
        <v>40</v>
      </c>
      <c r="R248" s="31">
        <v>4</v>
      </c>
      <c r="S248" s="31">
        <v>0</v>
      </c>
      <c r="T248" s="31">
        <v>0</v>
      </c>
      <c r="U248" s="125">
        <f t="shared" si="102"/>
        <v>1.0526315789473684</v>
      </c>
      <c r="V248" s="125">
        <f t="shared" si="103"/>
        <v>0.1</v>
      </c>
      <c r="W248" s="31"/>
      <c r="X248" s="31"/>
      <c r="Y248" s="31"/>
      <c r="Z248" s="31"/>
      <c r="AA248" s="31"/>
    </row>
    <row r="249" spans="1:27" s="72" customFormat="1">
      <c r="A249" s="123">
        <v>46140</v>
      </c>
      <c r="B249" s="31" t="s">
        <v>78</v>
      </c>
      <c r="C249" s="124" t="s">
        <v>599</v>
      </c>
      <c r="D249" s="31">
        <v>3337964144</v>
      </c>
      <c r="E249" s="31" t="s">
        <v>762</v>
      </c>
      <c r="F249" s="31">
        <v>20943327</v>
      </c>
      <c r="G249" s="31" t="s">
        <v>471</v>
      </c>
      <c r="H249" s="99" t="s">
        <v>763</v>
      </c>
      <c r="I249" s="31" t="s">
        <v>85</v>
      </c>
      <c r="J249" s="7" t="s">
        <v>754</v>
      </c>
      <c r="K249" s="60" t="s">
        <v>761</v>
      </c>
      <c r="L249" s="31" t="s">
        <v>202</v>
      </c>
      <c r="M249" s="122" t="s">
        <v>29</v>
      </c>
      <c r="N249" s="31" t="s">
        <v>415</v>
      </c>
      <c r="O249" s="31" t="s">
        <v>87</v>
      </c>
      <c r="P249" s="31">
        <v>540</v>
      </c>
      <c r="Q249" s="31">
        <v>76</v>
      </c>
      <c r="R249" s="31">
        <v>1</v>
      </c>
      <c r="S249" s="31">
        <v>0</v>
      </c>
      <c r="T249" s="31">
        <v>0</v>
      </c>
      <c r="U249" s="125">
        <f t="shared" si="102"/>
        <v>0.14074074074074075</v>
      </c>
      <c r="V249" s="125">
        <f t="shared" si="103"/>
        <v>1.3157894736842105E-2</v>
      </c>
      <c r="W249" s="31"/>
      <c r="X249" s="31"/>
      <c r="Y249" s="31"/>
      <c r="Z249" s="31"/>
      <c r="AA249" s="31"/>
    </row>
    <row r="250" spans="1:27" s="72" customFormat="1">
      <c r="A250" s="123">
        <v>46140</v>
      </c>
      <c r="B250" s="31" t="s">
        <v>78</v>
      </c>
      <c r="C250" s="124" t="s">
        <v>347</v>
      </c>
      <c r="D250" s="31">
        <v>3337964260</v>
      </c>
      <c r="E250" s="31" t="s">
        <v>765</v>
      </c>
      <c r="F250" s="31">
        <v>20943331</v>
      </c>
      <c r="G250" s="31" t="s">
        <v>471</v>
      </c>
      <c r="H250" s="99" t="s">
        <v>764</v>
      </c>
      <c r="I250" s="31" t="s">
        <v>85</v>
      </c>
      <c r="J250" s="7" t="s">
        <v>754</v>
      </c>
      <c r="K250" s="60" t="s">
        <v>761</v>
      </c>
      <c r="L250" s="31" t="s">
        <v>202</v>
      </c>
      <c r="M250" s="122" t="s">
        <v>29</v>
      </c>
      <c r="N250" s="31" t="s">
        <v>749</v>
      </c>
      <c r="O250" s="31" t="s">
        <v>87</v>
      </c>
      <c r="P250" s="31">
        <v>74</v>
      </c>
      <c r="Q250" s="31">
        <v>63</v>
      </c>
      <c r="R250" s="31">
        <v>5</v>
      </c>
      <c r="S250" s="31">
        <v>0</v>
      </c>
      <c r="T250" s="31">
        <v>0</v>
      </c>
      <c r="U250" s="125">
        <f t="shared" si="102"/>
        <v>0.85135135135135132</v>
      </c>
      <c r="V250" s="125">
        <f t="shared" si="103"/>
        <v>7.9365079365079361E-2</v>
      </c>
      <c r="W250" s="31"/>
      <c r="X250" s="31"/>
      <c r="Y250" s="31">
        <v>0.29499999999999998</v>
      </c>
      <c r="Z250" s="31"/>
      <c r="AA250" s="31"/>
    </row>
    <row r="251" spans="1:27">
      <c r="A251" s="85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92"/>
      <c r="V251" s="92"/>
      <c r="W251" s="86"/>
      <c r="X251" s="86"/>
      <c r="Y251" s="86"/>
      <c r="Z251" s="86"/>
      <c r="AA251" s="87"/>
    </row>
    <row r="252" spans="1:27">
      <c r="A252" s="6">
        <v>46140</v>
      </c>
      <c r="B252" s="7" t="s">
        <v>78</v>
      </c>
      <c r="C252" s="50" t="s">
        <v>459</v>
      </c>
      <c r="D252" s="7">
        <v>3332177201</v>
      </c>
      <c r="E252" s="7" t="s">
        <v>463</v>
      </c>
      <c r="F252" s="7">
        <v>20918989</v>
      </c>
      <c r="G252" s="7" t="s">
        <v>31</v>
      </c>
      <c r="H252" s="77" t="s">
        <v>475</v>
      </c>
      <c r="I252" s="7" t="s">
        <v>85</v>
      </c>
      <c r="J252" s="7" t="s">
        <v>84</v>
      </c>
      <c r="K252" s="96" t="s">
        <v>456</v>
      </c>
      <c r="L252" s="7" t="s">
        <v>202</v>
      </c>
      <c r="M252" s="126" t="s">
        <v>31</v>
      </c>
      <c r="N252" s="7" t="s">
        <v>415</v>
      </c>
      <c r="O252" s="7" t="s">
        <v>87</v>
      </c>
      <c r="P252" s="7">
        <v>1417</v>
      </c>
      <c r="Q252" s="7">
        <v>180</v>
      </c>
      <c r="R252" s="7">
        <v>5</v>
      </c>
      <c r="S252" s="7">
        <v>0</v>
      </c>
      <c r="T252" s="7">
        <v>0</v>
      </c>
      <c r="U252" s="125">
        <f t="shared" ref="U252:U253" si="104">Q252/P252</f>
        <v>0.12702893436838392</v>
      </c>
      <c r="V252" s="125">
        <f t="shared" ref="V252:V253" si="105">R252/Q252</f>
        <v>2.7777777777777776E-2</v>
      </c>
      <c r="W252" s="7"/>
      <c r="X252" s="7"/>
      <c r="Y252" s="7"/>
      <c r="Z252" s="7"/>
      <c r="AA252" s="7"/>
    </row>
    <row r="253" spans="1:27">
      <c r="A253" s="6">
        <v>46140</v>
      </c>
      <c r="B253" s="7" t="s">
        <v>78</v>
      </c>
      <c r="C253" s="50" t="s">
        <v>347</v>
      </c>
      <c r="D253" s="7">
        <v>3332178023</v>
      </c>
      <c r="E253" s="7" t="s">
        <v>467</v>
      </c>
      <c r="F253" s="7">
        <v>20919028</v>
      </c>
      <c r="G253" s="7" t="s">
        <v>31</v>
      </c>
      <c r="H253" s="77" t="s">
        <v>476</v>
      </c>
      <c r="I253" s="7" t="s">
        <v>85</v>
      </c>
      <c r="J253" s="7" t="s">
        <v>84</v>
      </c>
      <c r="K253" s="96" t="s">
        <v>456</v>
      </c>
      <c r="L253" s="7" t="s">
        <v>202</v>
      </c>
      <c r="M253" s="126" t="s">
        <v>31</v>
      </c>
      <c r="N253" s="31" t="s">
        <v>749</v>
      </c>
      <c r="O253" s="7" t="s">
        <v>87</v>
      </c>
      <c r="P253" s="7">
        <v>162</v>
      </c>
      <c r="Q253" s="7">
        <v>197</v>
      </c>
      <c r="R253" s="7">
        <v>20</v>
      </c>
      <c r="S253" s="7">
        <v>0</v>
      </c>
      <c r="T253" s="7">
        <v>0</v>
      </c>
      <c r="U253" s="125">
        <f t="shared" si="104"/>
        <v>1.2160493827160495</v>
      </c>
      <c r="V253" s="125">
        <f t="shared" si="105"/>
        <v>0.10152284263959391</v>
      </c>
      <c r="W253" s="7"/>
      <c r="X253" s="7"/>
      <c r="Y253" s="7"/>
      <c r="Z253" s="7"/>
      <c r="AA253" s="7"/>
    </row>
    <row r="254" spans="1:27">
      <c r="A254" s="6">
        <v>46140</v>
      </c>
      <c r="B254" s="7" t="s">
        <v>78</v>
      </c>
      <c r="C254" s="50" t="s">
        <v>459</v>
      </c>
      <c r="D254" s="7">
        <v>3337851091</v>
      </c>
      <c r="E254" s="127" t="s">
        <v>752</v>
      </c>
      <c r="F254" s="7">
        <v>20942625</v>
      </c>
      <c r="G254" s="7" t="s">
        <v>31</v>
      </c>
      <c r="H254" s="77" t="s">
        <v>475</v>
      </c>
      <c r="I254" s="31" t="s">
        <v>85</v>
      </c>
      <c r="J254" s="7" t="s">
        <v>751</v>
      </c>
      <c r="K254" s="96" t="s">
        <v>456</v>
      </c>
      <c r="L254" s="7" t="s">
        <v>202</v>
      </c>
      <c r="M254" s="126" t="s">
        <v>31</v>
      </c>
      <c r="N254" s="7" t="s">
        <v>415</v>
      </c>
      <c r="O254" s="7" t="s">
        <v>87</v>
      </c>
      <c r="P254" s="7">
        <v>277</v>
      </c>
      <c r="Q254" s="7">
        <v>38</v>
      </c>
      <c r="R254" s="7">
        <v>2</v>
      </c>
      <c r="S254" s="7">
        <v>0</v>
      </c>
      <c r="T254" s="7">
        <v>0</v>
      </c>
      <c r="U254" s="125">
        <f t="shared" ref="U254:U256" si="106">Q254/P254</f>
        <v>0.13718411552346571</v>
      </c>
      <c r="V254" s="125">
        <f t="shared" ref="V254:V256" si="107">R254/Q254</f>
        <v>5.2631578947368418E-2</v>
      </c>
      <c r="W254" s="7"/>
      <c r="X254" s="7"/>
      <c r="Y254" s="7"/>
      <c r="Z254" s="7"/>
      <c r="AA254" s="7"/>
    </row>
    <row r="255" spans="1:27">
      <c r="A255" s="6">
        <v>46140</v>
      </c>
      <c r="B255" s="7" t="s">
        <v>78</v>
      </c>
      <c r="C255" s="50" t="s">
        <v>347</v>
      </c>
      <c r="D255" s="7">
        <v>3337859602</v>
      </c>
      <c r="E255" s="7" t="s">
        <v>753</v>
      </c>
      <c r="F255" s="7">
        <v>20942633</v>
      </c>
      <c r="G255" s="7" t="s">
        <v>31</v>
      </c>
      <c r="H255" s="77" t="s">
        <v>476</v>
      </c>
      <c r="I255" s="31" t="s">
        <v>85</v>
      </c>
      <c r="J255" s="7" t="s">
        <v>751</v>
      </c>
      <c r="K255" s="96" t="s">
        <v>456</v>
      </c>
      <c r="L255" s="7" t="s">
        <v>202</v>
      </c>
      <c r="M255" s="126" t="s">
        <v>31</v>
      </c>
      <c r="N255" s="31" t="s">
        <v>749</v>
      </c>
      <c r="O255" s="7" t="s">
        <v>87</v>
      </c>
      <c r="P255" s="7">
        <v>38</v>
      </c>
      <c r="Q255" s="7">
        <v>40</v>
      </c>
      <c r="R255" s="7">
        <v>4</v>
      </c>
      <c r="S255" s="7">
        <v>0</v>
      </c>
      <c r="T255" s="7">
        <v>0</v>
      </c>
      <c r="U255" s="125">
        <f t="shared" si="106"/>
        <v>1.0526315789473684</v>
      </c>
      <c r="V255" s="125">
        <f t="shared" si="107"/>
        <v>0.1</v>
      </c>
      <c r="W255" s="7"/>
      <c r="X255" s="7"/>
      <c r="Y255" s="7"/>
      <c r="Z255" s="7"/>
      <c r="AA255" s="7"/>
    </row>
    <row r="256" spans="1:27">
      <c r="A256" s="6">
        <v>46140</v>
      </c>
      <c r="B256" s="7" t="s">
        <v>78</v>
      </c>
      <c r="C256" s="50" t="s">
        <v>459</v>
      </c>
      <c r="D256" s="7">
        <v>3337871356</v>
      </c>
      <c r="E256" s="7" t="s">
        <v>752</v>
      </c>
      <c r="F256" s="128" t="s">
        <v>755</v>
      </c>
      <c r="G256" s="7" t="s">
        <v>31</v>
      </c>
      <c r="H256" s="77" t="s">
        <v>475</v>
      </c>
      <c r="I256" s="31" t="s">
        <v>85</v>
      </c>
      <c r="J256" s="7" t="s">
        <v>754</v>
      </c>
      <c r="K256" s="96" t="s">
        <v>456</v>
      </c>
      <c r="L256" s="7" t="s">
        <v>202</v>
      </c>
      <c r="M256" s="126" t="s">
        <v>31</v>
      </c>
      <c r="N256" s="7" t="s">
        <v>415</v>
      </c>
      <c r="O256" s="7" t="s">
        <v>87</v>
      </c>
      <c r="P256" s="7">
        <v>671</v>
      </c>
      <c r="Q256" s="7">
        <v>213</v>
      </c>
      <c r="R256" s="7">
        <v>4</v>
      </c>
      <c r="S256" s="7">
        <v>0</v>
      </c>
      <c r="T256" s="7">
        <v>0</v>
      </c>
      <c r="U256" s="125">
        <f t="shared" si="106"/>
        <v>0.31743666169895679</v>
      </c>
      <c r="V256" s="125">
        <f t="shared" si="107"/>
        <v>1.8779342723004695E-2</v>
      </c>
      <c r="W256" s="7"/>
      <c r="X256" s="7"/>
      <c r="Y256" s="7">
        <v>0.59</v>
      </c>
      <c r="Z256" s="7"/>
      <c r="AA256" s="7"/>
    </row>
    <row r="257" spans="1:36">
      <c r="A257" s="6">
        <v>46140</v>
      </c>
      <c r="B257" s="7" t="s">
        <v>78</v>
      </c>
      <c r="C257" s="50" t="s">
        <v>347</v>
      </c>
      <c r="D257" s="7">
        <v>3337872104</v>
      </c>
      <c r="E257" s="7" t="s">
        <v>753</v>
      </c>
      <c r="F257" s="128" t="s">
        <v>756</v>
      </c>
      <c r="G257" s="7" t="s">
        <v>31</v>
      </c>
      <c r="H257" s="77" t="s">
        <v>476</v>
      </c>
      <c r="I257" s="31" t="s">
        <v>85</v>
      </c>
      <c r="J257" s="7" t="s">
        <v>754</v>
      </c>
      <c r="K257" s="96" t="s">
        <v>456</v>
      </c>
      <c r="L257" s="7" t="s">
        <v>202</v>
      </c>
      <c r="M257" s="126" t="s">
        <v>31</v>
      </c>
      <c r="N257" s="31" t="s">
        <v>749</v>
      </c>
      <c r="O257" s="7" t="s">
        <v>87</v>
      </c>
      <c r="P257" s="7">
        <v>190</v>
      </c>
      <c r="Q257" s="7">
        <v>240</v>
      </c>
      <c r="R257" s="7">
        <v>27</v>
      </c>
      <c r="S257" s="7">
        <v>0</v>
      </c>
      <c r="T257" s="7">
        <v>0</v>
      </c>
      <c r="U257" s="125">
        <f t="shared" ref="U257" si="108">Q257/P257</f>
        <v>1.263157894736842</v>
      </c>
      <c r="V257" s="125">
        <f t="shared" ref="V257" si="109">R257/Q257</f>
        <v>0.1125</v>
      </c>
      <c r="W257" s="7"/>
      <c r="X257" s="7"/>
      <c r="Y257" s="7">
        <v>4.4249999999999998</v>
      </c>
      <c r="Z257" s="7"/>
      <c r="AA257" s="7"/>
    </row>
    <row r="258" spans="1:36" ht="7.8" customHeight="1">
      <c r="A258" s="8"/>
      <c r="B258" s="9"/>
      <c r="C258" s="10"/>
      <c r="D258" s="57"/>
      <c r="E258" s="57"/>
      <c r="F258" s="57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1"/>
      <c r="V258" s="11"/>
      <c r="W258" s="10"/>
      <c r="X258" s="10"/>
      <c r="Y258" s="10"/>
      <c r="Z258" s="11"/>
      <c r="AA258" s="12"/>
    </row>
    <row r="259" spans="1:36">
      <c r="A259" s="6">
        <v>46141</v>
      </c>
      <c r="B259" s="7" t="s">
        <v>124</v>
      </c>
      <c r="C259" s="33" t="s">
        <v>89</v>
      </c>
      <c r="D259" s="18">
        <v>1655163</v>
      </c>
      <c r="E259" s="18" t="s">
        <v>79</v>
      </c>
      <c r="F259" s="18">
        <v>20858469</v>
      </c>
      <c r="G259" s="18" t="s">
        <v>80</v>
      </c>
      <c r="H259" s="18" t="s">
        <v>81</v>
      </c>
      <c r="I259" s="18" t="s">
        <v>85</v>
      </c>
      <c r="J259" s="18" t="s">
        <v>84</v>
      </c>
      <c r="K259" s="14"/>
      <c r="L259" s="18"/>
      <c r="M259" s="95" t="s">
        <v>83</v>
      </c>
      <c r="N259" s="19" t="s">
        <v>88</v>
      </c>
      <c r="O259" s="18" t="s">
        <v>87</v>
      </c>
      <c r="P259" s="7">
        <v>318</v>
      </c>
      <c r="Q259" s="7">
        <v>161</v>
      </c>
      <c r="R259" s="7">
        <v>0</v>
      </c>
      <c r="S259" s="7">
        <v>0</v>
      </c>
      <c r="T259" s="7">
        <v>0</v>
      </c>
      <c r="U259" s="125">
        <f>Q259/P259</f>
        <v>0.50628930817610063</v>
      </c>
      <c r="V259" s="125">
        <f>R259/Q259</f>
        <v>0</v>
      </c>
      <c r="W259" s="7"/>
      <c r="X259" s="7"/>
      <c r="Y259" s="7"/>
      <c r="Z259" s="7"/>
      <c r="AA259" s="7"/>
      <c r="AE259" s="17" t="s">
        <v>125</v>
      </c>
    </row>
    <row r="260" spans="1:36">
      <c r="A260" s="6">
        <v>46141</v>
      </c>
      <c r="B260" s="7" t="s">
        <v>124</v>
      </c>
      <c r="C260" s="33" t="s">
        <v>89</v>
      </c>
      <c r="D260" s="18">
        <v>1655163</v>
      </c>
      <c r="E260" s="18" t="s">
        <v>214</v>
      </c>
      <c r="F260" s="18">
        <v>20884021</v>
      </c>
      <c r="G260" s="18" t="s">
        <v>212</v>
      </c>
      <c r="H260" s="18" t="s">
        <v>213</v>
      </c>
      <c r="I260" s="18" t="s">
        <v>85</v>
      </c>
      <c r="J260" s="18" t="s">
        <v>84</v>
      </c>
      <c r="K260" s="30"/>
      <c r="L260" s="18"/>
      <c r="M260" s="95" t="s">
        <v>83</v>
      </c>
      <c r="N260" s="19" t="s">
        <v>88</v>
      </c>
      <c r="O260" s="18" t="s">
        <v>87</v>
      </c>
      <c r="P260" s="7">
        <v>318</v>
      </c>
      <c r="Q260" s="7">
        <v>129</v>
      </c>
      <c r="R260" s="7">
        <v>0</v>
      </c>
      <c r="S260" s="7">
        <v>0</v>
      </c>
      <c r="T260" s="7">
        <v>0</v>
      </c>
      <c r="U260" s="125">
        <f t="shared" ref="U260:U270" si="110">Q260/P260</f>
        <v>0.40566037735849059</v>
      </c>
      <c r="V260" s="125">
        <f t="shared" ref="V260:V270" si="111">R260/Q260</f>
        <v>0</v>
      </c>
      <c r="W260" s="7"/>
      <c r="X260" s="7"/>
      <c r="Y260" s="7"/>
      <c r="Z260" s="7"/>
      <c r="AA260" s="7"/>
      <c r="AE260" s="17"/>
    </row>
    <row r="261" spans="1:36">
      <c r="A261" s="6">
        <v>46141</v>
      </c>
      <c r="B261" s="7" t="s">
        <v>124</v>
      </c>
      <c r="C261" s="33" t="s">
        <v>876</v>
      </c>
      <c r="D261" s="18">
        <v>1655163</v>
      </c>
      <c r="E261" s="18" t="s">
        <v>873</v>
      </c>
      <c r="F261" s="18">
        <v>20949243</v>
      </c>
      <c r="G261" s="18" t="s">
        <v>874</v>
      </c>
      <c r="H261" s="18" t="s">
        <v>875</v>
      </c>
      <c r="I261" s="18" t="s">
        <v>85</v>
      </c>
      <c r="J261" s="18" t="s">
        <v>84</v>
      </c>
      <c r="K261" s="30" t="s">
        <v>872</v>
      </c>
      <c r="L261" s="18"/>
      <c r="M261" s="95" t="s">
        <v>83</v>
      </c>
      <c r="N261" s="19" t="s">
        <v>88</v>
      </c>
      <c r="O261" s="18" t="s">
        <v>87</v>
      </c>
      <c r="P261" s="7">
        <v>6</v>
      </c>
      <c r="Q261" s="7">
        <v>3</v>
      </c>
      <c r="R261" s="7">
        <v>0</v>
      </c>
      <c r="S261" s="7">
        <v>0</v>
      </c>
      <c r="T261" s="7"/>
      <c r="U261" s="125">
        <f t="shared" ref="U261:U264" si="112">Q261/P261</f>
        <v>0.5</v>
      </c>
      <c r="V261" s="125">
        <f t="shared" ref="V261:V264" si="113">R261/Q261</f>
        <v>0</v>
      </c>
      <c r="W261" s="7"/>
      <c r="X261" s="7"/>
      <c r="Y261" s="7"/>
      <c r="Z261" s="7"/>
      <c r="AA261" s="7"/>
      <c r="AE261" s="17"/>
    </row>
    <row r="262" spans="1:36">
      <c r="A262" s="6">
        <v>46141</v>
      </c>
      <c r="B262" s="7" t="s">
        <v>124</v>
      </c>
      <c r="C262" s="33" t="s">
        <v>89</v>
      </c>
      <c r="D262" s="18">
        <v>1655348</v>
      </c>
      <c r="E262" s="18" t="s">
        <v>878</v>
      </c>
      <c r="F262" s="18">
        <v>20949317</v>
      </c>
      <c r="G262" s="18" t="s">
        <v>80</v>
      </c>
      <c r="H262" s="18" t="s">
        <v>81</v>
      </c>
      <c r="I262" s="18" t="s">
        <v>85</v>
      </c>
      <c r="J262" s="18" t="s">
        <v>84</v>
      </c>
      <c r="K262" s="30"/>
      <c r="L262" s="18"/>
      <c r="M262" s="95" t="s">
        <v>83</v>
      </c>
      <c r="N262" s="19" t="s">
        <v>877</v>
      </c>
      <c r="O262" s="18" t="s">
        <v>87</v>
      </c>
      <c r="P262" s="7">
        <v>725</v>
      </c>
      <c r="Q262" s="7">
        <v>8</v>
      </c>
      <c r="R262" s="7">
        <v>3</v>
      </c>
      <c r="S262" s="7">
        <v>0</v>
      </c>
      <c r="T262" s="7">
        <v>0</v>
      </c>
      <c r="U262" s="125">
        <f t="shared" si="112"/>
        <v>1.1034482758620689E-2</v>
      </c>
      <c r="V262" s="125">
        <f t="shared" si="113"/>
        <v>0.375</v>
      </c>
      <c r="W262" s="7"/>
      <c r="X262" s="7"/>
      <c r="Y262" s="7"/>
      <c r="Z262" s="7"/>
      <c r="AA262" s="7"/>
      <c r="AE262" s="17"/>
    </row>
    <row r="263" spans="1:36">
      <c r="A263" s="6">
        <v>46141</v>
      </c>
      <c r="B263" s="7" t="s">
        <v>124</v>
      </c>
      <c r="C263" s="33" t="s">
        <v>89</v>
      </c>
      <c r="D263" s="18">
        <v>1655348</v>
      </c>
      <c r="E263" s="18" t="s">
        <v>879</v>
      </c>
      <c r="F263" s="18">
        <v>20949318</v>
      </c>
      <c r="G263" s="18" t="s">
        <v>212</v>
      </c>
      <c r="H263" s="18" t="s">
        <v>213</v>
      </c>
      <c r="I263" s="18" t="s">
        <v>85</v>
      </c>
      <c r="J263" s="18" t="s">
        <v>84</v>
      </c>
      <c r="K263" s="30"/>
      <c r="L263" s="18"/>
      <c r="M263" s="95" t="s">
        <v>83</v>
      </c>
      <c r="N263" s="19" t="s">
        <v>877</v>
      </c>
      <c r="O263" s="18" t="s">
        <v>87</v>
      </c>
      <c r="P263" s="7">
        <v>727</v>
      </c>
      <c r="Q263" s="7">
        <v>4</v>
      </c>
      <c r="R263" s="7">
        <v>1</v>
      </c>
      <c r="S263" s="7">
        <v>0</v>
      </c>
      <c r="T263" s="7">
        <v>0</v>
      </c>
      <c r="U263" s="125">
        <f t="shared" si="112"/>
        <v>5.5020632737276479E-3</v>
      </c>
      <c r="V263" s="125">
        <f t="shared" si="113"/>
        <v>0.25</v>
      </c>
      <c r="W263" s="7"/>
      <c r="X263" s="7"/>
      <c r="Y263" s="7"/>
      <c r="Z263" s="7"/>
      <c r="AA263" s="7"/>
      <c r="AE263" s="17"/>
    </row>
    <row r="264" spans="1:36">
      <c r="A264" s="6">
        <v>46141</v>
      </c>
      <c r="B264" s="7" t="s">
        <v>124</v>
      </c>
      <c r="C264" s="33" t="s">
        <v>876</v>
      </c>
      <c r="D264" s="18">
        <v>1655348</v>
      </c>
      <c r="E264" s="18" t="s">
        <v>880</v>
      </c>
      <c r="F264" s="18">
        <v>20949319</v>
      </c>
      <c r="G264" s="18" t="s">
        <v>874</v>
      </c>
      <c r="H264" s="18" t="s">
        <v>875</v>
      </c>
      <c r="I264" s="18" t="s">
        <v>85</v>
      </c>
      <c r="J264" s="18" t="s">
        <v>84</v>
      </c>
      <c r="K264" s="30"/>
      <c r="L264" s="18"/>
      <c r="M264" s="95" t="s">
        <v>83</v>
      </c>
      <c r="N264" s="19" t="s">
        <v>877</v>
      </c>
      <c r="O264" s="18" t="s">
        <v>87</v>
      </c>
      <c r="P264" s="7">
        <v>27</v>
      </c>
      <c r="Q264" s="7">
        <v>0</v>
      </c>
      <c r="R264" s="7">
        <v>0</v>
      </c>
      <c r="S264" s="7">
        <v>0</v>
      </c>
      <c r="T264" s="7">
        <v>0</v>
      </c>
      <c r="U264" s="125">
        <f t="shared" si="112"/>
        <v>0</v>
      </c>
      <c r="V264" s="125" t="e">
        <f t="shared" si="113"/>
        <v>#DIV/0!</v>
      </c>
      <c r="W264" s="7"/>
      <c r="X264" s="7"/>
      <c r="Y264" s="7"/>
      <c r="Z264" s="7"/>
      <c r="AA264" s="7"/>
      <c r="AE264" s="17"/>
    </row>
    <row r="265" spans="1:36">
      <c r="A265" s="6">
        <v>46141</v>
      </c>
      <c r="B265" s="7" t="s">
        <v>124</v>
      </c>
      <c r="C265" s="33" t="s">
        <v>89</v>
      </c>
      <c r="D265" s="18">
        <v>1655164</v>
      </c>
      <c r="E265" s="18" t="s">
        <v>91</v>
      </c>
      <c r="F265" s="18">
        <v>20859118</v>
      </c>
      <c r="G265" s="18" t="s">
        <v>90</v>
      </c>
      <c r="H265" s="18" t="s">
        <v>92</v>
      </c>
      <c r="I265" s="18" t="s">
        <v>85</v>
      </c>
      <c r="J265" s="18" t="s">
        <v>84</v>
      </c>
      <c r="K265" s="29"/>
      <c r="L265" s="18"/>
      <c r="M265" s="95" t="s">
        <v>83</v>
      </c>
      <c r="N265" s="19" t="s">
        <v>93</v>
      </c>
      <c r="O265" s="18" t="s">
        <v>87</v>
      </c>
      <c r="P265" s="7">
        <v>13</v>
      </c>
      <c r="Q265" s="7">
        <v>9</v>
      </c>
      <c r="R265" s="7">
        <v>0</v>
      </c>
      <c r="S265" s="7">
        <v>0</v>
      </c>
      <c r="T265" s="7">
        <v>0</v>
      </c>
      <c r="U265" s="125">
        <f t="shared" si="110"/>
        <v>0.69230769230769229</v>
      </c>
      <c r="V265" s="125">
        <f t="shared" si="111"/>
        <v>0</v>
      </c>
      <c r="W265" s="7"/>
      <c r="X265" s="7"/>
      <c r="Y265" s="7"/>
      <c r="Z265" s="7"/>
      <c r="AA265" s="7"/>
      <c r="AE265" t="s">
        <v>82</v>
      </c>
      <c r="AF265">
        <v>115</v>
      </c>
      <c r="AG265">
        <v>11</v>
      </c>
      <c r="AH265">
        <v>0</v>
      </c>
      <c r="AI265" s="28">
        <f>AG265/AF265</f>
        <v>9.5652173913043481E-2</v>
      </c>
      <c r="AJ265" s="27">
        <f>AH265/AG265</f>
        <v>0</v>
      </c>
    </row>
    <row r="266" spans="1:36">
      <c r="A266" s="6">
        <v>46141</v>
      </c>
      <c r="B266" s="7" t="s">
        <v>124</v>
      </c>
      <c r="C266" s="33" t="s">
        <v>89</v>
      </c>
      <c r="D266" s="18">
        <v>1655187</v>
      </c>
      <c r="E266" s="18" t="s">
        <v>131</v>
      </c>
      <c r="F266" s="18">
        <v>20865659</v>
      </c>
      <c r="G266" s="18" t="s">
        <v>103</v>
      </c>
      <c r="H266" s="18" t="s">
        <v>133</v>
      </c>
      <c r="I266" s="18" t="s">
        <v>85</v>
      </c>
      <c r="J266" s="18" t="s">
        <v>84</v>
      </c>
      <c r="K266" s="30"/>
      <c r="L266" s="18"/>
      <c r="M266" s="95" t="s">
        <v>83</v>
      </c>
      <c r="N266" s="19" t="s">
        <v>132</v>
      </c>
      <c r="O266" s="18" t="s">
        <v>87</v>
      </c>
      <c r="P266" s="7">
        <v>166</v>
      </c>
      <c r="Q266" s="7">
        <v>163</v>
      </c>
      <c r="R266" s="7">
        <v>0</v>
      </c>
      <c r="S266" s="7">
        <v>0</v>
      </c>
      <c r="T266" s="7">
        <v>0</v>
      </c>
      <c r="U266" s="125">
        <f t="shared" si="110"/>
        <v>0.98192771084337349</v>
      </c>
      <c r="V266" s="125">
        <f t="shared" si="111"/>
        <v>0</v>
      </c>
      <c r="W266" s="7"/>
      <c r="X266" s="7"/>
      <c r="Y266" s="7"/>
      <c r="Z266" s="7"/>
      <c r="AA266" s="7"/>
      <c r="AI266" s="28"/>
      <c r="AJ266" s="27"/>
    </row>
    <row r="267" spans="1:36">
      <c r="A267" s="6">
        <v>46141</v>
      </c>
      <c r="B267" s="7" t="s">
        <v>124</v>
      </c>
      <c r="C267" s="13">
        <v>0.45833333333333331</v>
      </c>
      <c r="D267" s="31">
        <v>3339064268</v>
      </c>
      <c r="E267" s="7" t="s">
        <v>868</v>
      </c>
      <c r="F267" s="31">
        <v>20949135</v>
      </c>
      <c r="G267" s="7" t="s">
        <v>425</v>
      </c>
      <c r="H267" s="77" t="s">
        <v>375</v>
      </c>
      <c r="I267" s="7" t="s">
        <v>85</v>
      </c>
      <c r="J267" s="7" t="s">
        <v>84</v>
      </c>
      <c r="K267" s="60" t="s">
        <v>209</v>
      </c>
      <c r="L267" s="7"/>
      <c r="M267" s="95" t="s">
        <v>83</v>
      </c>
      <c r="N267" s="15" t="s">
        <v>423</v>
      </c>
      <c r="O267" s="7" t="s">
        <v>87</v>
      </c>
      <c r="P267" s="7">
        <v>311</v>
      </c>
      <c r="Q267" s="7">
        <v>125</v>
      </c>
      <c r="R267" s="7">
        <v>2</v>
      </c>
      <c r="S267" s="7">
        <v>0</v>
      </c>
      <c r="T267" s="7">
        <v>0</v>
      </c>
      <c r="U267" s="125">
        <f t="shared" si="110"/>
        <v>0.40192926045016075</v>
      </c>
      <c r="V267" s="125">
        <f t="shared" si="111"/>
        <v>1.6E-2</v>
      </c>
      <c r="W267" s="7"/>
      <c r="X267" s="7"/>
      <c r="Y267" s="7"/>
      <c r="Z267" s="7"/>
      <c r="AA267" s="7"/>
    </row>
    <row r="268" spans="1:36">
      <c r="A268" s="6">
        <v>46141</v>
      </c>
      <c r="B268" s="7" t="s">
        <v>124</v>
      </c>
      <c r="C268" s="13">
        <v>0.47916666666666669</v>
      </c>
      <c r="D268" s="31">
        <v>3339065858</v>
      </c>
      <c r="E268" s="7" t="s">
        <v>869</v>
      </c>
      <c r="F268" s="31">
        <v>20949138</v>
      </c>
      <c r="G268" s="7" t="s">
        <v>425</v>
      </c>
      <c r="H268" s="77" t="s">
        <v>470</v>
      </c>
      <c r="I268" s="7" t="s">
        <v>85</v>
      </c>
      <c r="J268" s="7" t="s">
        <v>84</v>
      </c>
      <c r="K268" s="60" t="s">
        <v>209</v>
      </c>
      <c r="L268" s="7"/>
      <c r="M268" s="95" t="s">
        <v>83</v>
      </c>
      <c r="N268" s="15" t="s">
        <v>451</v>
      </c>
      <c r="O268" s="7" t="s">
        <v>87</v>
      </c>
      <c r="P268" s="7">
        <v>5075</v>
      </c>
      <c r="Q268" s="7">
        <v>343</v>
      </c>
      <c r="R268" s="7">
        <v>1</v>
      </c>
      <c r="S268" s="7">
        <v>0</v>
      </c>
      <c r="T268" s="7">
        <v>0</v>
      </c>
      <c r="U268" s="125">
        <f t="shared" si="110"/>
        <v>6.7586206896551718E-2</v>
      </c>
      <c r="V268" s="125">
        <f t="shared" si="111"/>
        <v>2.9154518950437317E-3</v>
      </c>
      <c r="W268" s="7"/>
      <c r="X268" s="7"/>
      <c r="Y268" s="7"/>
      <c r="Z268" s="7"/>
      <c r="AA268" s="7"/>
    </row>
    <row r="269" spans="1:36">
      <c r="A269" s="6">
        <v>46141</v>
      </c>
      <c r="B269" s="7" t="s">
        <v>124</v>
      </c>
      <c r="C269" s="13">
        <v>0.41666666666666669</v>
      </c>
      <c r="D269" s="31">
        <v>3339086846</v>
      </c>
      <c r="E269" s="7" t="s">
        <v>870</v>
      </c>
      <c r="F269" s="31">
        <v>20949179</v>
      </c>
      <c r="G269" s="7" t="s">
        <v>425</v>
      </c>
      <c r="H269" s="77" t="s">
        <v>375</v>
      </c>
      <c r="I269" s="7" t="s">
        <v>85</v>
      </c>
      <c r="J269" s="7" t="s">
        <v>84</v>
      </c>
      <c r="K269" s="60" t="s">
        <v>209</v>
      </c>
      <c r="L269" s="7"/>
      <c r="M269" s="95" t="s">
        <v>83</v>
      </c>
      <c r="N269" s="15" t="s">
        <v>770</v>
      </c>
      <c r="O269" s="7" t="s">
        <v>87</v>
      </c>
      <c r="P269" s="7">
        <v>44</v>
      </c>
      <c r="Q269" s="7">
        <v>1</v>
      </c>
      <c r="R269" s="7">
        <v>0</v>
      </c>
      <c r="S269" s="7">
        <v>0</v>
      </c>
      <c r="T269" s="7">
        <v>22</v>
      </c>
      <c r="U269" s="125">
        <f t="shared" si="110"/>
        <v>2.2727272727272728E-2</v>
      </c>
      <c r="V269" s="125">
        <f t="shared" si="111"/>
        <v>0</v>
      </c>
      <c r="W269" s="7"/>
      <c r="X269" s="7"/>
      <c r="Y269" s="7"/>
      <c r="Z269" s="7"/>
      <c r="AA269" s="7"/>
    </row>
    <row r="270" spans="1:36">
      <c r="A270" s="6">
        <v>46141</v>
      </c>
      <c r="B270" s="7" t="s">
        <v>124</v>
      </c>
      <c r="C270" s="129">
        <v>0.44791666666666669</v>
      </c>
      <c r="D270" s="31">
        <v>3339086978</v>
      </c>
      <c r="E270" s="7" t="s">
        <v>871</v>
      </c>
      <c r="F270" s="31">
        <v>20949180</v>
      </c>
      <c r="G270" s="7" t="s">
        <v>425</v>
      </c>
      <c r="H270" s="77" t="s">
        <v>470</v>
      </c>
      <c r="I270" s="7" t="s">
        <v>85</v>
      </c>
      <c r="J270" s="35" t="s">
        <v>84</v>
      </c>
      <c r="K270" s="131" t="s">
        <v>209</v>
      </c>
      <c r="L270" s="35"/>
      <c r="M270" s="132" t="s">
        <v>83</v>
      </c>
      <c r="N270" s="133" t="s">
        <v>771</v>
      </c>
      <c r="O270" s="35" t="s">
        <v>87</v>
      </c>
      <c r="P270" s="35">
        <v>92</v>
      </c>
      <c r="Q270" s="35">
        <v>1</v>
      </c>
      <c r="R270" s="35">
        <v>0</v>
      </c>
      <c r="S270" s="35">
        <v>0</v>
      </c>
      <c r="T270" s="35">
        <v>0</v>
      </c>
      <c r="U270" s="134">
        <f t="shared" si="110"/>
        <v>1.0869565217391304E-2</v>
      </c>
      <c r="V270" s="134">
        <f t="shared" si="111"/>
        <v>0</v>
      </c>
      <c r="W270" s="35"/>
      <c r="X270" s="35"/>
      <c r="Y270" s="35"/>
      <c r="Z270" s="35"/>
      <c r="AA270" s="35"/>
    </row>
    <row r="271" spans="1:36">
      <c r="A271" s="85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92"/>
      <c r="V271" s="92"/>
      <c r="W271" s="86"/>
      <c r="X271" s="86"/>
      <c r="Y271" s="86"/>
      <c r="Z271" s="86"/>
      <c r="AA271" s="87"/>
    </row>
    <row r="272" spans="1:36">
      <c r="A272" s="6">
        <v>46141</v>
      </c>
      <c r="B272" s="7" t="s">
        <v>124</v>
      </c>
      <c r="C272" s="50" t="s">
        <v>304</v>
      </c>
      <c r="D272" s="7">
        <v>3337953065</v>
      </c>
      <c r="E272" s="7" t="s">
        <v>758</v>
      </c>
      <c r="F272" s="7">
        <v>20942854</v>
      </c>
      <c r="G272" s="31" t="s">
        <v>198</v>
      </c>
      <c r="H272" s="7" t="s">
        <v>757</v>
      </c>
      <c r="I272" s="7" t="s">
        <v>85</v>
      </c>
      <c r="J272" s="7" t="s">
        <v>84</v>
      </c>
      <c r="K272" s="96" t="s">
        <v>456</v>
      </c>
      <c r="L272" s="7" t="s">
        <v>202</v>
      </c>
      <c r="M272" s="122" t="s">
        <v>201</v>
      </c>
      <c r="N272" s="7" t="s">
        <v>415</v>
      </c>
      <c r="O272" s="7" t="s">
        <v>87</v>
      </c>
      <c r="P272" s="7">
        <v>1770</v>
      </c>
      <c r="Q272" s="7">
        <v>112</v>
      </c>
      <c r="R272" s="7">
        <v>0</v>
      </c>
      <c r="S272" s="7">
        <v>0</v>
      </c>
      <c r="T272" s="7">
        <v>0</v>
      </c>
      <c r="U272" s="125">
        <f t="shared" ref="U272:U277" si="114">Q272/P272</f>
        <v>6.3276836158192087E-2</v>
      </c>
      <c r="V272" s="125">
        <f t="shared" ref="V272:V277" si="115">R272/Q272</f>
        <v>0</v>
      </c>
      <c r="W272" s="7"/>
      <c r="X272" s="7"/>
      <c r="Y272" s="7"/>
      <c r="Z272" s="7"/>
      <c r="AA272" s="7"/>
    </row>
    <row r="273" spans="1:27">
      <c r="A273" s="6">
        <v>46141</v>
      </c>
      <c r="B273" s="7" t="s">
        <v>124</v>
      </c>
      <c r="C273" s="50" t="s">
        <v>347</v>
      </c>
      <c r="D273" s="7">
        <v>3337953071</v>
      </c>
      <c r="E273" s="7" t="s">
        <v>760</v>
      </c>
      <c r="F273" s="7">
        <v>20942934</v>
      </c>
      <c r="G273" s="31" t="s">
        <v>198</v>
      </c>
      <c r="H273" s="7" t="s">
        <v>759</v>
      </c>
      <c r="I273" s="7" t="s">
        <v>85</v>
      </c>
      <c r="J273" s="7" t="s">
        <v>84</v>
      </c>
      <c r="K273" s="96" t="s">
        <v>456</v>
      </c>
      <c r="L273" s="7" t="s">
        <v>202</v>
      </c>
      <c r="M273" s="122" t="s">
        <v>201</v>
      </c>
      <c r="N273" s="7" t="s">
        <v>749</v>
      </c>
      <c r="O273" s="7" t="s">
        <v>87</v>
      </c>
      <c r="P273" s="7">
        <v>112</v>
      </c>
      <c r="Q273" s="7">
        <v>74</v>
      </c>
      <c r="R273" s="7">
        <v>4</v>
      </c>
      <c r="S273" s="7">
        <v>0</v>
      </c>
      <c r="T273" s="7">
        <v>0</v>
      </c>
      <c r="U273" s="125">
        <f t="shared" si="114"/>
        <v>0.6607142857142857</v>
      </c>
      <c r="V273" s="125">
        <f t="shared" si="115"/>
        <v>5.4054054054054057E-2</v>
      </c>
      <c r="W273" s="7"/>
      <c r="X273" s="7"/>
      <c r="Y273" s="7"/>
      <c r="Z273" s="7"/>
      <c r="AA273" s="7"/>
    </row>
    <row r="274" spans="1:27">
      <c r="A274" s="6">
        <v>46141</v>
      </c>
      <c r="B274" s="7" t="s">
        <v>124</v>
      </c>
      <c r="C274" s="50" t="s">
        <v>304</v>
      </c>
      <c r="D274" s="7">
        <v>3337954458</v>
      </c>
      <c r="E274" s="7" t="s">
        <v>758</v>
      </c>
      <c r="F274" s="7">
        <v>20943184</v>
      </c>
      <c r="G274" s="31" t="s">
        <v>198</v>
      </c>
      <c r="H274" s="7" t="s">
        <v>757</v>
      </c>
      <c r="I274" s="7" t="s">
        <v>85</v>
      </c>
      <c r="J274" s="7" t="s">
        <v>751</v>
      </c>
      <c r="K274" s="96" t="s">
        <v>456</v>
      </c>
      <c r="L274" s="7" t="s">
        <v>202</v>
      </c>
      <c r="M274" s="122" t="s">
        <v>201</v>
      </c>
      <c r="N274" s="7" t="s">
        <v>415</v>
      </c>
      <c r="O274" s="7" t="s">
        <v>87</v>
      </c>
      <c r="P274" s="7">
        <v>288</v>
      </c>
      <c r="Q274" s="7">
        <v>47</v>
      </c>
      <c r="R274" s="7">
        <v>5</v>
      </c>
      <c r="S274" s="7">
        <v>0</v>
      </c>
      <c r="T274" s="7">
        <v>0</v>
      </c>
      <c r="U274" s="125">
        <f t="shared" si="114"/>
        <v>0.16319444444444445</v>
      </c>
      <c r="V274" s="125">
        <f t="shared" si="115"/>
        <v>0.10638297872340426</v>
      </c>
      <c r="W274" s="7"/>
      <c r="X274" s="7"/>
      <c r="Y274" s="7"/>
      <c r="Z274" s="7"/>
      <c r="AA274" s="7"/>
    </row>
    <row r="275" spans="1:27">
      <c r="A275" s="6">
        <v>46141</v>
      </c>
      <c r="B275" s="7" t="s">
        <v>124</v>
      </c>
      <c r="C275" s="50" t="s">
        <v>347</v>
      </c>
      <c r="D275" s="7">
        <v>3337954666</v>
      </c>
      <c r="E275" s="7" t="s">
        <v>760</v>
      </c>
      <c r="F275" s="7">
        <v>20943187</v>
      </c>
      <c r="G275" s="31" t="s">
        <v>198</v>
      </c>
      <c r="H275" s="7" t="s">
        <v>759</v>
      </c>
      <c r="I275" s="7" t="s">
        <v>85</v>
      </c>
      <c r="J275" s="7" t="s">
        <v>751</v>
      </c>
      <c r="K275" s="96" t="s">
        <v>456</v>
      </c>
      <c r="L275" s="7" t="s">
        <v>202</v>
      </c>
      <c r="M275" s="122" t="s">
        <v>201</v>
      </c>
      <c r="N275" s="7" t="s">
        <v>749</v>
      </c>
      <c r="O275" s="7" t="s">
        <v>87</v>
      </c>
      <c r="P275" s="7">
        <v>44</v>
      </c>
      <c r="Q275" s="7">
        <v>29</v>
      </c>
      <c r="R275" s="7">
        <v>0</v>
      </c>
      <c r="S275" s="7">
        <v>0</v>
      </c>
      <c r="T275" s="7">
        <v>0</v>
      </c>
      <c r="U275" s="125">
        <f t="shared" si="114"/>
        <v>0.65909090909090906</v>
      </c>
      <c r="V275" s="125">
        <f t="shared" si="115"/>
        <v>0</v>
      </c>
      <c r="W275" s="7"/>
      <c r="X275" s="7"/>
      <c r="Y275" s="7"/>
      <c r="Z275" s="7"/>
      <c r="AA275" s="7"/>
    </row>
    <row r="276" spans="1:27">
      <c r="A276" s="6">
        <v>46141</v>
      </c>
      <c r="B276" s="7" t="s">
        <v>124</v>
      </c>
      <c r="C276" s="50" t="s">
        <v>304</v>
      </c>
      <c r="D276" s="7">
        <v>3337955897</v>
      </c>
      <c r="E276" s="7" t="s">
        <v>758</v>
      </c>
      <c r="F276" s="7">
        <v>20943185</v>
      </c>
      <c r="G276" s="31" t="s">
        <v>198</v>
      </c>
      <c r="H276" s="7" t="s">
        <v>757</v>
      </c>
      <c r="I276" s="7" t="s">
        <v>85</v>
      </c>
      <c r="J276" s="7" t="s">
        <v>754</v>
      </c>
      <c r="K276" s="96" t="s">
        <v>456</v>
      </c>
      <c r="L276" s="7" t="s">
        <v>202</v>
      </c>
      <c r="M276" s="122" t="s">
        <v>201</v>
      </c>
      <c r="N276" s="7" t="s">
        <v>415</v>
      </c>
      <c r="O276" s="7" t="s">
        <v>87</v>
      </c>
      <c r="P276" s="7">
        <v>685</v>
      </c>
      <c r="Q276" s="7">
        <v>105</v>
      </c>
      <c r="R276" s="7">
        <v>4</v>
      </c>
      <c r="S276" s="7">
        <v>0</v>
      </c>
      <c r="T276" s="7">
        <v>0</v>
      </c>
      <c r="U276" s="125">
        <f t="shared" si="114"/>
        <v>0.15328467153284672</v>
      </c>
      <c r="V276" s="125">
        <f t="shared" si="115"/>
        <v>3.8095238095238099E-2</v>
      </c>
      <c r="W276" s="7"/>
      <c r="X276" s="7"/>
      <c r="Y276" s="7"/>
      <c r="Z276" s="7"/>
      <c r="AA276" s="7"/>
    </row>
    <row r="277" spans="1:27">
      <c r="A277" s="6">
        <v>46141</v>
      </c>
      <c r="B277" s="7" t="s">
        <v>124</v>
      </c>
      <c r="C277" s="50" t="s">
        <v>347</v>
      </c>
      <c r="D277" s="7">
        <v>3337955921</v>
      </c>
      <c r="E277" s="7" t="s">
        <v>760</v>
      </c>
      <c r="F277" s="7">
        <v>20943188</v>
      </c>
      <c r="G277" s="31" t="s">
        <v>198</v>
      </c>
      <c r="H277" s="7" t="s">
        <v>759</v>
      </c>
      <c r="I277" s="7" t="s">
        <v>85</v>
      </c>
      <c r="J277" s="7" t="s">
        <v>754</v>
      </c>
      <c r="K277" s="96" t="s">
        <v>456</v>
      </c>
      <c r="L277" s="7" t="s">
        <v>202</v>
      </c>
      <c r="M277" s="122" t="s">
        <v>201</v>
      </c>
      <c r="N277" s="7" t="s">
        <v>749</v>
      </c>
      <c r="O277" s="7" t="s">
        <v>87</v>
      </c>
      <c r="P277" s="7">
        <v>104</v>
      </c>
      <c r="Q277" s="7">
        <v>69</v>
      </c>
      <c r="R277" s="7">
        <v>0</v>
      </c>
      <c r="S277" s="7">
        <v>0</v>
      </c>
      <c r="T277" s="7">
        <v>0</v>
      </c>
      <c r="U277" s="125">
        <f t="shared" si="114"/>
        <v>0.66346153846153844</v>
      </c>
      <c r="V277" s="125">
        <f t="shared" si="115"/>
        <v>0</v>
      </c>
      <c r="W277" s="7"/>
      <c r="X277" s="7"/>
      <c r="Y277" s="7"/>
      <c r="Z277" s="7"/>
      <c r="AA277" s="7"/>
    </row>
    <row r="278" spans="1:27">
      <c r="A278" s="85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92"/>
      <c r="V278" s="92"/>
      <c r="W278" s="86"/>
      <c r="X278" s="86"/>
      <c r="Y278" s="86"/>
      <c r="Z278" s="86"/>
      <c r="AA278" s="87"/>
    </row>
    <row r="279" spans="1:27" s="72" customFormat="1">
      <c r="A279" s="6">
        <v>46141</v>
      </c>
      <c r="B279" s="7" t="s">
        <v>124</v>
      </c>
      <c r="C279" s="124" t="s">
        <v>599</v>
      </c>
      <c r="D279" s="31">
        <v>3337959044</v>
      </c>
      <c r="E279" s="31" t="s">
        <v>762</v>
      </c>
      <c r="F279" s="31">
        <v>20943220</v>
      </c>
      <c r="G279" s="31" t="s">
        <v>471</v>
      </c>
      <c r="H279" s="99" t="s">
        <v>763</v>
      </c>
      <c r="I279" s="31" t="s">
        <v>85</v>
      </c>
      <c r="J279" s="31" t="s">
        <v>84</v>
      </c>
      <c r="K279" s="96" t="s">
        <v>456</v>
      </c>
      <c r="L279" s="31" t="s">
        <v>202</v>
      </c>
      <c r="M279" s="122" t="s">
        <v>29</v>
      </c>
      <c r="N279" s="31" t="s">
        <v>415</v>
      </c>
      <c r="O279" s="31" t="s">
        <v>87</v>
      </c>
      <c r="P279" s="31">
        <v>1770</v>
      </c>
      <c r="Q279" s="31">
        <v>53</v>
      </c>
      <c r="R279" s="31">
        <v>0</v>
      </c>
      <c r="S279" s="31">
        <v>0</v>
      </c>
      <c r="T279" s="31">
        <v>0</v>
      </c>
      <c r="U279" s="125">
        <f t="shared" ref="U279:U284" si="116">Q279/P279</f>
        <v>2.9943502824858758E-2</v>
      </c>
      <c r="V279" s="125">
        <f t="shared" ref="V279:V284" si="117">R279/Q279</f>
        <v>0</v>
      </c>
      <c r="W279" s="31"/>
      <c r="X279" s="31"/>
      <c r="Y279" s="31"/>
      <c r="Z279" s="31"/>
      <c r="AA279" s="31"/>
    </row>
    <row r="280" spans="1:27" s="72" customFormat="1">
      <c r="A280" s="6">
        <v>46141</v>
      </c>
      <c r="B280" s="7" t="s">
        <v>124</v>
      </c>
      <c r="C280" s="124" t="s">
        <v>347</v>
      </c>
      <c r="D280" s="31">
        <v>3337959050</v>
      </c>
      <c r="E280" s="31" t="s">
        <v>765</v>
      </c>
      <c r="F280" s="31">
        <v>20943246</v>
      </c>
      <c r="G280" s="31" t="s">
        <v>471</v>
      </c>
      <c r="H280" s="99" t="s">
        <v>764</v>
      </c>
      <c r="I280" s="31" t="s">
        <v>85</v>
      </c>
      <c r="J280" s="31" t="s">
        <v>84</v>
      </c>
      <c r="K280" s="96" t="s">
        <v>456</v>
      </c>
      <c r="L280" s="31" t="s">
        <v>202</v>
      </c>
      <c r="M280" s="122" t="s">
        <v>29</v>
      </c>
      <c r="N280" s="31" t="s">
        <v>749</v>
      </c>
      <c r="O280" s="31" t="s">
        <v>87</v>
      </c>
      <c r="P280" s="31">
        <v>53</v>
      </c>
      <c r="Q280" s="31">
        <v>51</v>
      </c>
      <c r="R280" s="31">
        <v>0</v>
      </c>
      <c r="S280" s="31">
        <v>0</v>
      </c>
      <c r="T280" s="31">
        <v>0</v>
      </c>
      <c r="U280" s="125">
        <f t="shared" si="116"/>
        <v>0.96226415094339623</v>
      </c>
      <c r="V280" s="125">
        <f t="shared" si="117"/>
        <v>0</v>
      </c>
      <c r="W280" s="31"/>
      <c r="X280" s="31"/>
      <c r="Y280" s="31"/>
      <c r="Z280" s="31"/>
      <c r="AA280" s="31"/>
    </row>
    <row r="281" spans="1:27" s="72" customFormat="1">
      <c r="A281" s="6">
        <v>46141</v>
      </c>
      <c r="B281" s="7" t="s">
        <v>124</v>
      </c>
      <c r="C281" s="124" t="s">
        <v>599</v>
      </c>
      <c r="D281" s="31">
        <v>3337962432</v>
      </c>
      <c r="E281" s="31" t="s">
        <v>762</v>
      </c>
      <c r="F281" s="31">
        <v>20943326</v>
      </c>
      <c r="G281" s="31" t="s">
        <v>471</v>
      </c>
      <c r="H281" s="99" t="s">
        <v>763</v>
      </c>
      <c r="I281" s="31" t="s">
        <v>85</v>
      </c>
      <c r="J281" s="7" t="s">
        <v>751</v>
      </c>
      <c r="K281" s="96" t="s">
        <v>456</v>
      </c>
      <c r="L281" s="31" t="s">
        <v>202</v>
      </c>
      <c r="M281" s="122" t="s">
        <v>29</v>
      </c>
      <c r="N281" s="31" t="s">
        <v>415</v>
      </c>
      <c r="O281" s="31" t="s">
        <v>87</v>
      </c>
      <c r="P281" s="31">
        <v>287</v>
      </c>
      <c r="Q281" s="31">
        <v>36</v>
      </c>
      <c r="R281" s="31">
        <v>2</v>
      </c>
      <c r="S281" s="31">
        <v>0</v>
      </c>
      <c r="T281" s="31">
        <v>0</v>
      </c>
      <c r="U281" s="125">
        <f t="shared" si="116"/>
        <v>0.12543554006968641</v>
      </c>
      <c r="V281" s="125">
        <f t="shared" si="117"/>
        <v>5.5555555555555552E-2</v>
      </c>
      <c r="W281" s="31"/>
      <c r="X281" s="31"/>
      <c r="Y281" s="31"/>
      <c r="Z281" s="31"/>
      <c r="AA281" s="31"/>
    </row>
    <row r="282" spans="1:27" s="72" customFormat="1">
      <c r="A282" s="6">
        <v>46141</v>
      </c>
      <c r="B282" s="7" t="s">
        <v>124</v>
      </c>
      <c r="C282" s="124" t="s">
        <v>347</v>
      </c>
      <c r="D282" s="31">
        <v>3337962882</v>
      </c>
      <c r="E282" s="31" t="s">
        <v>765</v>
      </c>
      <c r="F282" s="31">
        <v>20943330</v>
      </c>
      <c r="G282" s="31" t="s">
        <v>471</v>
      </c>
      <c r="H282" s="99" t="s">
        <v>764</v>
      </c>
      <c r="I282" s="31" t="s">
        <v>85</v>
      </c>
      <c r="J282" s="7" t="s">
        <v>751</v>
      </c>
      <c r="K282" s="96" t="s">
        <v>456</v>
      </c>
      <c r="L282" s="31" t="s">
        <v>202</v>
      </c>
      <c r="M282" s="122" t="s">
        <v>29</v>
      </c>
      <c r="N282" s="31" t="s">
        <v>749</v>
      </c>
      <c r="O282" s="31" t="s">
        <v>87</v>
      </c>
      <c r="P282" s="31">
        <v>35</v>
      </c>
      <c r="Q282" s="31">
        <v>30</v>
      </c>
      <c r="R282" s="31">
        <v>0</v>
      </c>
      <c r="S282" s="31">
        <v>0</v>
      </c>
      <c r="T282" s="31">
        <v>0</v>
      </c>
      <c r="U282" s="125">
        <f t="shared" si="116"/>
        <v>0.8571428571428571</v>
      </c>
      <c r="V282" s="125">
        <f t="shared" si="117"/>
        <v>0</v>
      </c>
      <c r="W282" s="31"/>
      <c r="X282" s="31"/>
      <c r="Y282" s="31"/>
      <c r="Z282" s="31"/>
      <c r="AA282" s="31"/>
    </row>
    <row r="283" spans="1:27" s="72" customFormat="1">
      <c r="A283" s="6">
        <v>46141</v>
      </c>
      <c r="B283" s="7" t="s">
        <v>124</v>
      </c>
      <c r="C283" s="124" t="s">
        <v>599</v>
      </c>
      <c r="D283" s="31">
        <v>3337964144</v>
      </c>
      <c r="E283" s="31" t="s">
        <v>762</v>
      </c>
      <c r="F283" s="31">
        <v>20943327</v>
      </c>
      <c r="G283" s="31" t="s">
        <v>471</v>
      </c>
      <c r="H283" s="99" t="s">
        <v>763</v>
      </c>
      <c r="I283" s="31" t="s">
        <v>85</v>
      </c>
      <c r="J283" s="7" t="s">
        <v>754</v>
      </c>
      <c r="K283" s="96" t="s">
        <v>456</v>
      </c>
      <c r="L283" s="31" t="s">
        <v>202</v>
      </c>
      <c r="M283" s="122" t="s">
        <v>29</v>
      </c>
      <c r="N283" s="31" t="s">
        <v>415</v>
      </c>
      <c r="O283" s="31" t="s">
        <v>87</v>
      </c>
      <c r="P283" s="31">
        <v>673</v>
      </c>
      <c r="Q283" s="31">
        <v>63</v>
      </c>
      <c r="R283" s="31">
        <v>0</v>
      </c>
      <c r="S283" s="31">
        <v>0</v>
      </c>
      <c r="T283" s="31">
        <v>0</v>
      </c>
      <c r="U283" s="125">
        <f t="shared" si="116"/>
        <v>9.3610698365527489E-2</v>
      </c>
      <c r="V283" s="125">
        <f t="shared" si="117"/>
        <v>0</v>
      </c>
      <c r="W283" s="31"/>
      <c r="X283" s="31"/>
      <c r="Y283" s="31"/>
      <c r="Z283" s="31"/>
      <c r="AA283" s="31"/>
    </row>
    <row r="284" spans="1:27" s="72" customFormat="1">
      <c r="A284" s="6">
        <v>46141</v>
      </c>
      <c r="B284" s="7" t="s">
        <v>124</v>
      </c>
      <c r="C284" s="124" t="s">
        <v>347</v>
      </c>
      <c r="D284" s="31">
        <v>3337964260</v>
      </c>
      <c r="E284" s="31" t="s">
        <v>765</v>
      </c>
      <c r="F284" s="31">
        <v>20943331</v>
      </c>
      <c r="G284" s="31" t="s">
        <v>471</v>
      </c>
      <c r="H284" s="99" t="s">
        <v>764</v>
      </c>
      <c r="I284" s="31" t="s">
        <v>85</v>
      </c>
      <c r="J284" s="7" t="s">
        <v>754</v>
      </c>
      <c r="K284" s="96" t="s">
        <v>456</v>
      </c>
      <c r="L284" s="31" t="s">
        <v>202</v>
      </c>
      <c r="M284" s="122" t="s">
        <v>29</v>
      </c>
      <c r="N284" s="31" t="s">
        <v>749</v>
      </c>
      <c r="O284" s="31" t="s">
        <v>87</v>
      </c>
      <c r="P284" s="31">
        <v>63</v>
      </c>
      <c r="Q284" s="31">
        <v>57</v>
      </c>
      <c r="R284" s="31">
        <v>0</v>
      </c>
      <c r="S284" s="31">
        <v>0</v>
      </c>
      <c r="T284" s="31">
        <v>0</v>
      </c>
      <c r="U284" s="125">
        <f t="shared" si="116"/>
        <v>0.90476190476190477</v>
      </c>
      <c r="V284" s="125">
        <f t="shared" si="117"/>
        <v>0</v>
      </c>
      <c r="W284" s="31"/>
      <c r="X284" s="31"/>
      <c r="Y284" s="31"/>
      <c r="Z284" s="31"/>
      <c r="AA284" s="31"/>
    </row>
    <row r="285" spans="1:27">
      <c r="A285" s="85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92"/>
      <c r="V285" s="92"/>
      <c r="W285" s="86"/>
      <c r="X285" s="86"/>
      <c r="Y285" s="86"/>
      <c r="Z285" s="86"/>
      <c r="AA285" s="87"/>
    </row>
    <row r="286" spans="1:27">
      <c r="A286" s="6">
        <v>46141</v>
      </c>
      <c r="B286" s="7" t="s">
        <v>124</v>
      </c>
      <c r="C286" s="50" t="s">
        <v>459</v>
      </c>
      <c r="D286" s="7">
        <v>3332177201</v>
      </c>
      <c r="E286" s="7" t="s">
        <v>463</v>
      </c>
      <c r="F286" s="7">
        <v>20918989</v>
      </c>
      <c r="G286" s="7" t="s">
        <v>31</v>
      </c>
      <c r="H286" s="77" t="s">
        <v>475</v>
      </c>
      <c r="I286" s="7" t="s">
        <v>85</v>
      </c>
      <c r="J286" s="7" t="s">
        <v>84</v>
      </c>
      <c r="K286" s="96" t="s">
        <v>456</v>
      </c>
      <c r="L286" s="7" t="s">
        <v>202</v>
      </c>
      <c r="M286" s="126" t="s">
        <v>31</v>
      </c>
      <c r="N286" s="7" t="s">
        <v>415</v>
      </c>
      <c r="O286" s="7" t="s">
        <v>87</v>
      </c>
      <c r="P286" s="7">
        <v>1322</v>
      </c>
      <c r="Q286" s="7">
        <v>219</v>
      </c>
      <c r="R286" s="7">
        <v>10</v>
      </c>
      <c r="S286" s="7">
        <v>0</v>
      </c>
      <c r="T286" s="7">
        <v>0</v>
      </c>
      <c r="U286" s="125">
        <f t="shared" ref="U286:U291" si="118">Q286/P286</f>
        <v>0.16565809379727686</v>
      </c>
      <c r="V286" s="125">
        <f t="shared" ref="V286:V291" si="119">R286/Q286</f>
        <v>4.5662100456621002E-2</v>
      </c>
      <c r="W286" s="7"/>
      <c r="X286" s="7"/>
      <c r="Y286" s="7"/>
      <c r="Z286" s="7"/>
      <c r="AA286" s="7"/>
    </row>
    <row r="287" spans="1:27">
      <c r="A287" s="6">
        <v>46141</v>
      </c>
      <c r="B287" s="7" t="s">
        <v>124</v>
      </c>
      <c r="C287" s="50" t="s">
        <v>347</v>
      </c>
      <c r="D287" s="7">
        <v>3332178023</v>
      </c>
      <c r="E287" s="7" t="s">
        <v>467</v>
      </c>
      <c r="F287" s="7">
        <v>20919028</v>
      </c>
      <c r="G287" s="7" t="s">
        <v>31</v>
      </c>
      <c r="H287" s="77" t="s">
        <v>476</v>
      </c>
      <c r="I287" s="7" t="s">
        <v>85</v>
      </c>
      <c r="J287" s="7" t="s">
        <v>84</v>
      </c>
      <c r="K287" s="96" t="s">
        <v>456</v>
      </c>
      <c r="L287" s="7" t="s">
        <v>202</v>
      </c>
      <c r="M287" s="126" t="s">
        <v>31</v>
      </c>
      <c r="N287" s="31" t="s">
        <v>749</v>
      </c>
      <c r="O287" s="7" t="s">
        <v>87</v>
      </c>
      <c r="P287" s="7">
        <v>188</v>
      </c>
      <c r="Q287" s="7">
        <v>225</v>
      </c>
      <c r="R287" s="7">
        <v>10</v>
      </c>
      <c r="S287" s="7">
        <v>0</v>
      </c>
      <c r="T287" s="7">
        <v>0</v>
      </c>
      <c r="U287" s="125">
        <f t="shared" si="118"/>
        <v>1.196808510638298</v>
      </c>
      <c r="V287" s="125">
        <f t="shared" si="119"/>
        <v>4.4444444444444446E-2</v>
      </c>
      <c r="W287" s="7"/>
      <c r="X287" s="7"/>
      <c r="Y287" s="7"/>
      <c r="Z287" s="7"/>
      <c r="AA287" s="7"/>
    </row>
    <row r="288" spans="1:27">
      <c r="A288" s="6">
        <v>46141</v>
      </c>
      <c r="B288" s="7" t="s">
        <v>124</v>
      </c>
      <c r="C288" s="50" t="s">
        <v>459</v>
      </c>
      <c r="D288" s="7">
        <v>3337851091</v>
      </c>
      <c r="E288" s="127" t="s">
        <v>752</v>
      </c>
      <c r="F288" s="7">
        <v>20942625</v>
      </c>
      <c r="G288" s="7" t="s">
        <v>31</v>
      </c>
      <c r="H288" s="77" t="s">
        <v>475</v>
      </c>
      <c r="I288" s="31" t="s">
        <v>85</v>
      </c>
      <c r="J288" s="7" t="s">
        <v>751</v>
      </c>
      <c r="K288" s="96" t="s">
        <v>456</v>
      </c>
      <c r="L288" s="7" t="s">
        <v>202</v>
      </c>
      <c r="M288" s="126" t="s">
        <v>31</v>
      </c>
      <c r="N288" s="7" t="s">
        <v>415</v>
      </c>
      <c r="O288" s="7" t="s">
        <v>87</v>
      </c>
      <c r="P288" s="7">
        <v>284</v>
      </c>
      <c r="Q288" s="7">
        <v>80</v>
      </c>
      <c r="R288" s="7">
        <v>7</v>
      </c>
      <c r="S288" s="7">
        <v>0</v>
      </c>
      <c r="T288" s="7">
        <v>0</v>
      </c>
      <c r="U288" s="125">
        <f t="shared" si="118"/>
        <v>0.28169014084507044</v>
      </c>
      <c r="V288" s="125">
        <f t="shared" si="119"/>
        <v>8.7499999999999994E-2</v>
      </c>
      <c r="W288" s="7"/>
      <c r="X288" s="7"/>
      <c r="Y288" s="7"/>
      <c r="Z288" s="7"/>
      <c r="AA288" s="7"/>
    </row>
    <row r="289" spans="1:36">
      <c r="A289" s="6">
        <v>46141</v>
      </c>
      <c r="B289" s="7" t="s">
        <v>124</v>
      </c>
      <c r="C289" s="50" t="s">
        <v>347</v>
      </c>
      <c r="D289" s="7">
        <v>3337859602</v>
      </c>
      <c r="E289" s="7" t="s">
        <v>753</v>
      </c>
      <c r="F289" s="7">
        <v>20942633</v>
      </c>
      <c r="G289" s="7" t="s">
        <v>31</v>
      </c>
      <c r="H289" s="77" t="s">
        <v>476</v>
      </c>
      <c r="I289" s="31" t="s">
        <v>85</v>
      </c>
      <c r="J289" s="7" t="s">
        <v>751</v>
      </c>
      <c r="K289" s="96" t="s">
        <v>456</v>
      </c>
      <c r="L289" s="7" t="s">
        <v>202</v>
      </c>
      <c r="M289" s="126" t="s">
        <v>31</v>
      </c>
      <c r="N289" s="31" t="s">
        <v>749</v>
      </c>
      <c r="O289" s="7" t="s">
        <v>87</v>
      </c>
      <c r="P289" s="7">
        <v>64</v>
      </c>
      <c r="Q289" s="7">
        <v>82</v>
      </c>
      <c r="R289" s="7">
        <v>10</v>
      </c>
      <c r="S289" s="7">
        <v>0</v>
      </c>
      <c r="T289" s="7">
        <v>0</v>
      </c>
      <c r="U289" s="125">
        <f t="shared" si="118"/>
        <v>1.28125</v>
      </c>
      <c r="V289" s="125">
        <f t="shared" si="119"/>
        <v>0.12195121951219512</v>
      </c>
      <c r="W289" s="7"/>
      <c r="X289" s="7"/>
      <c r="Y289" s="7"/>
      <c r="Z289" s="7"/>
      <c r="AA289" s="7"/>
    </row>
    <row r="290" spans="1:36">
      <c r="A290" s="6">
        <v>46141</v>
      </c>
      <c r="B290" s="7" t="s">
        <v>124</v>
      </c>
      <c r="C290" s="50" t="s">
        <v>459</v>
      </c>
      <c r="D290" s="7">
        <v>3337871356</v>
      </c>
      <c r="E290" s="7" t="s">
        <v>752</v>
      </c>
      <c r="F290" s="128" t="s">
        <v>755</v>
      </c>
      <c r="G290" s="7" t="s">
        <v>31</v>
      </c>
      <c r="H290" s="77" t="s">
        <v>475</v>
      </c>
      <c r="I290" s="31" t="s">
        <v>85</v>
      </c>
      <c r="J290" s="7" t="s">
        <v>754</v>
      </c>
      <c r="K290" s="96" t="s">
        <v>456</v>
      </c>
      <c r="L290" s="7" t="s">
        <v>202</v>
      </c>
      <c r="M290" s="126" t="s">
        <v>31</v>
      </c>
      <c r="N290" s="7" t="s">
        <v>415</v>
      </c>
      <c r="O290" s="7" t="s">
        <v>87</v>
      </c>
      <c r="P290" s="7">
        <v>652</v>
      </c>
      <c r="Q290" s="7">
        <v>286</v>
      </c>
      <c r="R290" s="7">
        <v>10</v>
      </c>
      <c r="S290" s="7">
        <v>0</v>
      </c>
      <c r="T290" s="7">
        <v>0</v>
      </c>
      <c r="U290" s="125">
        <f t="shared" si="118"/>
        <v>0.43865030674846628</v>
      </c>
      <c r="V290" s="125">
        <f t="shared" si="119"/>
        <v>3.4965034965034968E-2</v>
      </c>
      <c r="W290" s="7"/>
      <c r="X290" s="7"/>
      <c r="Y290" s="7"/>
      <c r="Z290" s="7"/>
      <c r="AA290" s="7"/>
    </row>
    <row r="291" spans="1:36">
      <c r="A291" s="6">
        <v>46141</v>
      </c>
      <c r="B291" s="7" t="s">
        <v>124</v>
      </c>
      <c r="C291" s="50" t="s">
        <v>347</v>
      </c>
      <c r="D291" s="7">
        <v>3337872104</v>
      </c>
      <c r="E291" s="7" t="s">
        <v>753</v>
      </c>
      <c r="F291" s="128" t="s">
        <v>756</v>
      </c>
      <c r="G291" s="7" t="s">
        <v>31</v>
      </c>
      <c r="H291" s="77" t="s">
        <v>476</v>
      </c>
      <c r="I291" s="31" t="s">
        <v>85</v>
      </c>
      <c r="J291" s="7" t="s">
        <v>754</v>
      </c>
      <c r="K291" s="96" t="s">
        <v>456</v>
      </c>
      <c r="L291" s="7" t="s">
        <v>202</v>
      </c>
      <c r="M291" s="126" t="s">
        <v>31</v>
      </c>
      <c r="N291" s="31" t="s">
        <v>749</v>
      </c>
      <c r="O291" s="7" t="s">
        <v>87</v>
      </c>
      <c r="P291" s="7">
        <v>256</v>
      </c>
      <c r="Q291" s="7">
        <v>314</v>
      </c>
      <c r="R291" s="7">
        <v>24</v>
      </c>
      <c r="S291" s="7">
        <v>0</v>
      </c>
      <c r="T291" s="7">
        <v>0</v>
      </c>
      <c r="U291" s="125">
        <f t="shared" si="118"/>
        <v>1.2265625</v>
      </c>
      <c r="V291" s="125">
        <f t="shared" si="119"/>
        <v>7.6433121019108277E-2</v>
      </c>
      <c r="W291" s="7"/>
      <c r="X291" s="7"/>
      <c r="Y291" s="7"/>
      <c r="Z291" s="7"/>
      <c r="AA291" s="7"/>
    </row>
    <row r="292" spans="1:36" ht="7.8" customHeight="1">
      <c r="A292" s="8"/>
      <c r="B292" s="9"/>
      <c r="C292" s="10"/>
      <c r="D292" s="57"/>
      <c r="E292" s="57"/>
      <c r="F292" s="57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1"/>
      <c r="V292" s="11"/>
      <c r="W292" s="10"/>
      <c r="X292" s="10"/>
      <c r="Y292" s="10"/>
      <c r="Z292" s="11"/>
      <c r="AA292" s="12"/>
    </row>
    <row r="293" spans="1:36">
      <c r="A293" s="6">
        <v>46142</v>
      </c>
      <c r="B293" s="7" t="s">
        <v>166</v>
      </c>
      <c r="C293" s="33" t="s">
        <v>89</v>
      </c>
      <c r="D293" s="18">
        <v>1655163</v>
      </c>
      <c r="E293" s="18" t="s">
        <v>79</v>
      </c>
      <c r="F293" s="18">
        <v>20858469</v>
      </c>
      <c r="G293" s="18" t="s">
        <v>80</v>
      </c>
      <c r="H293" s="18" t="s">
        <v>81</v>
      </c>
      <c r="I293" s="18" t="s">
        <v>85</v>
      </c>
      <c r="J293" s="18" t="s">
        <v>84</v>
      </c>
      <c r="K293" s="14"/>
      <c r="L293" s="18"/>
      <c r="M293" s="95" t="s">
        <v>83</v>
      </c>
      <c r="N293" s="19" t="s">
        <v>88</v>
      </c>
      <c r="O293" s="18" t="s">
        <v>87</v>
      </c>
      <c r="P293" s="7">
        <v>335</v>
      </c>
      <c r="Q293" s="7">
        <v>154</v>
      </c>
      <c r="R293" s="7">
        <v>0</v>
      </c>
      <c r="S293" s="7">
        <v>0</v>
      </c>
      <c r="T293" s="7">
        <v>0</v>
      </c>
      <c r="U293" s="125">
        <f>Q293/P293</f>
        <v>0.45970149253731341</v>
      </c>
      <c r="V293" s="125">
        <f>R293/Q293</f>
        <v>0</v>
      </c>
      <c r="W293" s="7"/>
      <c r="X293" s="7"/>
      <c r="Y293" s="7"/>
      <c r="Z293" s="7"/>
      <c r="AA293" s="7"/>
      <c r="AE293" s="17" t="s">
        <v>125</v>
      </c>
    </row>
    <row r="294" spans="1:36">
      <c r="A294" s="6">
        <v>46142</v>
      </c>
      <c r="B294" s="7" t="s">
        <v>166</v>
      </c>
      <c r="C294" s="33" t="s">
        <v>89</v>
      </c>
      <c r="D294" s="18">
        <v>1655163</v>
      </c>
      <c r="E294" s="18" t="s">
        <v>214</v>
      </c>
      <c r="F294" s="18">
        <v>20884021</v>
      </c>
      <c r="G294" s="18" t="s">
        <v>212</v>
      </c>
      <c r="H294" s="18" t="s">
        <v>213</v>
      </c>
      <c r="I294" s="18" t="s">
        <v>85</v>
      </c>
      <c r="J294" s="18" t="s">
        <v>84</v>
      </c>
      <c r="K294" s="30"/>
      <c r="L294" s="18"/>
      <c r="M294" s="95" t="s">
        <v>83</v>
      </c>
      <c r="N294" s="19" t="s">
        <v>88</v>
      </c>
      <c r="O294" s="18" t="s">
        <v>87</v>
      </c>
      <c r="P294" s="7">
        <v>339</v>
      </c>
      <c r="Q294" s="7">
        <v>104</v>
      </c>
      <c r="R294" s="7">
        <v>2</v>
      </c>
      <c r="S294" s="7">
        <v>0</v>
      </c>
      <c r="T294" s="7">
        <v>0</v>
      </c>
      <c r="U294" s="125">
        <f t="shared" ref="U294:U304" si="120">Q294/P294</f>
        <v>0.30678466076696165</v>
      </c>
      <c r="V294" s="125">
        <f t="shared" ref="V294:V304" si="121">R294/Q294</f>
        <v>1.9230769230769232E-2</v>
      </c>
      <c r="W294" s="7"/>
      <c r="X294" s="7"/>
      <c r="Y294" s="7"/>
      <c r="Z294" s="7"/>
      <c r="AA294" s="7"/>
      <c r="AE294" s="17"/>
    </row>
    <row r="295" spans="1:36">
      <c r="A295" s="6">
        <v>46142</v>
      </c>
      <c r="B295" s="7" t="s">
        <v>166</v>
      </c>
      <c r="C295" s="33" t="s">
        <v>876</v>
      </c>
      <c r="D295" s="18">
        <v>1655163</v>
      </c>
      <c r="E295" s="18" t="s">
        <v>873</v>
      </c>
      <c r="F295" s="18">
        <v>20949243</v>
      </c>
      <c r="G295" s="18" t="s">
        <v>874</v>
      </c>
      <c r="H295" s="18" t="s">
        <v>875</v>
      </c>
      <c r="I295" s="18" t="s">
        <v>85</v>
      </c>
      <c r="J295" s="18" t="s">
        <v>84</v>
      </c>
      <c r="K295" s="30" t="s">
        <v>872</v>
      </c>
      <c r="L295" s="18"/>
      <c r="M295" s="95" t="s">
        <v>83</v>
      </c>
      <c r="N295" s="19" t="s">
        <v>88</v>
      </c>
      <c r="O295" s="18" t="s">
        <v>87</v>
      </c>
      <c r="P295" s="7">
        <v>13</v>
      </c>
      <c r="Q295" s="7">
        <v>4</v>
      </c>
      <c r="R295" s="7">
        <v>0</v>
      </c>
      <c r="S295" s="7">
        <v>0</v>
      </c>
      <c r="T295" s="7">
        <v>0</v>
      </c>
      <c r="U295" s="125">
        <f t="shared" si="120"/>
        <v>0.30769230769230771</v>
      </c>
      <c r="V295" s="125">
        <f t="shared" si="121"/>
        <v>0</v>
      </c>
      <c r="W295" s="7"/>
      <c r="X295" s="7"/>
      <c r="Y295" s="7"/>
      <c r="Z295" s="7"/>
      <c r="AA295" s="7"/>
      <c r="AE295" s="17"/>
    </row>
    <row r="296" spans="1:36">
      <c r="A296" s="6">
        <v>46142</v>
      </c>
      <c r="B296" s="7" t="s">
        <v>166</v>
      </c>
      <c r="C296" s="33" t="s">
        <v>89</v>
      </c>
      <c r="D296" s="18">
        <v>1655348</v>
      </c>
      <c r="E296" s="18" t="s">
        <v>878</v>
      </c>
      <c r="F296" s="18">
        <v>20949317</v>
      </c>
      <c r="G296" s="18" t="s">
        <v>80</v>
      </c>
      <c r="H296" s="18" t="s">
        <v>81</v>
      </c>
      <c r="I296" s="18" t="s">
        <v>85</v>
      </c>
      <c r="J296" s="18" t="s">
        <v>84</v>
      </c>
      <c r="K296" s="30"/>
      <c r="L296" s="18"/>
      <c r="M296" s="95" t="s">
        <v>83</v>
      </c>
      <c r="N296" s="19" t="s">
        <v>877</v>
      </c>
      <c r="O296" s="18" t="s">
        <v>87</v>
      </c>
      <c r="P296" s="7">
        <v>994</v>
      </c>
      <c r="Q296" s="7">
        <v>6</v>
      </c>
      <c r="R296" s="7">
        <v>3</v>
      </c>
      <c r="S296" s="7">
        <v>0</v>
      </c>
      <c r="T296" s="7">
        <v>0</v>
      </c>
      <c r="U296" s="125">
        <f t="shared" si="120"/>
        <v>6.0362173038229373E-3</v>
      </c>
      <c r="V296" s="125">
        <f t="shared" si="121"/>
        <v>0.5</v>
      </c>
      <c r="W296" s="7"/>
      <c r="X296" s="7"/>
      <c r="Y296" s="7"/>
      <c r="Z296" s="7"/>
      <c r="AA296" s="7"/>
      <c r="AE296" s="17"/>
    </row>
    <row r="297" spans="1:36">
      <c r="A297" s="6">
        <v>46142</v>
      </c>
      <c r="B297" s="7" t="s">
        <v>166</v>
      </c>
      <c r="C297" s="33" t="s">
        <v>89</v>
      </c>
      <c r="D297" s="18">
        <v>1655348</v>
      </c>
      <c r="E297" s="18" t="s">
        <v>879</v>
      </c>
      <c r="F297" s="18">
        <v>20949318</v>
      </c>
      <c r="G297" s="18" t="s">
        <v>212</v>
      </c>
      <c r="H297" s="18" t="s">
        <v>213</v>
      </c>
      <c r="I297" s="18" t="s">
        <v>85</v>
      </c>
      <c r="J297" s="18" t="s">
        <v>84</v>
      </c>
      <c r="K297" s="30"/>
      <c r="L297" s="18"/>
      <c r="M297" s="95" t="s">
        <v>83</v>
      </c>
      <c r="N297" s="19" t="s">
        <v>877</v>
      </c>
      <c r="O297" s="18" t="s">
        <v>87</v>
      </c>
      <c r="P297" s="7">
        <v>988</v>
      </c>
      <c r="Q297" s="7">
        <v>3</v>
      </c>
      <c r="R297" s="7">
        <v>1</v>
      </c>
      <c r="S297" s="7">
        <v>0</v>
      </c>
      <c r="T297" s="7">
        <v>0</v>
      </c>
      <c r="U297" s="125">
        <f t="shared" si="120"/>
        <v>3.0364372469635628E-3</v>
      </c>
      <c r="V297" s="125">
        <f t="shared" si="121"/>
        <v>0.33333333333333331</v>
      </c>
      <c r="W297" s="7"/>
      <c r="X297" s="7"/>
      <c r="Y297" s="7"/>
      <c r="Z297" s="7"/>
      <c r="AA297" s="7"/>
      <c r="AE297" s="17"/>
    </row>
    <row r="298" spans="1:36">
      <c r="A298" s="6">
        <v>46142</v>
      </c>
      <c r="B298" s="7" t="s">
        <v>166</v>
      </c>
      <c r="C298" s="33" t="s">
        <v>876</v>
      </c>
      <c r="D298" s="18">
        <v>1655348</v>
      </c>
      <c r="E298" s="18" t="s">
        <v>880</v>
      </c>
      <c r="F298" s="18">
        <v>20949319</v>
      </c>
      <c r="G298" s="18" t="s">
        <v>874</v>
      </c>
      <c r="H298" s="18" t="s">
        <v>875</v>
      </c>
      <c r="I298" s="18" t="s">
        <v>85</v>
      </c>
      <c r="J298" s="18" t="s">
        <v>84</v>
      </c>
      <c r="K298" s="30"/>
      <c r="L298" s="18"/>
      <c r="M298" s="95" t="s">
        <v>83</v>
      </c>
      <c r="N298" s="19" t="s">
        <v>877</v>
      </c>
      <c r="O298" s="18" t="s">
        <v>87</v>
      </c>
      <c r="P298" s="7">
        <v>12</v>
      </c>
      <c r="Q298" s="7">
        <v>0</v>
      </c>
      <c r="R298" s="7">
        <v>0</v>
      </c>
      <c r="S298" s="7">
        <v>0</v>
      </c>
      <c r="T298" s="7">
        <v>0</v>
      </c>
      <c r="U298" s="125">
        <f t="shared" si="120"/>
        <v>0</v>
      </c>
      <c r="V298" s="125" t="e">
        <f t="shared" si="121"/>
        <v>#DIV/0!</v>
      </c>
      <c r="W298" s="7"/>
      <c r="X298" s="7"/>
      <c r="Y298" s="7"/>
      <c r="Z298" s="7"/>
      <c r="AA298" s="7"/>
      <c r="AE298" s="17"/>
    </row>
    <row r="299" spans="1:36">
      <c r="A299" s="6">
        <v>46142</v>
      </c>
      <c r="B299" s="7" t="s">
        <v>166</v>
      </c>
      <c r="C299" s="33" t="s">
        <v>89</v>
      </c>
      <c r="D299" s="18">
        <v>1655164</v>
      </c>
      <c r="E299" s="18" t="s">
        <v>91</v>
      </c>
      <c r="F299" s="18">
        <v>20859118</v>
      </c>
      <c r="G299" s="18" t="s">
        <v>90</v>
      </c>
      <c r="H299" s="18" t="s">
        <v>92</v>
      </c>
      <c r="I299" s="18" t="s">
        <v>85</v>
      </c>
      <c r="J299" s="18" t="s">
        <v>84</v>
      </c>
      <c r="K299" s="29"/>
      <c r="L299" s="18"/>
      <c r="M299" s="95" t="s">
        <v>83</v>
      </c>
      <c r="N299" s="19" t="s">
        <v>93</v>
      </c>
      <c r="O299" s="18" t="s">
        <v>87</v>
      </c>
      <c r="P299" s="7">
        <v>21</v>
      </c>
      <c r="Q299" s="7">
        <v>20</v>
      </c>
      <c r="R299" s="7">
        <v>0</v>
      </c>
      <c r="S299" s="7">
        <v>0</v>
      </c>
      <c r="T299" s="7">
        <v>0</v>
      </c>
      <c r="U299" s="125">
        <f t="shared" si="120"/>
        <v>0.95238095238095233</v>
      </c>
      <c r="V299" s="125">
        <f t="shared" si="121"/>
        <v>0</v>
      </c>
      <c r="W299" s="7"/>
      <c r="X299" s="7"/>
      <c r="Y299" s="7"/>
      <c r="Z299" s="7"/>
      <c r="AA299" s="7"/>
      <c r="AE299" t="s">
        <v>82</v>
      </c>
      <c r="AF299">
        <v>115</v>
      </c>
      <c r="AG299">
        <v>11</v>
      </c>
      <c r="AH299">
        <v>0</v>
      </c>
      <c r="AI299" s="28">
        <f>AG299/AF299</f>
        <v>9.5652173913043481E-2</v>
      </c>
      <c r="AJ299" s="27">
        <f>AH299/AG299</f>
        <v>0</v>
      </c>
    </row>
    <row r="300" spans="1:36">
      <c r="A300" s="6">
        <v>46142</v>
      </c>
      <c r="B300" s="7" t="s">
        <v>166</v>
      </c>
      <c r="C300" s="33" t="s">
        <v>89</v>
      </c>
      <c r="D300" s="18">
        <v>1655187</v>
      </c>
      <c r="E300" s="18" t="s">
        <v>131</v>
      </c>
      <c r="F300" s="18">
        <v>20865659</v>
      </c>
      <c r="G300" s="18" t="s">
        <v>103</v>
      </c>
      <c r="H300" s="18" t="s">
        <v>133</v>
      </c>
      <c r="I300" s="18" t="s">
        <v>85</v>
      </c>
      <c r="J300" s="18" t="s">
        <v>84</v>
      </c>
      <c r="K300" s="30"/>
      <c r="L300" s="18"/>
      <c r="M300" s="95" t="s">
        <v>83</v>
      </c>
      <c r="N300" s="19" t="s">
        <v>132</v>
      </c>
      <c r="O300" s="18" t="s">
        <v>87</v>
      </c>
      <c r="P300" s="7">
        <v>137</v>
      </c>
      <c r="Q300" s="7">
        <v>136</v>
      </c>
      <c r="R300" s="7">
        <v>0</v>
      </c>
      <c r="S300" s="7">
        <v>0</v>
      </c>
      <c r="T300" s="7">
        <v>0</v>
      </c>
      <c r="U300" s="125">
        <f t="shared" si="120"/>
        <v>0.99270072992700731</v>
      </c>
      <c r="V300" s="125">
        <f t="shared" si="121"/>
        <v>0</v>
      </c>
      <c r="W300" s="7"/>
      <c r="X300" s="7"/>
      <c r="Y300" s="7"/>
      <c r="Z300" s="7"/>
      <c r="AA300" s="7"/>
      <c r="AI300" s="28"/>
      <c r="AJ300" s="27"/>
    </row>
    <row r="301" spans="1:36">
      <c r="A301" s="6">
        <v>46142</v>
      </c>
      <c r="B301" s="7" t="s">
        <v>166</v>
      </c>
      <c r="C301" s="13">
        <v>0.45833333333333331</v>
      </c>
      <c r="D301" s="7">
        <v>3340325652</v>
      </c>
      <c r="E301" s="7" t="s">
        <v>1002</v>
      </c>
      <c r="F301" s="31">
        <v>20956961</v>
      </c>
      <c r="G301" s="7" t="s">
        <v>680</v>
      </c>
      <c r="H301" s="77" t="s">
        <v>681</v>
      </c>
      <c r="I301" s="7" t="s">
        <v>85</v>
      </c>
      <c r="J301" s="7" t="s">
        <v>84</v>
      </c>
      <c r="K301" s="60"/>
      <c r="L301" s="7"/>
      <c r="M301" s="95" t="s">
        <v>83</v>
      </c>
      <c r="N301" s="15" t="s">
        <v>423</v>
      </c>
      <c r="O301" s="7" t="s">
        <v>87</v>
      </c>
      <c r="P301" s="7">
        <v>265</v>
      </c>
      <c r="Q301" s="7">
        <v>148</v>
      </c>
      <c r="R301" s="7">
        <v>3</v>
      </c>
      <c r="S301" s="7">
        <v>1</v>
      </c>
      <c r="T301" s="7">
        <v>0</v>
      </c>
      <c r="U301" s="125">
        <f t="shared" si="120"/>
        <v>0.55849056603773584</v>
      </c>
      <c r="V301" s="125">
        <f t="shared" si="121"/>
        <v>2.0270270270270271E-2</v>
      </c>
      <c r="W301" s="7"/>
      <c r="X301" s="7"/>
      <c r="Y301" s="7"/>
      <c r="Z301" s="7"/>
      <c r="AA301" s="7"/>
    </row>
    <row r="302" spans="1:36">
      <c r="A302" s="6">
        <v>46142</v>
      </c>
      <c r="B302" s="7" t="s">
        <v>166</v>
      </c>
      <c r="C302" s="13">
        <v>0.47916666666666669</v>
      </c>
      <c r="D302" s="7">
        <v>3340325853</v>
      </c>
      <c r="E302" s="7" t="s">
        <v>1003</v>
      </c>
      <c r="F302" s="31">
        <v>20956962</v>
      </c>
      <c r="G302" s="101" t="s">
        <v>680</v>
      </c>
      <c r="H302" s="77" t="s">
        <v>682</v>
      </c>
      <c r="I302" s="7" t="s">
        <v>85</v>
      </c>
      <c r="J302" s="7" t="s">
        <v>84</v>
      </c>
      <c r="K302" s="60"/>
      <c r="L302" s="7"/>
      <c r="M302" s="95" t="s">
        <v>83</v>
      </c>
      <c r="N302" s="15" t="s">
        <v>451</v>
      </c>
      <c r="O302" s="7" t="s">
        <v>87</v>
      </c>
      <c r="P302" s="7">
        <v>4721</v>
      </c>
      <c r="Q302" s="7">
        <v>489</v>
      </c>
      <c r="R302" s="7">
        <v>7</v>
      </c>
      <c r="S302" s="7">
        <v>0</v>
      </c>
      <c r="T302" s="7">
        <v>16</v>
      </c>
      <c r="U302" s="125">
        <f t="shared" si="120"/>
        <v>0.10357975005295489</v>
      </c>
      <c r="V302" s="125">
        <f t="shared" si="121"/>
        <v>1.4314928425357873E-2</v>
      </c>
      <c r="W302" s="7"/>
      <c r="X302" s="7"/>
      <c r="Y302" s="7"/>
      <c r="Z302" s="7"/>
      <c r="AA302" s="7"/>
    </row>
    <row r="303" spans="1:36">
      <c r="A303" s="6">
        <v>46142</v>
      </c>
      <c r="B303" s="7" t="s">
        <v>166</v>
      </c>
      <c r="C303" s="13">
        <v>0.41666666666666669</v>
      </c>
      <c r="D303" s="31">
        <v>3340336857</v>
      </c>
      <c r="E303" s="7" t="s">
        <v>1002</v>
      </c>
      <c r="F303" s="31">
        <v>20957078</v>
      </c>
      <c r="G303" s="7" t="s">
        <v>680</v>
      </c>
      <c r="H303" s="77" t="s">
        <v>681</v>
      </c>
      <c r="I303" s="7" t="s">
        <v>85</v>
      </c>
      <c r="J303" s="7" t="s">
        <v>84</v>
      </c>
      <c r="K303" s="60"/>
      <c r="L303" s="7"/>
      <c r="M303" s="95" t="s">
        <v>83</v>
      </c>
      <c r="N303" s="15" t="s">
        <v>770</v>
      </c>
      <c r="O303" s="7" t="s">
        <v>87</v>
      </c>
      <c r="P303" s="7">
        <v>48</v>
      </c>
      <c r="Q303" s="7">
        <v>0</v>
      </c>
      <c r="R303" s="7">
        <v>0</v>
      </c>
      <c r="S303" s="7">
        <v>0</v>
      </c>
      <c r="T303" s="7">
        <v>12</v>
      </c>
      <c r="U303" s="125">
        <f t="shared" si="120"/>
        <v>0</v>
      </c>
      <c r="V303" s="125" t="e">
        <f t="shared" si="121"/>
        <v>#DIV/0!</v>
      </c>
      <c r="W303" s="7"/>
      <c r="X303" s="7"/>
      <c r="Y303" s="7"/>
      <c r="Z303" s="7"/>
      <c r="AA303" s="7"/>
    </row>
    <row r="304" spans="1:36">
      <c r="A304" s="6">
        <v>46142</v>
      </c>
      <c r="B304" s="7" t="s">
        <v>166</v>
      </c>
      <c r="C304" s="129">
        <v>0.44791666666666669</v>
      </c>
      <c r="D304" s="31">
        <v>3340336916</v>
      </c>
      <c r="E304" s="7" t="s">
        <v>1003</v>
      </c>
      <c r="F304" s="31">
        <v>20957079</v>
      </c>
      <c r="G304" s="101" t="s">
        <v>680</v>
      </c>
      <c r="H304" s="77" t="s">
        <v>682</v>
      </c>
      <c r="I304" s="7" t="s">
        <v>85</v>
      </c>
      <c r="J304" s="35" t="s">
        <v>84</v>
      </c>
      <c r="K304" s="131"/>
      <c r="L304" s="35"/>
      <c r="M304" s="132" t="s">
        <v>83</v>
      </c>
      <c r="N304" s="133" t="s">
        <v>771</v>
      </c>
      <c r="O304" s="35" t="s">
        <v>87</v>
      </c>
      <c r="P304" s="35">
        <v>106</v>
      </c>
      <c r="Q304" s="35">
        <v>1</v>
      </c>
      <c r="R304" s="35">
        <v>0</v>
      </c>
      <c r="S304" s="35">
        <v>0</v>
      </c>
      <c r="T304" s="35">
        <v>35</v>
      </c>
      <c r="U304" s="134">
        <f t="shared" si="120"/>
        <v>9.433962264150943E-3</v>
      </c>
      <c r="V304" s="134">
        <f t="shared" si="121"/>
        <v>0</v>
      </c>
      <c r="W304" s="35"/>
      <c r="X304" s="35"/>
      <c r="Y304" s="35"/>
      <c r="Z304" s="35"/>
      <c r="AA304" s="35"/>
    </row>
    <row r="305" spans="1:27">
      <c r="A305" s="85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92"/>
      <c r="V305" s="92"/>
      <c r="W305" s="86"/>
      <c r="X305" s="86"/>
      <c r="Y305" s="86"/>
      <c r="Z305" s="86"/>
      <c r="AA305" s="87"/>
    </row>
    <row r="306" spans="1:27">
      <c r="A306" s="6">
        <v>46142</v>
      </c>
      <c r="B306" s="7" t="s">
        <v>166</v>
      </c>
      <c r="C306" s="50" t="s">
        <v>304</v>
      </c>
      <c r="D306" s="7">
        <v>3337953065</v>
      </c>
      <c r="E306" s="7" t="s">
        <v>758</v>
      </c>
      <c r="F306" s="7">
        <v>20942854</v>
      </c>
      <c r="G306" s="31" t="s">
        <v>198</v>
      </c>
      <c r="H306" s="7" t="s">
        <v>757</v>
      </c>
      <c r="I306" s="7" t="s">
        <v>85</v>
      </c>
      <c r="J306" s="7" t="s">
        <v>84</v>
      </c>
      <c r="K306" s="96" t="s">
        <v>456</v>
      </c>
      <c r="L306" s="7" t="s">
        <v>202</v>
      </c>
      <c r="M306" s="122" t="s">
        <v>201</v>
      </c>
      <c r="N306" s="7" t="s">
        <v>415</v>
      </c>
      <c r="O306" s="7" t="s">
        <v>87</v>
      </c>
      <c r="P306" s="7">
        <v>1767</v>
      </c>
      <c r="Q306" s="7">
        <v>93</v>
      </c>
      <c r="R306" s="7">
        <v>5</v>
      </c>
      <c r="S306" s="7">
        <v>0</v>
      </c>
      <c r="T306" s="7">
        <v>0</v>
      </c>
      <c r="U306" s="125">
        <f t="shared" ref="U306:U311" si="122">Q306/P306</f>
        <v>5.2631578947368418E-2</v>
      </c>
      <c r="V306" s="125">
        <f t="shared" ref="V306:V311" si="123">R306/Q306</f>
        <v>5.3763440860215055E-2</v>
      </c>
      <c r="W306" s="7"/>
      <c r="X306" s="7"/>
      <c r="Y306" s="7"/>
      <c r="Z306" s="7"/>
      <c r="AA306" s="7"/>
    </row>
    <row r="307" spans="1:27">
      <c r="A307" s="6">
        <v>46142</v>
      </c>
      <c r="B307" s="7" t="s">
        <v>166</v>
      </c>
      <c r="C307" s="50" t="s">
        <v>347</v>
      </c>
      <c r="D307" s="7">
        <v>3337953071</v>
      </c>
      <c r="E307" s="7" t="s">
        <v>760</v>
      </c>
      <c r="F307" s="7">
        <v>20942934</v>
      </c>
      <c r="G307" s="31" t="s">
        <v>198</v>
      </c>
      <c r="H307" s="7" t="s">
        <v>759</v>
      </c>
      <c r="I307" s="7" t="s">
        <v>85</v>
      </c>
      <c r="J307" s="7" t="s">
        <v>84</v>
      </c>
      <c r="K307" s="96" t="s">
        <v>456</v>
      </c>
      <c r="L307" s="7" t="s">
        <v>202</v>
      </c>
      <c r="M307" s="122" t="s">
        <v>201</v>
      </c>
      <c r="N307" s="7" t="s">
        <v>749</v>
      </c>
      <c r="O307" s="7" t="s">
        <v>87</v>
      </c>
      <c r="P307" s="7">
        <v>87</v>
      </c>
      <c r="Q307" s="7">
        <v>45</v>
      </c>
      <c r="R307" s="7">
        <v>0</v>
      </c>
      <c r="S307" s="7">
        <v>0</v>
      </c>
      <c r="T307" s="7">
        <v>0</v>
      </c>
      <c r="U307" s="125">
        <f t="shared" si="122"/>
        <v>0.51724137931034486</v>
      </c>
      <c r="V307" s="125">
        <f t="shared" si="123"/>
        <v>0</v>
      </c>
      <c r="W307" s="7"/>
      <c r="X307" s="7"/>
      <c r="Y307" s="7"/>
      <c r="Z307" s="7"/>
      <c r="AA307" s="7"/>
    </row>
    <row r="308" spans="1:27">
      <c r="A308" s="6">
        <v>46142</v>
      </c>
      <c r="B308" s="7" t="s">
        <v>166</v>
      </c>
      <c r="C308" s="50" t="s">
        <v>304</v>
      </c>
      <c r="D308" s="7">
        <v>3337954458</v>
      </c>
      <c r="E308" s="7" t="s">
        <v>758</v>
      </c>
      <c r="F308" s="7">
        <v>20943184</v>
      </c>
      <c r="G308" s="31" t="s">
        <v>198</v>
      </c>
      <c r="H308" s="7" t="s">
        <v>757</v>
      </c>
      <c r="I308" s="7" t="s">
        <v>85</v>
      </c>
      <c r="J308" s="7" t="s">
        <v>751</v>
      </c>
      <c r="K308" s="96" t="s">
        <v>456</v>
      </c>
      <c r="L308" s="7" t="s">
        <v>202</v>
      </c>
      <c r="M308" s="122" t="s">
        <v>201</v>
      </c>
      <c r="N308" s="7" t="s">
        <v>415</v>
      </c>
      <c r="O308" s="7" t="s">
        <v>87</v>
      </c>
      <c r="P308" s="7">
        <v>259</v>
      </c>
      <c r="Q308" s="7">
        <v>47</v>
      </c>
      <c r="R308" s="7">
        <v>7</v>
      </c>
      <c r="S308" s="7">
        <v>0</v>
      </c>
      <c r="T308" s="7">
        <v>0</v>
      </c>
      <c r="U308" s="125">
        <f t="shared" si="122"/>
        <v>0.18146718146718147</v>
      </c>
      <c r="V308" s="125">
        <f t="shared" si="123"/>
        <v>0.14893617021276595</v>
      </c>
      <c r="W308" s="7"/>
      <c r="X308" s="7"/>
      <c r="Y308" s="7"/>
      <c r="Z308" s="7"/>
      <c r="AA308" s="7"/>
    </row>
    <row r="309" spans="1:27">
      <c r="A309" s="6">
        <v>46142</v>
      </c>
      <c r="B309" s="7" t="s">
        <v>166</v>
      </c>
      <c r="C309" s="50" t="s">
        <v>347</v>
      </c>
      <c r="D309" s="7">
        <v>3337954666</v>
      </c>
      <c r="E309" s="7" t="s">
        <v>760</v>
      </c>
      <c r="F309" s="7">
        <v>20943187</v>
      </c>
      <c r="G309" s="31" t="s">
        <v>198</v>
      </c>
      <c r="H309" s="7" t="s">
        <v>759</v>
      </c>
      <c r="I309" s="7" t="s">
        <v>85</v>
      </c>
      <c r="J309" s="7" t="s">
        <v>751</v>
      </c>
      <c r="K309" s="96" t="s">
        <v>456</v>
      </c>
      <c r="L309" s="7" t="s">
        <v>202</v>
      </c>
      <c r="M309" s="122" t="s">
        <v>201</v>
      </c>
      <c r="N309" s="7" t="s">
        <v>749</v>
      </c>
      <c r="O309" s="7" t="s">
        <v>87</v>
      </c>
      <c r="P309" s="7">
        <v>38</v>
      </c>
      <c r="Q309" s="7">
        <v>35</v>
      </c>
      <c r="R309" s="7">
        <v>4</v>
      </c>
      <c r="S309" s="7">
        <v>0</v>
      </c>
      <c r="T309" s="7">
        <v>0</v>
      </c>
      <c r="U309" s="125">
        <f t="shared" si="122"/>
        <v>0.92105263157894735</v>
      </c>
      <c r="V309" s="125">
        <f t="shared" si="123"/>
        <v>0.11428571428571428</v>
      </c>
      <c r="W309" s="7"/>
      <c r="X309" s="7"/>
      <c r="Y309" s="7"/>
      <c r="Z309" s="7"/>
      <c r="AA309" s="7"/>
    </row>
    <row r="310" spans="1:27">
      <c r="A310" s="6">
        <v>46142</v>
      </c>
      <c r="B310" s="7" t="s">
        <v>166</v>
      </c>
      <c r="C310" s="50" t="s">
        <v>304</v>
      </c>
      <c r="D310" s="7">
        <v>3337955897</v>
      </c>
      <c r="E310" s="7" t="s">
        <v>758</v>
      </c>
      <c r="F310" s="7">
        <v>20943185</v>
      </c>
      <c r="G310" s="31" t="s">
        <v>198</v>
      </c>
      <c r="H310" s="7" t="s">
        <v>757</v>
      </c>
      <c r="I310" s="7" t="s">
        <v>85</v>
      </c>
      <c r="J310" s="7" t="s">
        <v>754</v>
      </c>
      <c r="K310" s="96" t="s">
        <v>456</v>
      </c>
      <c r="L310" s="7" t="s">
        <v>202</v>
      </c>
      <c r="M310" s="122" t="s">
        <v>201</v>
      </c>
      <c r="N310" s="7" t="s">
        <v>415</v>
      </c>
      <c r="O310" s="7" t="s">
        <v>87</v>
      </c>
      <c r="P310" s="7">
        <v>593</v>
      </c>
      <c r="Q310" s="7">
        <v>94</v>
      </c>
      <c r="R310" s="7">
        <v>4</v>
      </c>
      <c r="S310" s="7">
        <v>0</v>
      </c>
      <c r="T310" s="7">
        <v>0</v>
      </c>
      <c r="U310" s="125">
        <f t="shared" si="122"/>
        <v>0.15851602023608768</v>
      </c>
      <c r="V310" s="125">
        <f t="shared" si="123"/>
        <v>4.2553191489361701E-2</v>
      </c>
      <c r="W310" s="7"/>
      <c r="X310" s="7"/>
      <c r="Y310" s="7"/>
      <c r="Z310" s="7"/>
      <c r="AA310" s="7"/>
    </row>
    <row r="311" spans="1:27">
      <c r="A311" s="6">
        <v>46142</v>
      </c>
      <c r="B311" s="7" t="s">
        <v>166</v>
      </c>
      <c r="C311" s="50" t="s">
        <v>347</v>
      </c>
      <c r="D311" s="7">
        <v>3337955921</v>
      </c>
      <c r="E311" s="7" t="s">
        <v>760</v>
      </c>
      <c r="F311" s="7">
        <v>20943188</v>
      </c>
      <c r="G311" s="31" t="s">
        <v>198</v>
      </c>
      <c r="H311" s="7" t="s">
        <v>759</v>
      </c>
      <c r="I311" s="7" t="s">
        <v>85</v>
      </c>
      <c r="J311" s="7" t="s">
        <v>754</v>
      </c>
      <c r="K311" s="96" t="s">
        <v>456</v>
      </c>
      <c r="L311" s="7" t="s">
        <v>202</v>
      </c>
      <c r="M311" s="122" t="s">
        <v>201</v>
      </c>
      <c r="N311" s="7" t="s">
        <v>749</v>
      </c>
      <c r="O311" s="7" t="s">
        <v>87</v>
      </c>
      <c r="P311" s="7">
        <v>92</v>
      </c>
      <c r="Q311" s="7">
        <v>68</v>
      </c>
      <c r="R311" s="7">
        <v>6</v>
      </c>
      <c r="S311" s="7">
        <v>0</v>
      </c>
      <c r="T311" s="7">
        <v>0</v>
      </c>
      <c r="U311" s="125">
        <f t="shared" si="122"/>
        <v>0.73913043478260865</v>
      </c>
      <c r="V311" s="125">
        <f t="shared" si="123"/>
        <v>8.8235294117647065E-2</v>
      </c>
      <c r="W311" s="7"/>
      <c r="X311" s="7"/>
      <c r="Y311" s="7"/>
      <c r="Z311" s="7"/>
      <c r="AA311" s="7"/>
    </row>
    <row r="312" spans="1:27">
      <c r="A312" s="85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92"/>
      <c r="V312" s="92"/>
      <c r="W312" s="86"/>
      <c r="X312" s="86"/>
      <c r="Y312" s="86"/>
      <c r="Z312" s="86"/>
      <c r="AA312" s="87"/>
    </row>
    <row r="313" spans="1:27" s="72" customFormat="1">
      <c r="A313" s="6">
        <v>46142</v>
      </c>
      <c r="B313" s="7" t="s">
        <v>166</v>
      </c>
      <c r="C313" s="124" t="s">
        <v>599</v>
      </c>
      <c r="D313" s="31">
        <v>3337959044</v>
      </c>
      <c r="E313" s="31" t="s">
        <v>762</v>
      </c>
      <c r="F313" s="31">
        <v>20943220</v>
      </c>
      <c r="G313" s="31" t="s">
        <v>471</v>
      </c>
      <c r="H313" s="99" t="s">
        <v>763</v>
      </c>
      <c r="I313" s="31" t="s">
        <v>85</v>
      </c>
      <c r="J313" s="31" t="s">
        <v>84</v>
      </c>
      <c r="K313" s="96" t="s">
        <v>456</v>
      </c>
      <c r="L313" s="31" t="s">
        <v>202</v>
      </c>
      <c r="M313" s="122" t="s">
        <v>29</v>
      </c>
      <c r="N313" s="31" t="s">
        <v>415</v>
      </c>
      <c r="O313" s="31" t="s">
        <v>87</v>
      </c>
      <c r="P313" s="31">
        <v>1766</v>
      </c>
      <c r="Q313" s="31">
        <v>30</v>
      </c>
      <c r="R313" s="31">
        <v>2</v>
      </c>
      <c r="S313" s="31">
        <v>0</v>
      </c>
      <c r="T313" s="31">
        <v>0</v>
      </c>
      <c r="U313" s="125">
        <f t="shared" ref="U313:U318" si="124">Q313/P313</f>
        <v>1.698754246885617E-2</v>
      </c>
      <c r="V313" s="125">
        <f t="shared" ref="V313:V318" si="125">R313/Q313</f>
        <v>6.6666666666666666E-2</v>
      </c>
      <c r="W313" s="31"/>
      <c r="X313" s="31"/>
      <c r="Y313" s="31"/>
      <c r="Z313" s="31"/>
      <c r="AA313" s="31"/>
    </row>
    <row r="314" spans="1:27" s="72" customFormat="1">
      <c r="A314" s="6">
        <v>46142</v>
      </c>
      <c r="B314" s="7" t="s">
        <v>166</v>
      </c>
      <c r="C314" s="124" t="s">
        <v>347</v>
      </c>
      <c r="D314" s="31">
        <v>3337959050</v>
      </c>
      <c r="E314" s="31" t="s">
        <v>765</v>
      </c>
      <c r="F314" s="31">
        <v>20943246</v>
      </c>
      <c r="G314" s="31" t="s">
        <v>471</v>
      </c>
      <c r="H314" s="99" t="s">
        <v>764</v>
      </c>
      <c r="I314" s="31" t="s">
        <v>85</v>
      </c>
      <c r="J314" s="31" t="s">
        <v>84</v>
      </c>
      <c r="K314" s="96" t="s">
        <v>456</v>
      </c>
      <c r="L314" s="31" t="s">
        <v>202</v>
      </c>
      <c r="M314" s="122" t="s">
        <v>29</v>
      </c>
      <c r="N314" s="31" t="s">
        <v>749</v>
      </c>
      <c r="O314" s="31" t="s">
        <v>87</v>
      </c>
      <c r="P314" s="31">
        <v>29</v>
      </c>
      <c r="Q314" s="31">
        <v>25</v>
      </c>
      <c r="R314" s="31">
        <v>2</v>
      </c>
      <c r="S314" s="31">
        <v>0</v>
      </c>
      <c r="T314" s="31">
        <v>0</v>
      </c>
      <c r="U314" s="125">
        <f t="shared" si="124"/>
        <v>0.86206896551724133</v>
      </c>
      <c r="V314" s="125">
        <f t="shared" si="125"/>
        <v>0.08</v>
      </c>
      <c r="W314" s="31"/>
      <c r="X314" s="31"/>
      <c r="Y314" s="31"/>
      <c r="Z314" s="31"/>
      <c r="AA314" s="31"/>
    </row>
    <row r="315" spans="1:27" s="72" customFormat="1">
      <c r="A315" s="6">
        <v>46142</v>
      </c>
      <c r="B315" s="7" t="s">
        <v>166</v>
      </c>
      <c r="C315" s="124" t="s">
        <v>599</v>
      </c>
      <c r="D315" s="31">
        <v>3337962432</v>
      </c>
      <c r="E315" s="31" t="s">
        <v>762</v>
      </c>
      <c r="F315" s="31">
        <v>20943326</v>
      </c>
      <c r="G315" s="31" t="s">
        <v>471</v>
      </c>
      <c r="H315" s="99" t="s">
        <v>763</v>
      </c>
      <c r="I315" s="31" t="s">
        <v>85</v>
      </c>
      <c r="J315" s="7" t="s">
        <v>751</v>
      </c>
      <c r="K315" s="96" t="s">
        <v>456</v>
      </c>
      <c r="L315" s="31" t="s">
        <v>202</v>
      </c>
      <c r="M315" s="122" t="s">
        <v>29</v>
      </c>
      <c r="N315" s="31" t="s">
        <v>415</v>
      </c>
      <c r="O315" s="31" t="s">
        <v>87</v>
      </c>
      <c r="P315" s="31">
        <v>260</v>
      </c>
      <c r="Q315" s="31">
        <v>27</v>
      </c>
      <c r="R315" s="31">
        <v>2</v>
      </c>
      <c r="S315" s="31">
        <v>0</v>
      </c>
      <c r="T315" s="31">
        <v>0</v>
      </c>
      <c r="U315" s="125">
        <f t="shared" si="124"/>
        <v>0.10384615384615385</v>
      </c>
      <c r="V315" s="125">
        <f t="shared" si="125"/>
        <v>7.407407407407407E-2</v>
      </c>
      <c r="W315" s="31"/>
      <c r="X315" s="31"/>
      <c r="Y315" s="31"/>
      <c r="Z315" s="31"/>
      <c r="AA315" s="31"/>
    </row>
    <row r="316" spans="1:27" s="72" customFormat="1">
      <c r="A316" s="6">
        <v>46142</v>
      </c>
      <c r="B316" s="7" t="s">
        <v>166</v>
      </c>
      <c r="C316" s="124" t="s">
        <v>347</v>
      </c>
      <c r="D316" s="31">
        <v>3337962882</v>
      </c>
      <c r="E316" s="31" t="s">
        <v>765</v>
      </c>
      <c r="F316" s="31">
        <v>20943330</v>
      </c>
      <c r="G316" s="31" t="s">
        <v>471</v>
      </c>
      <c r="H316" s="99" t="s">
        <v>764</v>
      </c>
      <c r="I316" s="31" t="s">
        <v>85</v>
      </c>
      <c r="J316" s="7" t="s">
        <v>751</v>
      </c>
      <c r="K316" s="96" t="s">
        <v>456</v>
      </c>
      <c r="L316" s="31" t="s">
        <v>202</v>
      </c>
      <c r="M316" s="122" t="s">
        <v>29</v>
      </c>
      <c r="N316" s="31" t="s">
        <v>749</v>
      </c>
      <c r="O316" s="31" t="s">
        <v>87</v>
      </c>
      <c r="P316" s="31">
        <v>21</v>
      </c>
      <c r="Q316" s="31">
        <v>21</v>
      </c>
      <c r="R316" s="31">
        <v>5</v>
      </c>
      <c r="S316" s="31">
        <v>0</v>
      </c>
      <c r="T316" s="31">
        <v>0</v>
      </c>
      <c r="U316" s="125">
        <f t="shared" si="124"/>
        <v>1</v>
      </c>
      <c r="V316" s="125">
        <f t="shared" si="125"/>
        <v>0.23809523809523808</v>
      </c>
      <c r="W316" s="31"/>
      <c r="X316" s="31"/>
      <c r="Y316" s="31"/>
      <c r="Z316" s="31"/>
      <c r="AA316" s="31"/>
    </row>
    <row r="317" spans="1:27" s="72" customFormat="1">
      <c r="A317" s="6">
        <v>46142</v>
      </c>
      <c r="B317" s="7" t="s">
        <v>166</v>
      </c>
      <c r="C317" s="124" t="s">
        <v>599</v>
      </c>
      <c r="D317" s="31">
        <v>3337964144</v>
      </c>
      <c r="E317" s="31" t="s">
        <v>762</v>
      </c>
      <c r="F317" s="31">
        <v>20943327</v>
      </c>
      <c r="G317" s="31" t="s">
        <v>471</v>
      </c>
      <c r="H317" s="99" t="s">
        <v>763</v>
      </c>
      <c r="I317" s="31" t="s">
        <v>85</v>
      </c>
      <c r="J317" s="7" t="s">
        <v>754</v>
      </c>
      <c r="K317" s="96" t="s">
        <v>456</v>
      </c>
      <c r="L317" s="31" t="s">
        <v>202</v>
      </c>
      <c r="M317" s="122" t="s">
        <v>29</v>
      </c>
      <c r="N317" s="31" t="s">
        <v>415</v>
      </c>
      <c r="O317" s="31" t="s">
        <v>87</v>
      </c>
      <c r="P317" s="31">
        <v>596</v>
      </c>
      <c r="Q317" s="31">
        <v>35</v>
      </c>
      <c r="R317" s="31">
        <v>4</v>
      </c>
      <c r="S317" s="31">
        <v>0</v>
      </c>
      <c r="T317" s="31">
        <v>0</v>
      </c>
      <c r="U317" s="125">
        <f t="shared" si="124"/>
        <v>5.8724832214765099E-2</v>
      </c>
      <c r="V317" s="125">
        <f t="shared" si="125"/>
        <v>0.11428571428571428</v>
      </c>
      <c r="W317" s="31"/>
      <c r="X317" s="31"/>
      <c r="Y317" s="31"/>
      <c r="Z317" s="31"/>
      <c r="AA317" s="31"/>
    </row>
    <row r="318" spans="1:27" s="72" customFormat="1">
      <c r="A318" s="6">
        <v>46142</v>
      </c>
      <c r="B318" s="7" t="s">
        <v>166</v>
      </c>
      <c r="C318" s="124" t="s">
        <v>347</v>
      </c>
      <c r="D318" s="31">
        <v>3337964260</v>
      </c>
      <c r="E318" s="31" t="s">
        <v>765</v>
      </c>
      <c r="F318" s="31">
        <v>20943331</v>
      </c>
      <c r="G318" s="31" t="s">
        <v>471</v>
      </c>
      <c r="H318" s="99" t="s">
        <v>764</v>
      </c>
      <c r="I318" s="31" t="s">
        <v>85</v>
      </c>
      <c r="J318" s="7" t="s">
        <v>754</v>
      </c>
      <c r="K318" s="96" t="s">
        <v>456</v>
      </c>
      <c r="L318" s="31" t="s">
        <v>202</v>
      </c>
      <c r="M318" s="122" t="s">
        <v>29</v>
      </c>
      <c r="N318" s="31" t="s">
        <v>749</v>
      </c>
      <c r="O318" s="31" t="s">
        <v>87</v>
      </c>
      <c r="P318" s="31">
        <v>32</v>
      </c>
      <c r="Q318" s="31">
        <v>36</v>
      </c>
      <c r="R318" s="31">
        <v>2</v>
      </c>
      <c r="S318" s="31">
        <v>0</v>
      </c>
      <c r="T318" s="31">
        <v>0</v>
      </c>
      <c r="U318" s="125">
        <f t="shared" si="124"/>
        <v>1.125</v>
      </c>
      <c r="V318" s="125">
        <f t="shared" si="125"/>
        <v>5.5555555555555552E-2</v>
      </c>
      <c r="W318" s="31"/>
      <c r="X318" s="31"/>
      <c r="Y318" s="31"/>
      <c r="Z318" s="31"/>
      <c r="AA318" s="31"/>
    </row>
    <row r="319" spans="1:27">
      <c r="A319" s="85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92"/>
      <c r="V319" s="92"/>
      <c r="W319" s="86"/>
      <c r="X319" s="86"/>
      <c r="Y319" s="86"/>
      <c r="Z319" s="86"/>
      <c r="AA319" s="87"/>
    </row>
    <row r="320" spans="1:27">
      <c r="A320" s="6">
        <v>46142</v>
      </c>
      <c r="B320" s="7" t="s">
        <v>166</v>
      </c>
      <c r="C320" s="50" t="s">
        <v>459</v>
      </c>
      <c r="D320" s="7">
        <v>3332177201</v>
      </c>
      <c r="E320" s="7" t="s">
        <v>463</v>
      </c>
      <c r="F320" s="7">
        <v>20918989</v>
      </c>
      <c r="G320" s="7" t="s">
        <v>31</v>
      </c>
      <c r="H320" s="77" t="s">
        <v>475</v>
      </c>
      <c r="I320" s="7" t="s">
        <v>85</v>
      </c>
      <c r="J320" s="7" t="s">
        <v>84</v>
      </c>
      <c r="K320" s="96" t="s">
        <v>456</v>
      </c>
      <c r="L320" s="7" t="s">
        <v>202</v>
      </c>
      <c r="M320" s="126" t="s">
        <v>31</v>
      </c>
      <c r="N320" s="7" t="s">
        <v>415</v>
      </c>
      <c r="O320" s="7" t="s">
        <v>87</v>
      </c>
      <c r="P320" s="7">
        <v>1403</v>
      </c>
      <c r="Q320" s="7">
        <v>200</v>
      </c>
      <c r="R320" s="7">
        <v>7</v>
      </c>
      <c r="S320" s="7">
        <v>0</v>
      </c>
      <c r="T320" s="7">
        <v>0</v>
      </c>
      <c r="U320" s="125">
        <f t="shared" ref="U320:U325" si="126">Q320/P320</f>
        <v>0.14255167498218105</v>
      </c>
      <c r="V320" s="125">
        <f t="shared" ref="V320:V325" si="127">R320/Q320</f>
        <v>3.5000000000000003E-2</v>
      </c>
      <c r="W320" s="7"/>
      <c r="X320" s="7"/>
      <c r="Y320" s="7"/>
      <c r="Z320" s="7"/>
      <c r="AA320" s="7"/>
    </row>
    <row r="321" spans="1:36">
      <c r="A321" s="6">
        <v>46142</v>
      </c>
      <c r="B321" s="7" t="s">
        <v>166</v>
      </c>
      <c r="C321" s="50" t="s">
        <v>347</v>
      </c>
      <c r="D321" s="7">
        <v>3332178023</v>
      </c>
      <c r="E321" s="7" t="s">
        <v>467</v>
      </c>
      <c r="F321" s="7">
        <v>20919028</v>
      </c>
      <c r="G321" s="7" t="s">
        <v>31</v>
      </c>
      <c r="H321" s="77" t="s">
        <v>476</v>
      </c>
      <c r="I321" s="7" t="s">
        <v>85</v>
      </c>
      <c r="J321" s="7" t="s">
        <v>84</v>
      </c>
      <c r="K321" s="96" t="s">
        <v>456</v>
      </c>
      <c r="L321" s="7" t="s">
        <v>202</v>
      </c>
      <c r="M321" s="126" t="s">
        <v>31</v>
      </c>
      <c r="N321" s="31" t="s">
        <v>749</v>
      </c>
      <c r="O321" s="7" t="s">
        <v>87</v>
      </c>
      <c r="P321" s="7">
        <v>181</v>
      </c>
      <c r="Q321" s="7">
        <v>153</v>
      </c>
      <c r="R321" s="7">
        <v>2</v>
      </c>
      <c r="S321" s="7">
        <v>0</v>
      </c>
      <c r="T321" s="7">
        <v>0</v>
      </c>
      <c r="U321" s="125">
        <f t="shared" si="126"/>
        <v>0.84530386740331487</v>
      </c>
      <c r="V321" s="125">
        <f t="shared" si="127"/>
        <v>1.3071895424836602E-2</v>
      </c>
      <c r="W321" s="7"/>
      <c r="X321" s="7"/>
      <c r="Y321" s="7"/>
      <c r="Z321" s="7"/>
      <c r="AA321" s="7"/>
    </row>
    <row r="322" spans="1:36">
      <c r="A322" s="6">
        <v>46142</v>
      </c>
      <c r="B322" s="7" t="s">
        <v>166</v>
      </c>
      <c r="C322" s="50" t="s">
        <v>459</v>
      </c>
      <c r="D322" s="7">
        <v>3337851091</v>
      </c>
      <c r="E322" s="127" t="s">
        <v>752</v>
      </c>
      <c r="F322" s="7">
        <v>20942625</v>
      </c>
      <c r="G322" s="7" t="s">
        <v>31</v>
      </c>
      <c r="H322" s="77" t="s">
        <v>475</v>
      </c>
      <c r="I322" s="31" t="s">
        <v>85</v>
      </c>
      <c r="J322" s="7" t="s">
        <v>751</v>
      </c>
      <c r="K322" s="96" t="s">
        <v>456</v>
      </c>
      <c r="L322" s="7" t="s">
        <v>202</v>
      </c>
      <c r="M322" s="126" t="s">
        <v>31</v>
      </c>
      <c r="N322" s="7" t="s">
        <v>415</v>
      </c>
      <c r="O322" s="7" t="s">
        <v>87</v>
      </c>
      <c r="P322" s="7">
        <v>257</v>
      </c>
      <c r="Q322" s="7">
        <v>76</v>
      </c>
      <c r="R322" s="7">
        <v>2</v>
      </c>
      <c r="S322" s="7">
        <v>0</v>
      </c>
      <c r="T322" s="7">
        <v>0</v>
      </c>
      <c r="U322" s="125">
        <f t="shared" si="126"/>
        <v>0.29571984435797666</v>
      </c>
      <c r="V322" s="125">
        <f t="shared" si="127"/>
        <v>2.6315789473684209E-2</v>
      </c>
      <c r="W322" s="7"/>
      <c r="X322" s="7"/>
      <c r="Y322" s="7"/>
      <c r="Z322" s="7"/>
      <c r="AA322" s="7"/>
    </row>
    <row r="323" spans="1:36">
      <c r="A323" s="6">
        <v>46142</v>
      </c>
      <c r="B323" s="7" t="s">
        <v>166</v>
      </c>
      <c r="C323" s="50" t="s">
        <v>347</v>
      </c>
      <c r="D323" s="7">
        <v>3337859602</v>
      </c>
      <c r="E323" s="7" t="s">
        <v>753</v>
      </c>
      <c r="F323" s="7">
        <v>20942633</v>
      </c>
      <c r="G323" s="7" t="s">
        <v>31</v>
      </c>
      <c r="H323" s="77" t="s">
        <v>476</v>
      </c>
      <c r="I323" s="31" t="s">
        <v>85</v>
      </c>
      <c r="J323" s="7" t="s">
        <v>751</v>
      </c>
      <c r="K323" s="96" t="s">
        <v>456</v>
      </c>
      <c r="L323" s="7" t="s">
        <v>202</v>
      </c>
      <c r="M323" s="126" t="s">
        <v>31</v>
      </c>
      <c r="N323" s="31" t="s">
        <v>749</v>
      </c>
      <c r="O323" s="7" t="s">
        <v>87</v>
      </c>
      <c r="P323" s="7">
        <v>65</v>
      </c>
      <c r="Q323" s="7">
        <v>79</v>
      </c>
      <c r="R323" s="7">
        <v>10</v>
      </c>
      <c r="S323" s="7">
        <v>0</v>
      </c>
      <c r="T323" s="7">
        <v>0</v>
      </c>
      <c r="U323" s="125">
        <f t="shared" si="126"/>
        <v>1.2153846153846153</v>
      </c>
      <c r="V323" s="125">
        <f t="shared" si="127"/>
        <v>0.12658227848101267</v>
      </c>
      <c r="W323" s="7"/>
      <c r="X323" s="7"/>
      <c r="Y323" s="7"/>
      <c r="Z323" s="7"/>
      <c r="AA323" s="7"/>
    </row>
    <row r="324" spans="1:36">
      <c r="A324" s="6">
        <v>46142</v>
      </c>
      <c r="B324" s="7" t="s">
        <v>166</v>
      </c>
      <c r="C324" s="50" t="s">
        <v>459</v>
      </c>
      <c r="D324" s="7">
        <v>3337871356</v>
      </c>
      <c r="E324" s="7" t="s">
        <v>752</v>
      </c>
      <c r="F324" s="128" t="s">
        <v>755</v>
      </c>
      <c r="G324" s="7" t="s">
        <v>31</v>
      </c>
      <c r="H324" s="77" t="s">
        <v>475</v>
      </c>
      <c r="I324" s="31" t="s">
        <v>85</v>
      </c>
      <c r="J324" s="7" t="s">
        <v>754</v>
      </c>
      <c r="K324" s="96" t="s">
        <v>456</v>
      </c>
      <c r="L324" s="7" t="s">
        <v>202</v>
      </c>
      <c r="M324" s="126" t="s">
        <v>31</v>
      </c>
      <c r="N324" s="7" t="s">
        <v>415</v>
      </c>
      <c r="O324" s="7" t="s">
        <v>87</v>
      </c>
      <c r="P324" s="7">
        <v>584</v>
      </c>
      <c r="Q324" s="7">
        <v>215</v>
      </c>
      <c r="R324" s="7">
        <v>1</v>
      </c>
      <c r="S324" s="7">
        <v>0</v>
      </c>
      <c r="T324" s="7">
        <v>0</v>
      </c>
      <c r="U324" s="125">
        <f t="shared" si="126"/>
        <v>0.36815068493150682</v>
      </c>
      <c r="V324" s="125">
        <f t="shared" si="127"/>
        <v>4.6511627906976744E-3</v>
      </c>
      <c r="W324" s="7"/>
      <c r="X324" s="7"/>
      <c r="Y324" s="7"/>
      <c r="Z324" s="7"/>
      <c r="AA324" s="7"/>
    </row>
    <row r="325" spans="1:36">
      <c r="A325" s="6">
        <v>46142</v>
      </c>
      <c r="B325" s="7" t="s">
        <v>166</v>
      </c>
      <c r="C325" s="50" t="s">
        <v>347</v>
      </c>
      <c r="D325" s="7">
        <v>3337872104</v>
      </c>
      <c r="E325" s="7" t="s">
        <v>753</v>
      </c>
      <c r="F325" s="128" t="s">
        <v>756</v>
      </c>
      <c r="G325" s="7" t="s">
        <v>31</v>
      </c>
      <c r="H325" s="77" t="s">
        <v>476</v>
      </c>
      <c r="I325" s="31" t="s">
        <v>85</v>
      </c>
      <c r="J325" s="7" t="s">
        <v>754</v>
      </c>
      <c r="K325" s="96" t="s">
        <v>456</v>
      </c>
      <c r="L325" s="7" t="s">
        <v>202</v>
      </c>
      <c r="M325" s="126" t="s">
        <v>31</v>
      </c>
      <c r="N325" s="31" t="s">
        <v>749</v>
      </c>
      <c r="O325" s="7" t="s">
        <v>87</v>
      </c>
      <c r="P325" s="7">
        <v>204</v>
      </c>
      <c r="Q325" s="7">
        <v>214</v>
      </c>
      <c r="R325" s="7">
        <v>8</v>
      </c>
      <c r="S325" s="7">
        <v>0</v>
      </c>
      <c r="T325" s="7">
        <v>0</v>
      </c>
      <c r="U325" s="125">
        <f t="shared" si="126"/>
        <v>1.0490196078431373</v>
      </c>
      <c r="V325" s="125">
        <f t="shared" si="127"/>
        <v>3.7383177570093455E-2</v>
      </c>
      <c r="W325" s="7"/>
      <c r="X325" s="7"/>
      <c r="Y325" s="7"/>
      <c r="Z325" s="7"/>
      <c r="AA325" s="7"/>
    </row>
    <row r="326" spans="1:36" ht="7.8" customHeight="1">
      <c r="A326" s="8"/>
      <c r="B326" s="9"/>
      <c r="C326" s="10"/>
      <c r="D326" s="57"/>
      <c r="E326" s="57"/>
      <c r="F326" s="57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1"/>
      <c r="V326" s="11"/>
      <c r="W326" s="10"/>
      <c r="X326" s="10"/>
      <c r="Y326" s="10"/>
      <c r="Z326" s="11"/>
      <c r="AA326" s="12"/>
    </row>
    <row r="327" spans="1:36">
      <c r="A327" s="6">
        <v>46143</v>
      </c>
      <c r="B327" s="7" t="s">
        <v>206</v>
      </c>
      <c r="C327" s="33" t="s">
        <v>89</v>
      </c>
      <c r="D327" s="18">
        <v>1655163</v>
      </c>
      <c r="E327" s="18" t="s">
        <v>79</v>
      </c>
      <c r="F327" s="18">
        <v>20858469</v>
      </c>
      <c r="G327" s="18" t="s">
        <v>80</v>
      </c>
      <c r="H327" s="18" t="s">
        <v>81</v>
      </c>
      <c r="I327" s="18" t="s">
        <v>85</v>
      </c>
      <c r="J327" s="18" t="s">
        <v>84</v>
      </c>
      <c r="K327" s="14"/>
      <c r="L327" s="18"/>
      <c r="M327" s="95" t="s">
        <v>83</v>
      </c>
      <c r="N327" s="19" t="s">
        <v>88</v>
      </c>
      <c r="O327" s="18" t="s">
        <v>87</v>
      </c>
      <c r="P327" s="7"/>
      <c r="Q327" s="7"/>
      <c r="R327" s="7"/>
      <c r="S327" s="7"/>
      <c r="T327" s="7"/>
      <c r="U327" s="125" t="e">
        <f>Q327/P327</f>
        <v>#DIV/0!</v>
      </c>
      <c r="V327" s="125" t="e">
        <f>R327/Q327</f>
        <v>#DIV/0!</v>
      </c>
      <c r="W327" s="7"/>
      <c r="X327" s="7"/>
      <c r="Y327" s="7"/>
      <c r="Z327" s="7"/>
      <c r="AA327" s="7"/>
      <c r="AE327" s="17" t="s">
        <v>125</v>
      </c>
    </row>
    <row r="328" spans="1:36">
      <c r="A328" s="6">
        <v>46143</v>
      </c>
      <c r="B328" s="7" t="s">
        <v>206</v>
      </c>
      <c r="C328" s="33" t="s">
        <v>89</v>
      </c>
      <c r="D328" s="18">
        <v>1655163</v>
      </c>
      <c r="E328" s="18" t="s">
        <v>214</v>
      </c>
      <c r="F328" s="18">
        <v>20884021</v>
      </c>
      <c r="G328" s="18" t="s">
        <v>212</v>
      </c>
      <c r="H328" s="18" t="s">
        <v>213</v>
      </c>
      <c r="I328" s="18" t="s">
        <v>85</v>
      </c>
      <c r="J328" s="18" t="s">
        <v>84</v>
      </c>
      <c r="K328" s="30"/>
      <c r="L328" s="18"/>
      <c r="M328" s="95" t="s">
        <v>83</v>
      </c>
      <c r="N328" s="19" t="s">
        <v>88</v>
      </c>
      <c r="O328" s="18" t="s">
        <v>87</v>
      </c>
      <c r="P328" s="7"/>
      <c r="Q328" s="7"/>
      <c r="R328" s="7"/>
      <c r="S328" s="7"/>
      <c r="T328" s="7"/>
      <c r="U328" s="125" t="e">
        <f t="shared" ref="U328:U334" si="128">Q328/P328</f>
        <v>#DIV/0!</v>
      </c>
      <c r="V328" s="125" t="e">
        <f t="shared" ref="V328:V334" si="129">R328/Q328</f>
        <v>#DIV/0!</v>
      </c>
      <c r="W328" s="7"/>
      <c r="X328" s="7"/>
      <c r="Y328" s="7"/>
      <c r="Z328" s="7"/>
      <c r="AA328" s="7"/>
      <c r="AE328" s="17"/>
    </row>
    <row r="329" spans="1:36">
      <c r="A329" s="6">
        <v>46143</v>
      </c>
      <c r="B329" s="7" t="s">
        <v>206</v>
      </c>
      <c r="C329" s="33" t="s">
        <v>876</v>
      </c>
      <c r="D329" s="18">
        <v>1655163</v>
      </c>
      <c r="E329" s="18" t="s">
        <v>873</v>
      </c>
      <c r="F329" s="18">
        <v>20949243</v>
      </c>
      <c r="G329" s="18" t="s">
        <v>874</v>
      </c>
      <c r="H329" s="18" t="s">
        <v>875</v>
      </c>
      <c r="I329" s="18" t="s">
        <v>85</v>
      </c>
      <c r="J329" s="18" t="s">
        <v>84</v>
      </c>
      <c r="K329" s="30"/>
      <c r="L329" s="18"/>
      <c r="M329" s="95" t="s">
        <v>83</v>
      </c>
      <c r="N329" s="19" t="s">
        <v>88</v>
      </c>
      <c r="O329" s="18" t="s">
        <v>87</v>
      </c>
      <c r="P329" s="7"/>
      <c r="Q329" s="7"/>
      <c r="R329" s="7"/>
      <c r="S329" s="7"/>
      <c r="T329" s="7"/>
      <c r="U329" s="125" t="e">
        <f t="shared" si="128"/>
        <v>#DIV/0!</v>
      </c>
      <c r="V329" s="125" t="e">
        <f t="shared" si="129"/>
        <v>#DIV/0!</v>
      </c>
      <c r="W329" s="7"/>
      <c r="X329" s="7"/>
      <c r="Y329" s="7"/>
      <c r="Z329" s="7"/>
      <c r="AA329" s="7"/>
      <c r="AE329" s="17"/>
    </row>
    <row r="330" spans="1:36">
      <c r="A330" s="6">
        <v>46143</v>
      </c>
      <c r="B330" s="7" t="s">
        <v>206</v>
      </c>
      <c r="C330" s="33" t="s">
        <v>89</v>
      </c>
      <c r="D330" s="18">
        <v>1655348</v>
      </c>
      <c r="E330" s="18" t="s">
        <v>878</v>
      </c>
      <c r="F330" s="18">
        <v>20949317</v>
      </c>
      <c r="G330" s="18" t="s">
        <v>80</v>
      </c>
      <c r="H330" s="18" t="s">
        <v>81</v>
      </c>
      <c r="I330" s="18" t="s">
        <v>85</v>
      </c>
      <c r="J330" s="18" t="s">
        <v>84</v>
      </c>
      <c r="K330" s="30"/>
      <c r="L330" s="18"/>
      <c r="M330" s="95" t="s">
        <v>83</v>
      </c>
      <c r="N330" s="19" t="s">
        <v>877</v>
      </c>
      <c r="O330" s="18" t="s">
        <v>87</v>
      </c>
      <c r="P330" s="7"/>
      <c r="Q330" s="7"/>
      <c r="R330" s="7"/>
      <c r="S330" s="7"/>
      <c r="T330" s="7"/>
      <c r="U330" s="125" t="e">
        <f t="shared" si="128"/>
        <v>#DIV/0!</v>
      </c>
      <c r="V330" s="125" t="e">
        <f t="shared" si="129"/>
        <v>#DIV/0!</v>
      </c>
      <c r="W330" s="7"/>
      <c r="X330" s="7"/>
      <c r="Y330" s="7"/>
      <c r="Z330" s="7"/>
      <c r="AA330" s="7"/>
      <c r="AE330" s="17"/>
    </row>
    <row r="331" spans="1:36">
      <c r="A331" s="6">
        <v>46143</v>
      </c>
      <c r="B331" s="7" t="s">
        <v>206</v>
      </c>
      <c r="C331" s="33" t="s">
        <v>89</v>
      </c>
      <c r="D331" s="18">
        <v>1655348</v>
      </c>
      <c r="E331" s="18" t="s">
        <v>879</v>
      </c>
      <c r="F331" s="18">
        <v>20949318</v>
      </c>
      <c r="G331" s="18" t="s">
        <v>212</v>
      </c>
      <c r="H331" s="18" t="s">
        <v>213</v>
      </c>
      <c r="I331" s="18" t="s">
        <v>85</v>
      </c>
      <c r="J331" s="18" t="s">
        <v>84</v>
      </c>
      <c r="K331" s="30"/>
      <c r="L331" s="18"/>
      <c r="M331" s="95" t="s">
        <v>83</v>
      </c>
      <c r="N331" s="19" t="s">
        <v>877</v>
      </c>
      <c r="O331" s="18" t="s">
        <v>87</v>
      </c>
      <c r="P331" s="7"/>
      <c r="Q331" s="7"/>
      <c r="R331" s="7"/>
      <c r="S331" s="7"/>
      <c r="T331" s="7"/>
      <c r="U331" s="125" t="e">
        <f t="shared" si="128"/>
        <v>#DIV/0!</v>
      </c>
      <c r="V331" s="125" t="e">
        <f t="shared" si="129"/>
        <v>#DIV/0!</v>
      </c>
      <c r="W331" s="7"/>
      <c r="X331" s="7"/>
      <c r="Y331" s="7"/>
      <c r="Z331" s="7"/>
      <c r="AA331" s="7"/>
      <c r="AE331" s="17"/>
    </row>
    <row r="332" spans="1:36">
      <c r="A332" s="6">
        <v>46144</v>
      </c>
      <c r="B332" s="7" t="s">
        <v>206</v>
      </c>
      <c r="C332" s="33" t="s">
        <v>876</v>
      </c>
      <c r="D332" s="18">
        <v>1655348</v>
      </c>
      <c r="E332" s="18" t="s">
        <v>880</v>
      </c>
      <c r="F332" s="18">
        <v>20949319</v>
      </c>
      <c r="G332" s="18" t="s">
        <v>874</v>
      </c>
      <c r="H332" s="18" t="s">
        <v>875</v>
      </c>
      <c r="I332" s="18" t="s">
        <v>85</v>
      </c>
      <c r="J332" s="18" t="s">
        <v>84</v>
      </c>
      <c r="K332" s="30"/>
      <c r="L332" s="18"/>
      <c r="M332" s="95" t="s">
        <v>83</v>
      </c>
      <c r="N332" s="19" t="s">
        <v>877</v>
      </c>
      <c r="O332" s="18" t="s">
        <v>87</v>
      </c>
      <c r="P332" s="7"/>
      <c r="Q332" s="7"/>
      <c r="R332" s="7"/>
      <c r="S332" s="7"/>
      <c r="T332" s="7"/>
      <c r="U332" s="125" t="e">
        <f t="shared" si="128"/>
        <v>#DIV/0!</v>
      </c>
      <c r="V332" s="125" t="e">
        <f t="shared" si="129"/>
        <v>#DIV/0!</v>
      </c>
      <c r="W332" s="7"/>
      <c r="X332" s="7"/>
      <c r="Y332" s="7"/>
      <c r="Z332" s="7"/>
      <c r="AA332" s="7"/>
      <c r="AE332" s="17"/>
    </row>
    <row r="333" spans="1:36">
      <c r="A333" s="6">
        <v>46145</v>
      </c>
      <c r="B333" s="7" t="s">
        <v>206</v>
      </c>
      <c r="C333" s="33" t="s">
        <v>89</v>
      </c>
      <c r="D333" s="18">
        <v>1655164</v>
      </c>
      <c r="E333" s="18" t="s">
        <v>91</v>
      </c>
      <c r="F333" s="18">
        <v>20859118</v>
      </c>
      <c r="G333" s="18" t="s">
        <v>90</v>
      </c>
      <c r="H333" s="18" t="s">
        <v>92</v>
      </c>
      <c r="I333" s="18" t="s">
        <v>85</v>
      </c>
      <c r="J333" s="18" t="s">
        <v>84</v>
      </c>
      <c r="K333" s="29"/>
      <c r="L333" s="18"/>
      <c r="M333" s="95" t="s">
        <v>83</v>
      </c>
      <c r="N333" s="19" t="s">
        <v>93</v>
      </c>
      <c r="O333" s="18" t="s">
        <v>87</v>
      </c>
      <c r="P333" s="7"/>
      <c r="Q333" s="7"/>
      <c r="R333" s="7"/>
      <c r="S333" s="7"/>
      <c r="T333" s="7"/>
      <c r="U333" s="125" t="e">
        <f t="shared" si="128"/>
        <v>#DIV/0!</v>
      </c>
      <c r="V333" s="125" t="e">
        <f t="shared" si="129"/>
        <v>#DIV/0!</v>
      </c>
      <c r="W333" s="7"/>
      <c r="X333" s="7"/>
      <c r="Y333" s="7"/>
      <c r="Z333" s="7"/>
      <c r="AA333" s="7"/>
      <c r="AE333" t="s">
        <v>82</v>
      </c>
      <c r="AF333">
        <v>115</v>
      </c>
      <c r="AG333">
        <v>11</v>
      </c>
      <c r="AH333">
        <v>0</v>
      </c>
      <c r="AI333" s="28">
        <f>AG333/AF333</f>
        <v>9.5652173913043481E-2</v>
      </c>
      <c r="AJ333" s="27">
        <f>AH333/AG333</f>
        <v>0</v>
      </c>
    </row>
    <row r="334" spans="1:36">
      <c r="A334" s="6">
        <v>46146</v>
      </c>
      <c r="B334" s="7" t="s">
        <v>206</v>
      </c>
      <c r="C334" s="33" t="s">
        <v>89</v>
      </c>
      <c r="D334" s="18">
        <v>1655187</v>
      </c>
      <c r="E334" s="18" t="s">
        <v>131</v>
      </c>
      <c r="F334" s="18">
        <v>20865659</v>
      </c>
      <c r="G334" s="18" t="s">
        <v>103</v>
      </c>
      <c r="H334" s="18" t="s">
        <v>133</v>
      </c>
      <c r="I334" s="18" t="s">
        <v>85</v>
      </c>
      <c r="J334" s="18" t="s">
        <v>84</v>
      </c>
      <c r="K334" s="30"/>
      <c r="L334" s="18"/>
      <c r="M334" s="95" t="s">
        <v>83</v>
      </c>
      <c r="N334" s="19" t="s">
        <v>132</v>
      </c>
      <c r="O334" s="18" t="s">
        <v>87</v>
      </c>
      <c r="P334" s="7"/>
      <c r="Q334" s="7"/>
      <c r="R334" s="7"/>
      <c r="S334" s="7"/>
      <c r="T334" s="7"/>
      <c r="U334" s="125" t="e">
        <f t="shared" si="128"/>
        <v>#DIV/0!</v>
      </c>
      <c r="V334" s="125" t="e">
        <f t="shared" si="129"/>
        <v>#DIV/0!</v>
      </c>
      <c r="W334" s="7"/>
      <c r="X334" s="7"/>
      <c r="Y334" s="7"/>
      <c r="Z334" s="7"/>
      <c r="AA334" s="7"/>
      <c r="AI334" s="28"/>
      <c r="AJ334" s="27"/>
    </row>
    <row r="335" spans="1:36">
      <c r="A335" s="85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92"/>
      <c r="V335" s="92"/>
      <c r="W335" s="86"/>
      <c r="X335" s="86"/>
      <c r="Y335" s="86"/>
      <c r="Z335" s="86"/>
      <c r="AA335" s="87"/>
    </row>
    <row r="336" spans="1:36">
      <c r="A336" s="6">
        <v>46143</v>
      </c>
      <c r="B336" s="7" t="s">
        <v>206</v>
      </c>
      <c r="C336" s="50" t="s">
        <v>304</v>
      </c>
      <c r="D336" s="7">
        <v>3337953065</v>
      </c>
      <c r="E336" s="7" t="s">
        <v>758</v>
      </c>
      <c r="F336" s="7">
        <v>20942854</v>
      </c>
      <c r="G336" s="31" t="s">
        <v>198</v>
      </c>
      <c r="H336" s="7" t="s">
        <v>757</v>
      </c>
      <c r="I336" s="7" t="s">
        <v>85</v>
      </c>
      <c r="J336" s="7" t="s">
        <v>84</v>
      </c>
      <c r="K336" s="96" t="s">
        <v>456</v>
      </c>
      <c r="L336" s="7" t="s">
        <v>202</v>
      </c>
      <c r="M336" s="122" t="s">
        <v>201</v>
      </c>
      <c r="N336" s="7" t="s">
        <v>415</v>
      </c>
      <c r="O336" s="7" t="s">
        <v>87</v>
      </c>
      <c r="P336" s="7"/>
      <c r="Q336" s="7"/>
      <c r="R336" s="7"/>
      <c r="S336" s="7"/>
      <c r="T336" s="7"/>
      <c r="U336" s="125" t="e">
        <f t="shared" ref="U336:U341" si="130">Q336/P336</f>
        <v>#DIV/0!</v>
      </c>
      <c r="V336" s="125" t="e">
        <f t="shared" ref="V336:V341" si="131">R336/Q336</f>
        <v>#DIV/0!</v>
      </c>
      <c r="W336" s="7"/>
      <c r="X336" s="7"/>
      <c r="Y336" s="7"/>
      <c r="Z336" s="7"/>
      <c r="AA336" s="7"/>
    </row>
    <row r="337" spans="1:27">
      <c r="A337" s="6">
        <v>46143</v>
      </c>
      <c r="B337" s="7" t="s">
        <v>206</v>
      </c>
      <c r="C337" s="50" t="s">
        <v>347</v>
      </c>
      <c r="D337" s="7">
        <v>3337953071</v>
      </c>
      <c r="E337" s="7" t="s">
        <v>760</v>
      </c>
      <c r="F337" s="7">
        <v>20942934</v>
      </c>
      <c r="G337" s="31" t="s">
        <v>198</v>
      </c>
      <c r="H337" s="7" t="s">
        <v>759</v>
      </c>
      <c r="I337" s="7" t="s">
        <v>85</v>
      </c>
      <c r="J337" s="7" t="s">
        <v>84</v>
      </c>
      <c r="K337" s="96" t="s">
        <v>456</v>
      </c>
      <c r="L337" s="7" t="s">
        <v>202</v>
      </c>
      <c r="M337" s="122" t="s">
        <v>201</v>
      </c>
      <c r="N337" s="7" t="s">
        <v>749</v>
      </c>
      <c r="O337" s="7" t="s">
        <v>87</v>
      </c>
      <c r="P337" s="7"/>
      <c r="Q337" s="7"/>
      <c r="R337" s="7"/>
      <c r="S337" s="7"/>
      <c r="T337" s="7"/>
      <c r="U337" s="125" t="e">
        <f t="shared" si="130"/>
        <v>#DIV/0!</v>
      </c>
      <c r="V337" s="125" t="e">
        <f t="shared" si="131"/>
        <v>#DIV/0!</v>
      </c>
      <c r="W337" s="7"/>
      <c r="X337" s="7"/>
      <c r="Y337" s="7"/>
      <c r="Z337" s="7"/>
      <c r="AA337" s="7"/>
    </row>
    <row r="338" spans="1:27">
      <c r="A338" s="6">
        <v>46143</v>
      </c>
      <c r="B338" s="7" t="s">
        <v>206</v>
      </c>
      <c r="C338" s="50" t="s">
        <v>304</v>
      </c>
      <c r="D338" s="7">
        <v>3337954458</v>
      </c>
      <c r="E338" s="7" t="s">
        <v>758</v>
      </c>
      <c r="F338" s="7">
        <v>20943184</v>
      </c>
      <c r="G338" s="31" t="s">
        <v>198</v>
      </c>
      <c r="H338" s="7" t="s">
        <v>757</v>
      </c>
      <c r="I338" s="7" t="s">
        <v>85</v>
      </c>
      <c r="J338" s="7" t="s">
        <v>751</v>
      </c>
      <c r="K338" s="96" t="s">
        <v>456</v>
      </c>
      <c r="L338" s="7" t="s">
        <v>202</v>
      </c>
      <c r="M338" s="122" t="s">
        <v>201</v>
      </c>
      <c r="N338" s="7" t="s">
        <v>415</v>
      </c>
      <c r="O338" s="7" t="s">
        <v>87</v>
      </c>
      <c r="P338" s="7"/>
      <c r="Q338" s="7"/>
      <c r="R338" s="7"/>
      <c r="S338" s="7"/>
      <c r="T338" s="7"/>
      <c r="U338" s="125" t="e">
        <f t="shared" si="130"/>
        <v>#DIV/0!</v>
      </c>
      <c r="V338" s="125" t="e">
        <f t="shared" si="131"/>
        <v>#DIV/0!</v>
      </c>
      <c r="W338" s="7"/>
      <c r="X338" s="7"/>
      <c r="Y338" s="7"/>
      <c r="Z338" s="7"/>
      <c r="AA338" s="7"/>
    </row>
    <row r="339" spans="1:27">
      <c r="A339" s="6">
        <v>46143</v>
      </c>
      <c r="B339" s="7" t="s">
        <v>206</v>
      </c>
      <c r="C339" s="50" t="s">
        <v>347</v>
      </c>
      <c r="D339" s="7">
        <v>3337954666</v>
      </c>
      <c r="E339" s="7" t="s">
        <v>760</v>
      </c>
      <c r="F339" s="7">
        <v>20943187</v>
      </c>
      <c r="G339" s="31" t="s">
        <v>198</v>
      </c>
      <c r="H339" s="7" t="s">
        <v>759</v>
      </c>
      <c r="I339" s="7" t="s">
        <v>85</v>
      </c>
      <c r="J339" s="7" t="s">
        <v>751</v>
      </c>
      <c r="K339" s="96" t="s">
        <v>456</v>
      </c>
      <c r="L339" s="7" t="s">
        <v>202</v>
      </c>
      <c r="M339" s="122" t="s">
        <v>201</v>
      </c>
      <c r="N339" s="7" t="s">
        <v>749</v>
      </c>
      <c r="O339" s="7" t="s">
        <v>87</v>
      </c>
      <c r="P339" s="7"/>
      <c r="Q339" s="7"/>
      <c r="R339" s="7"/>
      <c r="S339" s="7"/>
      <c r="T339" s="7"/>
      <c r="U339" s="125" t="e">
        <f t="shared" si="130"/>
        <v>#DIV/0!</v>
      </c>
      <c r="V339" s="125" t="e">
        <f t="shared" si="131"/>
        <v>#DIV/0!</v>
      </c>
      <c r="W339" s="7"/>
      <c r="X339" s="7"/>
      <c r="Y339" s="7"/>
      <c r="Z339" s="7"/>
      <c r="AA339" s="7"/>
    </row>
    <row r="340" spans="1:27">
      <c r="A340" s="6">
        <v>46143</v>
      </c>
      <c r="B340" s="7" t="s">
        <v>206</v>
      </c>
      <c r="C340" s="50" t="s">
        <v>304</v>
      </c>
      <c r="D340" s="7">
        <v>3337955897</v>
      </c>
      <c r="E340" s="7" t="s">
        <v>758</v>
      </c>
      <c r="F340" s="7">
        <v>20943185</v>
      </c>
      <c r="G340" s="31" t="s">
        <v>198</v>
      </c>
      <c r="H340" s="7" t="s">
        <v>757</v>
      </c>
      <c r="I340" s="7" t="s">
        <v>85</v>
      </c>
      <c r="J340" s="7" t="s">
        <v>754</v>
      </c>
      <c r="K340" s="96" t="s">
        <v>456</v>
      </c>
      <c r="L340" s="7" t="s">
        <v>202</v>
      </c>
      <c r="M340" s="122" t="s">
        <v>201</v>
      </c>
      <c r="N340" s="7" t="s">
        <v>415</v>
      </c>
      <c r="O340" s="7" t="s">
        <v>87</v>
      </c>
      <c r="P340" s="7"/>
      <c r="Q340" s="7"/>
      <c r="R340" s="7"/>
      <c r="S340" s="7"/>
      <c r="T340" s="7"/>
      <c r="U340" s="125" t="e">
        <f t="shared" si="130"/>
        <v>#DIV/0!</v>
      </c>
      <c r="V340" s="125" t="e">
        <f t="shared" si="131"/>
        <v>#DIV/0!</v>
      </c>
      <c r="W340" s="7"/>
      <c r="X340" s="7"/>
      <c r="Y340" s="7"/>
      <c r="Z340" s="7"/>
      <c r="AA340" s="7"/>
    </row>
    <row r="341" spans="1:27">
      <c r="A341" s="6">
        <v>46143</v>
      </c>
      <c r="B341" s="7" t="s">
        <v>206</v>
      </c>
      <c r="C341" s="50" t="s">
        <v>347</v>
      </c>
      <c r="D341" s="7">
        <v>3337955921</v>
      </c>
      <c r="E341" s="7" t="s">
        <v>760</v>
      </c>
      <c r="F341" s="7">
        <v>20943188</v>
      </c>
      <c r="G341" s="31" t="s">
        <v>198</v>
      </c>
      <c r="H341" s="7" t="s">
        <v>759</v>
      </c>
      <c r="I341" s="7" t="s">
        <v>85</v>
      </c>
      <c r="J341" s="7" t="s">
        <v>754</v>
      </c>
      <c r="K341" s="96" t="s">
        <v>456</v>
      </c>
      <c r="L341" s="7" t="s">
        <v>202</v>
      </c>
      <c r="M341" s="122" t="s">
        <v>201</v>
      </c>
      <c r="N341" s="7" t="s">
        <v>749</v>
      </c>
      <c r="O341" s="7" t="s">
        <v>87</v>
      </c>
      <c r="P341" s="7"/>
      <c r="Q341" s="7"/>
      <c r="R341" s="7"/>
      <c r="S341" s="7"/>
      <c r="T341" s="7"/>
      <c r="U341" s="125" t="e">
        <f t="shared" si="130"/>
        <v>#DIV/0!</v>
      </c>
      <c r="V341" s="125" t="e">
        <f t="shared" si="131"/>
        <v>#DIV/0!</v>
      </c>
      <c r="W341" s="7"/>
      <c r="X341" s="7"/>
      <c r="Y341" s="7"/>
      <c r="Z341" s="7"/>
      <c r="AA341" s="7"/>
    </row>
    <row r="342" spans="1:27">
      <c r="A342" s="85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92"/>
      <c r="V342" s="92"/>
      <c r="W342" s="86"/>
      <c r="X342" s="86"/>
      <c r="Y342" s="86"/>
      <c r="Z342" s="86"/>
      <c r="AA342" s="87"/>
    </row>
    <row r="343" spans="1:27" s="72" customFormat="1">
      <c r="A343" s="6">
        <v>46143</v>
      </c>
      <c r="B343" s="7" t="s">
        <v>206</v>
      </c>
      <c r="C343" s="124" t="s">
        <v>599</v>
      </c>
      <c r="D343" s="31">
        <v>3337959044</v>
      </c>
      <c r="E343" s="31" t="s">
        <v>762</v>
      </c>
      <c r="F343" s="31">
        <v>20943220</v>
      </c>
      <c r="G343" s="31" t="s">
        <v>471</v>
      </c>
      <c r="H343" s="99" t="s">
        <v>763</v>
      </c>
      <c r="I343" s="31" t="s">
        <v>85</v>
      </c>
      <c r="J343" s="31" t="s">
        <v>84</v>
      </c>
      <c r="K343" s="96" t="s">
        <v>456</v>
      </c>
      <c r="L343" s="31" t="s">
        <v>202</v>
      </c>
      <c r="M343" s="122" t="s">
        <v>29</v>
      </c>
      <c r="N343" s="31" t="s">
        <v>415</v>
      </c>
      <c r="O343" s="31" t="s">
        <v>87</v>
      </c>
      <c r="P343" s="31"/>
      <c r="Q343" s="31"/>
      <c r="R343" s="31"/>
      <c r="S343" s="31"/>
      <c r="T343" s="31"/>
      <c r="U343" s="125" t="e">
        <f t="shared" ref="U343:U348" si="132">Q343/P343</f>
        <v>#DIV/0!</v>
      </c>
      <c r="V343" s="125" t="e">
        <f t="shared" ref="V343:V348" si="133">R343/Q343</f>
        <v>#DIV/0!</v>
      </c>
      <c r="W343" s="31"/>
      <c r="X343" s="31"/>
      <c r="Y343" s="31"/>
      <c r="Z343" s="31"/>
      <c r="AA343" s="31"/>
    </row>
    <row r="344" spans="1:27" s="72" customFormat="1">
      <c r="A344" s="6">
        <v>46143</v>
      </c>
      <c r="B344" s="7" t="s">
        <v>206</v>
      </c>
      <c r="C344" s="124" t="s">
        <v>347</v>
      </c>
      <c r="D344" s="31">
        <v>3337959050</v>
      </c>
      <c r="E344" s="31" t="s">
        <v>765</v>
      </c>
      <c r="F344" s="31">
        <v>20943246</v>
      </c>
      <c r="G344" s="31" t="s">
        <v>471</v>
      </c>
      <c r="H344" s="99" t="s">
        <v>764</v>
      </c>
      <c r="I344" s="31" t="s">
        <v>85</v>
      </c>
      <c r="J344" s="31" t="s">
        <v>84</v>
      </c>
      <c r="K344" s="96" t="s">
        <v>456</v>
      </c>
      <c r="L344" s="31" t="s">
        <v>202</v>
      </c>
      <c r="M344" s="122" t="s">
        <v>29</v>
      </c>
      <c r="N344" s="31" t="s">
        <v>749</v>
      </c>
      <c r="O344" s="31" t="s">
        <v>87</v>
      </c>
      <c r="P344" s="31"/>
      <c r="Q344" s="31"/>
      <c r="R344" s="31"/>
      <c r="S344" s="31"/>
      <c r="T344" s="31"/>
      <c r="U344" s="125" t="e">
        <f t="shared" si="132"/>
        <v>#DIV/0!</v>
      </c>
      <c r="V344" s="125" t="e">
        <f t="shared" si="133"/>
        <v>#DIV/0!</v>
      </c>
      <c r="W344" s="31"/>
      <c r="X344" s="31"/>
      <c r="Y344" s="31"/>
      <c r="Z344" s="31"/>
      <c r="AA344" s="31"/>
    </row>
    <row r="345" spans="1:27" s="72" customFormat="1">
      <c r="A345" s="6">
        <v>46143</v>
      </c>
      <c r="B345" s="7" t="s">
        <v>206</v>
      </c>
      <c r="C345" s="124" t="s">
        <v>599</v>
      </c>
      <c r="D345" s="31">
        <v>3337962432</v>
      </c>
      <c r="E345" s="31" t="s">
        <v>762</v>
      </c>
      <c r="F345" s="31">
        <v>20943326</v>
      </c>
      <c r="G345" s="31" t="s">
        <v>471</v>
      </c>
      <c r="H345" s="99" t="s">
        <v>763</v>
      </c>
      <c r="I345" s="31" t="s">
        <v>85</v>
      </c>
      <c r="J345" s="7" t="s">
        <v>751</v>
      </c>
      <c r="K345" s="96" t="s">
        <v>456</v>
      </c>
      <c r="L345" s="31" t="s">
        <v>202</v>
      </c>
      <c r="M345" s="122" t="s">
        <v>29</v>
      </c>
      <c r="N345" s="31" t="s">
        <v>415</v>
      </c>
      <c r="O345" s="31" t="s">
        <v>87</v>
      </c>
      <c r="P345" s="31"/>
      <c r="Q345" s="31"/>
      <c r="R345" s="31"/>
      <c r="S345" s="31"/>
      <c r="T345" s="31"/>
      <c r="U345" s="125" t="e">
        <f t="shared" si="132"/>
        <v>#DIV/0!</v>
      </c>
      <c r="V345" s="125" t="e">
        <f t="shared" si="133"/>
        <v>#DIV/0!</v>
      </c>
      <c r="W345" s="31"/>
      <c r="X345" s="31"/>
      <c r="Y345" s="31"/>
      <c r="Z345" s="31"/>
      <c r="AA345" s="31"/>
    </row>
    <row r="346" spans="1:27" s="72" customFormat="1">
      <c r="A346" s="6">
        <v>46143</v>
      </c>
      <c r="B346" s="7" t="s">
        <v>206</v>
      </c>
      <c r="C346" s="124" t="s">
        <v>347</v>
      </c>
      <c r="D346" s="31">
        <v>3337962882</v>
      </c>
      <c r="E346" s="31" t="s">
        <v>765</v>
      </c>
      <c r="F346" s="31">
        <v>20943330</v>
      </c>
      <c r="G346" s="31" t="s">
        <v>471</v>
      </c>
      <c r="H346" s="99" t="s">
        <v>764</v>
      </c>
      <c r="I346" s="31" t="s">
        <v>85</v>
      </c>
      <c r="J346" s="7" t="s">
        <v>751</v>
      </c>
      <c r="K346" s="96" t="s">
        <v>456</v>
      </c>
      <c r="L346" s="31" t="s">
        <v>202</v>
      </c>
      <c r="M346" s="122" t="s">
        <v>29</v>
      </c>
      <c r="N346" s="31" t="s">
        <v>749</v>
      </c>
      <c r="O346" s="31" t="s">
        <v>87</v>
      </c>
      <c r="P346" s="31"/>
      <c r="Q346" s="31"/>
      <c r="R346" s="31"/>
      <c r="S346" s="31"/>
      <c r="T346" s="31"/>
      <c r="U346" s="125" t="e">
        <f t="shared" si="132"/>
        <v>#DIV/0!</v>
      </c>
      <c r="V346" s="125" t="e">
        <f t="shared" si="133"/>
        <v>#DIV/0!</v>
      </c>
      <c r="W346" s="31"/>
      <c r="X346" s="31"/>
      <c r="Y346" s="31"/>
      <c r="Z346" s="31"/>
      <c r="AA346" s="31"/>
    </row>
    <row r="347" spans="1:27" s="72" customFormat="1">
      <c r="A347" s="6">
        <v>46143</v>
      </c>
      <c r="B347" s="7" t="s">
        <v>206</v>
      </c>
      <c r="C347" s="124" t="s">
        <v>599</v>
      </c>
      <c r="D347" s="31">
        <v>3337964144</v>
      </c>
      <c r="E347" s="31" t="s">
        <v>762</v>
      </c>
      <c r="F347" s="31">
        <v>20943327</v>
      </c>
      <c r="G347" s="31" t="s">
        <v>471</v>
      </c>
      <c r="H347" s="99" t="s">
        <v>763</v>
      </c>
      <c r="I347" s="31" t="s">
        <v>85</v>
      </c>
      <c r="J347" s="7" t="s">
        <v>754</v>
      </c>
      <c r="K347" s="96" t="s">
        <v>456</v>
      </c>
      <c r="L347" s="31" t="s">
        <v>202</v>
      </c>
      <c r="M347" s="122" t="s">
        <v>29</v>
      </c>
      <c r="N347" s="31" t="s">
        <v>415</v>
      </c>
      <c r="O347" s="31" t="s">
        <v>87</v>
      </c>
      <c r="P347" s="31"/>
      <c r="Q347" s="31"/>
      <c r="R347" s="31"/>
      <c r="S347" s="31"/>
      <c r="T347" s="31"/>
      <c r="U347" s="125" t="e">
        <f t="shared" si="132"/>
        <v>#DIV/0!</v>
      </c>
      <c r="V347" s="125" t="e">
        <f t="shared" si="133"/>
        <v>#DIV/0!</v>
      </c>
      <c r="W347" s="31"/>
      <c r="X347" s="31"/>
      <c r="Y347" s="31"/>
      <c r="Z347" s="31"/>
      <c r="AA347" s="31"/>
    </row>
    <row r="348" spans="1:27" s="72" customFormat="1">
      <c r="A348" s="6">
        <v>46143</v>
      </c>
      <c r="B348" s="7" t="s">
        <v>206</v>
      </c>
      <c r="C348" s="124" t="s">
        <v>347</v>
      </c>
      <c r="D348" s="31">
        <v>3337964260</v>
      </c>
      <c r="E348" s="31" t="s">
        <v>765</v>
      </c>
      <c r="F348" s="31">
        <v>20943331</v>
      </c>
      <c r="G348" s="31" t="s">
        <v>471</v>
      </c>
      <c r="H348" s="99" t="s">
        <v>764</v>
      </c>
      <c r="I348" s="31" t="s">
        <v>85</v>
      </c>
      <c r="J348" s="7" t="s">
        <v>754</v>
      </c>
      <c r="K348" s="96" t="s">
        <v>456</v>
      </c>
      <c r="L348" s="31" t="s">
        <v>202</v>
      </c>
      <c r="M348" s="122" t="s">
        <v>29</v>
      </c>
      <c r="N348" s="31" t="s">
        <v>749</v>
      </c>
      <c r="O348" s="31" t="s">
        <v>87</v>
      </c>
      <c r="P348" s="31"/>
      <c r="Q348" s="31"/>
      <c r="R348" s="31"/>
      <c r="S348" s="31"/>
      <c r="T348" s="31"/>
      <c r="U348" s="125" t="e">
        <f t="shared" si="132"/>
        <v>#DIV/0!</v>
      </c>
      <c r="V348" s="125" t="e">
        <f t="shared" si="133"/>
        <v>#DIV/0!</v>
      </c>
      <c r="W348" s="31"/>
      <c r="X348" s="31"/>
      <c r="Y348" s="31"/>
      <c r="Z348" s="31"/>
      <c r="AA348" s="31"/>
    </row>
    <row r="349" spans="1:27">
      <c r="A349" s="85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92"/>
      <c r="V349" s="92"/>
      <c r="W349" s="86"/>
      <c r="X349" s="86"/>
      <c r="Y349" s="86"/>
      <c r="Z349" s="86"/>
      <c r="AA349" s="87"/>
    </row>
    <row r="350" spans="1:27">
      <c r="A350" s="6">
        <v>46143</v>
      </c>
      <c r="B350" s="7" t="s">
        <v>206</v>
      </c>
      <c r="C350" s="50" t="s">
        <v>459</v>
      </c>
      <c r="D350" s="7">
        <v>3332177201</v>
      </c>
      <c r="E350" s="7" t="s">
        <v>463</v>
      </c>
      <c r="F350" s="7">
        <v>20918989</v>
      </c>
      <c r="G350" s="7" t="s">
        <v>31</v>
      </c>
      <c r="H350" s="77" t="s">
        <v>475</v>
      </c>
      <c r="I350" s="7" t="s">
        <v>85</v>
      </c>
      <c r="J350" s="7" t="s">
        <v>84</v>
      </c>
      <c r="K350" s="96" t="s">
        <v>456</v>
      </c>
      <c r="L350" s="7" t="s">
        <v>202</v>
      </c>
      <c r="M350" s="126" t="s">
        <v>31</v>
      </c>
      <c r="N350" s="7" t="s">
        <v>415</v>
      </c>
      <c r="O350" s="7" t="s">
        <v>87</v>
      </c>
      <c r="P350" s="7"/>
      <c r="Q350" s="7"/>
      <c r="R350" s="7"/>
      <c r="S350" s="7"/>
      <c r="T350" s="7"/>
      <c r="U350" s="125" t="e">
        <f t="shared" ref="U350:U355" si="134">Q350/P350</f>
        <v>#DIV/0!</v>
      </c>
      <c r="V350" s="125" t="e">
        <f t="shared" ref="V350:V355" si="135">R350/Q350</f>
        <v>#DIV/0!</v>
      </c>
      <c r="W350" s="7"/>
      <c r="X350" s="7"/>
      <c r="Y350" s="7"/>
      <c r="Z350" s="7"/>
      <c r="AA350" s="7"/>
    </row>
    <row r="351" spans="1:27">
      <c r="A351" s="6">
        <v>46143</v>
      </c>
      <c r="B351" s="7" t="s">
        <v>206</v>
      </c>
      <c r="C351" s="50" t="s">
        <v>347</v>
      </c>
      <c r="D351" s="7">
        <v>3332178023</v>
      </c>
      <c r="E351" s="7" t="s">
        <v>467</v>
      </c>
      <c r="F351" s="7">
        <v>20919028</v>
      </c>
      <c r="G351" s="7" t="s">
        <v>31</v>
      </c>
      <c r="H351" s="77" t="s">
        <v>476</v>
      </c>
      <c r="I351" s="7" t="s">
        <v>85</v>
      </c>
      <c r="J351" s="7" t="s">
        <v>84</v>
      </c>
      <c r="K351" s="96" t="s">
        <v>456</v>
      </c>
      <c r="L351" s="7" t="s">
        <v>202</v>
      </c>
      <c r="M351" s="126" t="s">
        <v>31</v>
      </c>
      <c r="N351" s="31" t="s">
        <v>749</v>
      </c>
      <c r="O351" s="7" t="s">
        <v>87</v>
      </c>
      <c r="P351" s="7"/>
      <c r="Q351" s="7"/>
      <c r="R351" s="7"/>
      <c r="S351" s="7"/>
      <c r="T351" s="7"/>
      <c r="U351" s="125" t="e">
        <f t="shared" si="134"/>
        <v>#DIV/0!</v>
      </c>
      <c r="V351" s="125" t="e">
        <f t="shared" si="135"/>
        <v>#DIV/0!</v>
      </c>
      <c r="W351" s="7"/>
      <c r="X351" s="7"/>
      <c r="Y351" s="7"/>
      <c r="Z351" s="7"/>
      <c r="AA351" s="7"/>
    </row>
    <row r="352" spans="1:27">
      <c r="A352" s="6">
        <v>46143</v>
      </c>
      <c r="B352" s="7" t="s">
        <v>206</v>
      </c>
      <c r="C352" s="50" t="s">
        <v>459</v>
      </c>
      <c r="D352" s="7">
        <v>3337851091</v>
      </c>
      <c r="E352" s="127" t="s">
        <v>752</v>
      </c>
      <c r="F352" s="7">
        <v>20942625</v>
      </c>
      <c r="G352" s="7" t="s">
        <v>31</v>
      </c>
      <c r="H352" s="77" t="s">
        <v>475</v>
      </c>
      <c r="I352" s="31" t="s">
        <v>85</v>
      </c>
      <c r="J352" s="7" t="s">
        <v>751</v>
      </c>
      <c r="K352" s="96" t="s">
        <v>456</v>
      </c>
      <c r="L352" s="7" t="s">
        <v>202</v>
      </c>
      <c r="M352" s="126" t="s">
        <v>31</v>
      </c>
      <c r="N352" s="7" t="s">
        <v>415</v>
      </c>
      <c r="O352" s="7" t="s">
        <v>87</v>
      </c>
      <c r="P352" s="7"/>
      <c r="Q352" s="7"/>
      <c r="R352" s="7"/>
      <c r="S352" s="7"/>
      <c r="T352" s="7"/>
      <c r="U352" s="125" t="e">
        <f t="shared" si="134"/>
        <v>#DIV/0!</v>
      </c>
      <c r="V352" s="125" t="e">
        <f t="shared" si="135"/>
        <v>#DIV/0!</v>
      </c>
      <c r="W352" s="7"/>
      <c r="X352" s="7"/>
      <c r="Y352" s="7"/>
      <c r="Z352" s="7"/>
      <c r="AA352" s="7"/>
    </row>
    <row r="353" spans="1:36">
      <c r="A353" s="6">
        <v>46143</v>
      </c>
      <c r="B353" s="7" t="s">
        <v>206</v>
      </c>
      <c r="C353" s="50" t="s">
        <v>347</v>
      </c>
      <c r="D353" s="7">
        <v>3337859602</v>
      </c>
      <c r="E353" s="7" t="s">
        <v>753</v>
      </c>
      <c r="F353" s="7">
        <v>20942633</v>
      </c>
      <c r="G353" s="7" t="s">
        <v>31</v>
      </c>
      <c r="H353" s="77" t="s">
        <v>476</v>
      </c>
      <c r="I353" s="31" t="s">
        <v>85</v>
      </c>
      <c r="J353" s="7" t="s">
        <v>751</v>
      </c>
      <c r="K353" s="96" t="s">
        <v>456</v>
      </c>
      <c r="L353" s="7" t="s">
        <v>202</v>
      </c>
      <c r="M353" s="126" t="s">
        <v>31</v>
      </c>
      <c r="N353" s="31" t="s">
        <v>749</v>
      </c>
      <c r="O353" s="7" t="s">
        <v>87</v>
      </c>
      <c r="P353" s="7"/>
      <c r="Q353" s="7"/>
      <c r="R353" s="7"/>
      <c r="S353" s="7"/>
      <c r="T353" s="7"/>
      <c r="U353" s="125" t="e">
        <f t="shared" si="134"/>
        <v>#DIV/0!</v>
      </c>
      <c r="V353" s="125" t="e">
        <f t="shared" si="135"/>
        <v>#DIV/0!</v>
      </c>
      <c r="W353" s="7"/>
      <c r="X353" s="7"/>
      <c r="Y353" s="7"/>
      <c r="Z353" s="7"/>
      <c r="AA353" s="7"/>
    </row>
    <row r="354" spans="1:36">
      <c r="A354" s="6">
        <v>46143</v>
      </c>
      <c r="B354" s="7" t="s">
        <v>206</v>
      </c>
      <c r="C354" s="50" t="s">
        <v>459</v>
      </c>
      <c r="D354" s="7">
        <v>3337871356</v>
      </c>
      <c r="E354" s="7" t="s">
        <v>752</v>
      </c>
      <c r="F354" s="128" t="s">
        <v>755</v>
      </c>
      <c r="G354" s="7" t="s">
        <v>31</v>
      </c>
      <c r="H354" s="77" t="s">
        <v>475</v>
      </c>
      <c r="I354" s="31" t="s">
        <v>85</v>
      </c>
      <c r="J354" s="7" t="s">
        <v>754</v>
      </c>
      <c r="K354" s="96" t="s">
        <v>456</v>
      </c>
      <c r="L354" s="7" t="s">
        <v>202</v>
      </c>
      <c r="M354" s="126" t="s">
        <v>31</v>
      </c>
      <c r="N354" s="7" t="s">
        <v>415</v>
      </c>
      <c r="O354" s="7" t="s">
        <v>87</v>
      </c>
      <c r="P354" s="7"/>
      <c r="Q354" s="7"/>
      <c r="R354" s="7"/>
      <c r="S354" s="7"/>
      <c r="T354" s="7"/>
      <c r="U354" s="125" t="e">
        <f t="shared" si="134"/>
        <v>#DIV/0!</v>
      </c>
      <c r="V354" s="125" t="e">
        <f t="shared" si="135"/>
        <v>#DIV/0!</v>
      </c>
      <c r="W354" s="7"/>
      <c r="X354" s="7"/>
      <c r="Y354" s="7"/>
      <c r="Z354" s="7"/>
      <c r="AA354" s="7"/>
    </row>
    <row r="355" spans="1:36">
      <c r="A355" s="6">
        <v>46143</v>
      </c>
      <c r="B355" s="7" t="s">
        <v>206</v>
      </c>
      <c r="C355" s="50" t="s">
        <v>347</v>
      </c>
      <c r="D355" s="7">
        <v>3337872104</v>
      </c>
      <c r="E355" s="7" t="s">
        <v>753</v>
      </c>
      <c r="F355" s="128" t="s">
        <v>756</v>
      </c>
      <c r="G355" s="7" t="s">
        <v>31</v>
      </c>
      <c r="H355" s="77" t="s">
        <v>476</v>
      </c>
      <c r="I355" s="31" t="s">
        <v>85</v>
      </c>
      <c r="J355" s="7" t="s">
        <v>754</v>
      </c>
      <c r="K355" s="96" t="s">
        <v>456</v>
      </c>
      <c r="L355" s="7" t="s">
        <v>202</v>
      </c>
      <c r="M355" s="126" t="s">
        <v>31</v>
      </c>
      <c r="N355" s="31" t="s">
        <v>749</v>
      </c>
      <c r="O355" s="7" t="s">
        <v>87</v>
      </c>
      <c r="P355" s="7"/>
      <c r="Q355" s="7"/>
      <c r="R355" s="7"/>
      <c r="S355" s="7"/>
      <c r="T355" s="7"/>
      <c r="U355" s="125" t="e">
        <f t="shared" si="134"/>
        <v>#DIV/0!</v>
      </c>
      <c r="V355" s="125" t="e">
        <f t="shared" si="135"/>
        <v>#DIV/0!</v>
      </c>
      <c r="W355" s="7"/>
      <c r="X355" s="7"/>
      <c r="Y355" s="7"/>
      <c r="Z355" s="7"/>
      <c r="AA355" s="7"/>
    </row>
    <row r="356" spans="1:36" ht="7.8" customHeight="1">
      <c r="A356" s="8"/>
      <c r="B356" s="9"/>
      <c r="C356" s="10"/>
      <c r="D356" s="57"/>
      <c r="E356" s="57"/>
      <c r="F356" s="57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1"/>
      <c r="V356" s="11"/>
      <c r="W356" s="10"/>
      <c r="X356" s="10"/>
      <c r="Y356" s="10"/>
      <c r="Z356" s="11"/>
      <c r="AA356" s="12"/>
    </row>
    <row r="357" spans="1:36">
      <c r="A357" s="6">
        <v>46144</v>
      </c>
      <c r="B357" s="7" t="s">
        <v>26</v>
      </c>
      <c r="C357" s="33" t="s">
        <v>89</v>
      </c>
      <c r="D357" s="18">
        <v>1655163</v>
      </c>
      <c r="E357" s="18" t="s">
        <v>79</v>
      </c>
      <c r="F357" s="18">
        <v>20858469</v>
      </c>
      <c r="G357" s="18" t="s">
        <v>80</v>
      </c>
      <c r="H357" s="18" t="s">
        <v>81</v>
      </c>
      <c r="I357" s="18" t="s">
        <v>85</v>
      </c>
      <c r="J357" s="18" t="s">
        <v>84</v>
      </c>
      <c r="K357" s="14"/>
      <c r="L357" s="18"/>
      <c r="M357" s="95" t="s">
        <v>83</v>
      </c>
      <c r="N357" s="19" t="s">
        <v>88</v>
      </c>
      <c r="O357" s="18" t="s">
        <v>87</v>
      </c>
      <c r="P357" s="7"/>
      <c r="Q357" s="7"/>
      <c r="R357" s="7"/>
      <c r="S357" s="7"/>
      <c r="T357" s="7"/>
      <c r="U357" s="125" t="e">
        <f>Q357/P357</f>
        <v>#DIV/0!</v>
      </c>
      <c r="V357" s="125" t="e">
        <f>R357/Q357</f>
        <v>#DIV/0!</v>
      </c>
      <c r="W357" s="7"/>
      <c r="X357" s="7"/>
      <c r="Y357" s="7"/>
      <c r="Z357" s="7"/>
      <c r="AA357" s="7"/>
      <c r="AE357" s="17" t="s">
        <v>125</v>
      </c>
    </row>
    <row r="358" spans="1:36">
      <c r="A358" s="6">
        <v>46144</v>
      </c>
      <c r="B358" s="7" t="s">
        <v>26</v>
      </c>
      <c r="C358" s="33" t="s">
        <v>89</v>
      </c>
      <c r="D358" s="18">
        <v>1655163</v>
      </c>
      <c r="E358" s="18" t="s">
        <v>214</v>
      </c>
      <c r="F358" s="18">
        <v>20884021</v>
      </c>
      <c r="G358" s="18" t="s">
        <v>212</v>
      </c>
      <c r="H358" s="18" t="s">
        <v>213</v>
      </c>
      <c r="I358" s="18" t="s">
        <v>85</v>
      </c>
      <c r="J358" s="18" t="s">
        <v>84</v>
      </c>
      <c r="K358" s="30"/>
      <c r="L358" s="18"/>
      <c r="M358" s="95" t="s">
        <v>83</v>
      </c>
      <c r="N358" s="19" t="s">
        <v>88</v>
      </c>
      <c r="O358" s="18" t="s">
        <v>87</v>
      </c>
      <c r="P358" s="7"/>
      <c r="Q358" s="7"/>
      <c r="R358" s="7"/>
      <c r="S358" s="7"/>
      <c r="T358" s="7"/>
      <c r="U358" s="125" t="e">
        <f t="shared" ref="U358:U364" si="136">Q358/P358</f>
        <v>#DIV/0!</v>
      </c>
      <c r="V358" s="125" t="e">
        <f t="shared" ref="V358:V364" si="137">R358/Q358</f>
        <v>#DIV/0!</v>
      </c>
      <c r="W358" s="7"/>
      <c r="X358" s="7"/>
      <c r="Y358" s="7"/>
      <c r="Z358" s="7"/>
      <c r="AA358" s="7"/>
      <c r="AE358" s="17"/>
    </row>
    <row r="359" spans="1:36">
      <c r="A359" s="6">
        <v>46144</v>
      </c>
      <c r="B359" s="7" t="s">
        <v>26</v>
      </c>
      <c r="C359" s="33" t="s">
        <v>876</v>
      </c>
      <c r="D359" s="18">
        <v>1655163</v>
      </c>
      <c r="E359" s="18" t="s">
        <v>873</v>
      </c>
      <c r="F359" s="18">
        <v>20949243</v>
      </c>
      <c r="G359" s="18" t="s">
        <v>874</v>
      </c>
      <c r="H359" s="18" t="s">
        <v>875</v>
      </c>
      <c r="I359" s="18" t="s">
        <v>85</v>
      </c>
      <c r="J359" s="18" t="s">
        <v>84</v>
      </c>
      <c r="K359" s="30"/>
      <c r="L359" s="18"/>
      <c r="M359" s="95" t="s">
        <v>83</v>
      </c>
      <c r="N359" s="19" t="s">
        <v>88</v>
      </c>
      <c r="O359" s="18" t="s">
        <v>87</v>
      </c>
      <c r="P359" s="7"/>
      <c r="Q359" s="7"/>
      <c r="R359" s="7"/>
      <c r="S359" s="7"/>
      <c r="T359" s="7"/>
      <c r="U359" s="125" t="e">
        <f t="shared" si="136"/>
        <v>#DIV/0!</v>
      </c>
      <c r="V359" s="125" t="e">
        <f t="shared" si="137"/>
        <v>#DIV/0!</v>
      </c>
      <c r="W359" s="7"/>
      <c r="X359" s="7"/>
      <c r="Y359" s="7"/>
      <c r="Z359" s="7"/>
      <c r="AA359" s="7"/>
      <c r="AE359" s="17"/>
    </row>
    <row r="360" spans="1:36">
      <c r="A360" s="6">
        <v>46144</v>
      </c>
      <c r="B360" s="7" t="s">
        <v>26</v>
      </c>
      <c r="C360" s="33" t="s">
        <v>89</v>
      </c>
      <c r="D360" s="18">
        <v>1655348</v>
      </c>
      <c r="E360" s="18" t="s">
        <v>878</v>
      </c>
      <c r="F360" s="18">
        <v>20949317</v>
      </c>
      <c r="G360" s="18" t="s">
        <v>80</v>
      </c>
      <c r="H360" s="18" t="s">
        <v>81</v>
      </c>
      <c r="I360" s="18" t="s">
        <v>85</v>
      </c>
      <c r="J360" s="18" t="s">
        <v>84</v>
      </c>
      <c r="K360" s="30"/>
      <c r="L360" s="18"/>
      <c r="M360" s="95" t="s">
        <v>83</v>
      </c>
      <c r="N360" s="19" t="s">
        <v>877</v>
      </c>
      <c r="O360" s="18" t="s">
        <v>87</v>
      </c>
      <c r="P360" s="7"/>
      <c r="Q360" s="7"/>
      <c r="R360" s="7"/>
      <c r="S360" s="7"/>
      <c r="T360" s="7"/>
      <c r="U360" s="125" t="e">
        <f t="shared" si="136"/>
        <v>#DIV/0!</v>
      </c>
      <c r="V360" s="125" t="e">
        <f t="shared" si="137"/>
        <v>#DIV/0!</v>
      </c>
      <c r="W360" s="7"/>
      <c r="X360" s="7"/>
      <c r="Y360" s="7"/>
      <c r="Z360" s="7"/>
      <c r="AA360" s="7"/>
      <c r="AE360" s="17"/>
    </row>
    <row r="361" spans="1:36">
      <c r="A361" s="6">
        <v>46144</v>
      </c>
      <c r="B361" s="7" t="s">
        <v>26</v>
      </c>
      <c r="C361" s="33" t="s">
        <v>89</v>
      </c>
      <c r="D361" s="18">
        <v>1655348</v>
      </c>
      <c r="E361" s="18" t="s">
        <v>879</v>
      </c>
      <c r="F361" s="18">
        <v>20949318</v>
      </c>
      <c r="G361" s="18" t="s">
        <v>212</v>
      </c>
      <c r="H361" s="18" t="s">
        <v>213</v>
      </c>
      <c r="I361" s="18" t="s">
        <v>85</v>
      </c>
      <c r="J361" s="18" t="s">
        <v>84</v>
      </c>
      <c r="K361" s="30"/>
      <c r="L361" s="18"/>
      <c r="M361" s="95" t="s">
        <v>83</v>
      </c>
      <c r="N361" s="19" t="s">
        <v>877</v>
      </c>
      <c r="O361" s="18" t="s">
        <v>87</v>
      </c>
      <c r="P361" s="7"/>
      <c r="Q361" s="7"/>
      <c r="R361" s="7"/>
      <c r="S361" s="7"/>
      <c r="T361" s="7"/>
      <c r="U361" s="125" t="e">
        <f t="shared" si="136"/>
        <v>#DIV/0!</v>
      </c>
      <c r="V361" s="125" t="e">
        <f t="shared" si="137"/>
        <v>#DIV/0!</v>
      </c>
      <c r="W361" s="7"/>
      <c r="X361" s="7"/>
      <c r="Y361" s="7"/>
      <c r="Z361" s="7"/>
      <c r="AA361" s="7"/>
      <c r="AE361" s="17"/>
    </row>
    <row r="362" spans="1:36">
      <c r="A362" s="6">
        <v>46144</v>
      </c>
      <c r="B362" s="7" t="s">
        <v>26</v>
      </c>
      <c r="C362" s="33" t="s">
        <v>876</v>
      </c>
      <c r="D362" s="18">
        <v>1655348</v>
      </c>
      <c r="E362" s="18" t="s">
        <v>880</v>
      </c>
      <c r="F362" s="18">
        <v>20949319</v>
      </c>
      <c r="G362" s="18" t="s">
        <v>874</v>
      </c>
      <c r="H362" s="18" t="s">
        <v>875</v>
      </c>
      <c r="I362" s="18" t="s">
        <v>85</v>
      </c>
      <c r="J362" s="18" t="s">
        <v>84</v>
      </c>
      <c r="K362" s="30"/>
      <c r="L362" s="18"/>
      <c r="M362" s="95" t="s">
        <v>83</v>
      </c>
      <c r="N362" s="19" t="s">
        <v>877</v>
      </c>
      <c r="O362" s="18" t="s">
        <v>87</v>
      </c>
      <c r="P362" s="7"/>
      <c r="Q362" s="7"/>
      <c r="R362" s="7"/>
      <c r="S362" s="7"/>
      <c r="T362" s="7"/>
      <c r="U362" s="125" t="e">
        <f t="shared" si="136"/>
        <v>#DIV/0!</v>
      </c>
      <c r="V362" s="125" t="e">
        <f t="shared" si="137"/>
        <v>#DIV/0!</v>
      </c>
      <c r="W362" s="7"/>
      <c r="X362" s="7"/>
      <c r="Y362" s="7"/>
      <c r="Z362" s="7"/>
      <c r="AA362" s="7"/>
      <c r="AE362" s="17"/>
    </row>
    <row r="363" spans="1:36">
      <c r="A363" s="6">
        <v>46144</v>
      </c>
      <c r="B363" s="7" t="s">
        <v>26</v>
      </c>
      <c r="C363" s="33" t="s">
        <v>89</v>
      </c>
      <c r="D363" s="18">
        <v>1655164</v>
      </c>
      <c r="E363" s="18" t="s">
        <v>91</v>
      </c>
      <c r="F363" s="18">
        <v>20859118</v>
      </c>
      <c r="G363" s="18" t="s">
        <v>90</v>
      </c>
      <c r="H363" s="18" t="s">
        <v>92</v>
      </c>
      <c r="I363" s="18" t="s">
        <v>85</v>
      </c>
      <c r="J363" s="18" t="s">
        <v>84</v>
      </c>
      <c r="K363" s="29"/>
      <c r="L363" s="18"/>
      <c r="M363" s="95" t="s">
        <v>83</v>
      </c>
      <c r="N363" s="19" t="s">
        <v>93</v>
      </c>
      <c r="O363" s="18" t="s">
        <v>87</v>
      </c>
      <c r="P363" s="7"/>
      <c r="Q363" s="7"/>
      <c r="R363" s="7"/>
      <c r="S363" s="7"/>
      <c r="T363" s="7"/>
      <c r="U363" s="125" t="e">
        <f t="shared" si="136"/>
        <v>#DIV/0!</v>
      </c>
      <c r="V363" s="125" t="e">
        <f t="shared" si="137"/>
        <v>#DIV/0!</v>
      </c>
      <c r="W363" s="7"/>
      <c r="X363" s="7"/>
      <c r="Y363" s="7"/>
      <c r="Z363" s="7"/>
      <c r="AA363" s="7"/>
      <c r="AE363" t="s">
        <v>82</v>
      </c>
      <c r="AF363">
        <v>115</v>
      </c>
      <c r="AG363">
        <v>11</v>
      </c>
      <c r="AH363">
        <v>0</v>
      </c>
      <c r="AI363" s="28">
        <f>AG363/AF363</f>
        <v>9.5652173913043481E-2</v>
      </c>
      <c r="AJ363" s="27">
        <f>AH363/AG363</f>
        <v>0</v>
      </c>
    </row>
    <row r="364" spans="1:36">
      <c r="A364" s="6">
        <v>46144</v>
      </c>
      <c r="B364" s="7" t="s">
        <v>26</v>
      </c>
      <c r="C364" s="33" t="s">
        <v>89</v>
      </c>
      <c r="D364" s="18">
        <v>1655187</v>
      </c>
      <c r="E364" s="18" t="s">
        <v>131</v>
      </c>
      <c r="F364" s="18">
        <v>20865659</v>
      </c>
      <c r="G364" s="18" t="s">
        <v>103</v>
      </c>
      <c r="H364" s="18" t="s">
        <v>133</v>
      </c>
      <c r="I364" s="18" t="s">
        <v>85</v>
      </c>
      <c r="J364" s="18" t="s">
        <v>84</v>
      </c>
      <c r="K364" s="30"/>
      <c r="L364" s="18"/>
      <c r="M364" s="95" t="s">
        <v>83</v>
      </c>
      <c r="N364" s="19" t="s">
        <v>132</v>
      </c>
      <c r="O364" s="18" t="s">
        <v>87</v>
      </c>
      <c r="P364" s="7"/>
      <c r="Q364" s="7"/>
      <c r="R364" s="7"/>
      <c r="S364" s="7"/>
      <c r="T364" s="7"/>
      <c r="U364" s="125" t="e">
        <f t="shared" si="136"/>
        <v>#DIV/0!</v>
      </c>
      <c r="V364" s="125" t="e">
        <f t="shared" si="137"/>
        <v>#DIV/0!</v>
      </c>
      <c r="W364" s="7"/>
      <c r="X364" s="7"/>
      <c r="Y364" s="7"/>
      <c r="Z364" s="7"/>
      <c r="AA364" s="7"/>
      <c r="AI364" s="28"/>
      <c r="AJ364" s="27"/>
    </row>
    <row r="365" spans="1:36">
      <c r="A365" s="85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92"/>
      <c r="V365" s="92"/>
      <c r="W365" s="86"/>
      <c r="X365" s="86"/>
      <c r="Y365" s="86"/>
      <c r="Z365" s="86"/>
      <c r="AA365" s="87"/>
    </row>
    <row r="366" spans="1:36">
      <c r="A366" s="6">
        <v>46144</v>
      </c>
      <c r="B366" s="7" t="s">
        <v>26</v>
      </c>
      <c r="C366" s="50" t="s">
        <v>304</v>
      </c>
      <c r="D366" s="7">
        <v>3337953065</v>
      </c>
      <c r="E366" s="7" t="s">
        <v>758</v>
      </c>
      <c r="F366" s="7">
        <v>20942854</v>
      </c>
      <c r="G366" s="31" t="s">
        <v>198</v>
      </c>
      <c r="H366" s="7" t="s">
        <v>757</v>
      </c>
      <c r="I366" s="7" t="s">
        <v>85</v>
      </c>
      <c r="J366" s="7" t="s">
        <v>84</v>
      </c>
      <c r="K366" s="96" t="s">
        <v>456</v>
      </c>
      <c r="L366" s="7" t="s">
        <v>202</v>
      </c>
      <c r="M366" s="122" t="s">
        <v>201</v>
      </c>
      <c r="N366" s="7" t="s">
        <v>415</v>
      </c>
      <c r="O366" s="7" t="s">
        <v>87</v>
      </c>
      <c r="P366" s="7"/>
      <c r="Q366" s="7"/>
      <c r="R366" s="7"/>
      <c r="S366" s="7"/>
      <c r="T366" s="7"/>
      <c r="U366" s="125" t="e">
        <f t="shared" ref="U366:U371" si="138">Q366/P366</f>
        <v>#DIV/0!</v>
      </c>
      <c r="V366" s="125" t="e">
        <f t="shared" ref="V366:V371" si="139">R366/Q366</f>
        <v>#DIV/0!</v>
      </c>
      <c r="W366" s="7"/>
      <c r="X366" s="7"/>
      <c r="Y366" s="7"/>
      <c r="Z366" s="7"/>
      <c r="AA366" s="7"/>
    </row>
    <row r="367" spans="1:36">
      <c r="A367" s="6">
        <v>46144</v>
      </c>
      <c r="B367" s="7" t="s">
        <v>26</v>
      </c>
      <c r="C367" s="50" t="s">
        <v>347</v>
      </c>
      <c r="D367" s="7">
        <v>3337953071</v>
      </c>
      <c r="E367" s="7" t="s">
        <v>760</v>
      </c>
      <c r="F367" s="7">
        <v>20942934</v>
      </c>
      <c r="G367" s="31" t="s">
        <v>198</v>
      </c>
      <c r="H367" s="7" t="s">
        <v>759</v>
      </c>
      <c r="I367" s="7" t="s">
        <v>85</v>
      </c>
      <c r="J367" s="7" t="s">
        <v>84</v>
      </c>
      <c r="K367" s="96" t="s">
        <v>456</v>
      </c>
      <c r="L367" s="7" t="s">
        <v>202</v>
      </c>
      <c r="M367" s="122" t="s">
        <v>201</v>
      </c>
      <c r="N367" s="7" t="s">
        <v>749</v>
      </c>
      <c r="O367" s="7" t="s">
        <v>87</v>
      </c>
      <c r="P367" s="7"/>
      <c r="Q367" s="7"/>
      <c r="R367" s="7"/>
      <c r="S367" s="7"/>
      <c r="T367" s="7"/>
      <c r="U367" s="125" t="e">
        <f t="shared" si="138"/>
        <v>#DIV/0!</v>
      </c>
      <c r="V367" s="125" t="e">
        <f t="shared" si="139"/>
        <v>#DIV/0!</v>
      </c>
      <c r="W367" s="7"/>
      <c r="X367" s="7"/>
      <c r="Y367" s="7"/>
      <c r="Z367" s="7"/>
      <c r="AA367" s="7"/>
    </row>
    <row r="368" spans="1:36">
      <c r="A368" s="6">
        <v>46144</v>
      </c>
      <c r="B368" s="7" t="s">
        <v>26</v>
      </c>
      <c r="C368" s="50" t="s">
        <v>304</v>
      </c>
      <c r="D368" s="7">
        <v>3337954458</v>
      </c>
      <c r="E368" s="7" t="s">
        <v>758</v>
      </c>
      <c r="F368" s="7">
        <v>20943184</v>
      </c>
      <c r="G368" s="31" t="s">
        <v>198</v>
      </c>
      <c r="H368" s="7" t="s">
        <v>757</v>
      </c>
      <c r="I368" s="7" t="s">
        <v>85</v>
      </c>
      <c r="J368" s="7" t="s">
        <v>751</v>
      </c>
      <c r="K368" s="96" t="s">
        <v>456</v>
      </c>
      <c r="L368" s="7" t="s">
        <v>202</v>
      </c>
      <c r="M368" s="122" t="s">
        <v>201</v>
      </c>
      <c r="N368" s="7" t="s">
        <v>415</v>
      </c>
      <c r="O368" s="7" t="s">
        <v>87</v>
      </c>
      <c r="P368" s="7"/>
      <c r="Q368" s="7"/>
      <c r="R368" s="7"/>
      <c r="S368" s="7"/>
      <c r="T368" s="7"/>
      <c r="U368" s="125" t="e">
        <f t="shared" si="138"/>
        <v>#DIV/0!</v>
      </c>
      <c r="V368" s="125" t="e">
        <f t="shared" si="139"/>
        <v>#DIV/0!</v>
      </c>
      <c r="W368" s="7"/>
      <c r="X368" s="7"/>
      <c r="Y368" s="7"/>
      <c r="Z368" s="7"/>
      <c r="AA368" s="7"/>
    </row>
    <row r="369" spans="1:27">
      <c r="A369" s="6">
        <v>46144</v>
      </c>
      <c r="B369" s="7" t="s">
        <v>26</v>
      </c>
      <c r="C369" s="50" t="s">
        <v>347</v>
      </c>
      <c r="D369" s="7">
        <v>3337954666</v>
      </c>
      <c r="E369" s="7" t="s">
        <v>760</v>
      </c>
      <c r="F369" s="7">
        <v>20943187</v>
      </c>
      <c r="G369" s="31" t="s">
        <v>198</v>
      </c>
      <c r="H369" s="7" t="s">
        <v>759</v>
      </c>
      <c r="I369" s="7" t="s">
        <v>85</v>
      </c>
      <c r="J369" s="7" t="s">
        <v>751</v>
      </c>
      <c r="K369" s="96" t="s">
        <v>456</v>
      </c>
      <c r="L369" s="7" t="s">
        <v>202</v>
      </c>
      <c r="M369" s="122" t="s">
        <v>201</v>
      </c>
      <c r="N369" s="7" t="s">
        <v>749</v>
      </c>
      <c r="O369" s="7" t="s">
        <v>87</v>
      </c>
      <c r="P369" s="7"/>
      <c r="Q369" s="7"/>
      <c r="R369" s="7"/>
      <c r="S369" s="7"/>
      <c r="T369" s="7"/>
      <c r="U369" s="125" t="e">
        <f t="shared" si="138"/>
        <v>#DIV/0!</v>
      </c>
      <c r="V369" s="125" t="e">
        <f t="shared" si="139"/>
        <v>#DIV/0!</v>
      </c>
      <c r="W369" s="7"/>
      <c r="X369" s="7"/>
      <c r="Y369" s="7"/>
      <c r="Z369" s="7"/>
      <c r="AA369" s="7"/>
    </row>
    <row r="370" spans="1:27">
      <c r="A370" s="6">
        <v>46144</v>
      </c>
      <c r="B370" s="7" t="s">
        <v>26</v>
      </c>
      <c r="C370" s="50" t="s">
        <v>304</v>
      </c>
      <c r="D370" s="7">
        <v>3337955897</v>
      </c>
      <c r="E370" s="7" t="s">
        <v>758</v>
      </c>
      <c r="F370" s="7">
        <v>20943185</v>
      </c>
      <c r="G370" s="31" t="s">
        <v>198</v>
      </c>
      <c r="H370" s="7" t="s">
        <v>757</v>
      </c>
      <c r="I370" s="7" t="s">
        <v>85</v>
      </c>
      <c r="J370" s="7" t="s">
        <v>754</v>
      </c>
      <c r="K370" s="96" t="s">
        <v>456</v>
      </c>
      <c r="L370" s="7" t="s">
        <v>202</v>
      </c>
      <c r="M370" s="122" t="s">
        <v>201</v>
      </c>
      <c r="N370" s="7" t="s">
        <v>415</v>
      </c>
      <c r="O370" s="7" t="s">
        <v>87</v>
      </c>
      <c r="P370" s="7"/>
      <c r="Q370" s="7"/>
      <c r="R370" s="7"/>
      <c r="S370" s="7"/>
      <c r="T370" s="7"/>
      <c r="U370" s="125" t="e">
        <f t="shared" si="138"/>
        <v>#DIV/0!</v>
      </c>
      <c r="V370" s="125" t="e">
        <f t="shared" si="139"/>
        <v>#DIV/0!</v>
      </c>
      <c r="W370" s="7"/>
      <c r="X370" s="7"/>
      <c r="Y370" s="7"/>
      <c r="Z370" s="7"/>
      <c r="AA370" s="7"/>
    </row>
    <row r="371" spans="1:27">
      <c r="A371" s="6">
        <v>46144</v>
      </c>
      <c r="B371" s="7" t="s">
        <v>26</v>
      </c>
      <c r="C371" s="50" t="s">
        <v>347</v>
      </c>
      <c r="D371" s="7">
        <v>3337955921</v>
      </c>
      <c r="E371" s="7" t="s">
        <v>760</v>
      </c>
      <c r="F371" s="7">
        <v>20943188</v>
      </c>
      <c r="G371" s="31" t="s">
        <v>198</v>
      </c>
      <c r="H371" s="7" t="s">
        <v>759</v>
      </c>
      <c r="I371" s="7" t="s">
        <v>85</v>
      </c>
      <c r="J371" s="7" t="s">
        <v>754</v>
      </c>
      <c r="K371" s="96" t="s">
        <v>456</v>
      </c>
      <c r="L371" s="7" t="s">
        <v>202</v>
      </c>
      <c r="M371" s="122" t="s">
        <v>201</v>
      </c>
      <c r="N371" s="7" t="s">
        <v>749</v>
      </c>
      <c r="O371" s="7" t="s">
        <v>87</v>
      </c>
      <c r="P371" s="7"/>
      <c r="Q371" s="7"/>
      <c r="R371" s="7"/>
      <c r="S371" s="7"/>
      <c r="T371" s="7"/>
      <c r="U371" s="125" t="e">
        <f t="shared" si="138"/>
        <v>#DIV/0!</v>
      </c>
      <c r="V371" s="125" t="e">
        <f t="shared" si="139"/>
        <v>#DIV/0!</v>
      </c>
      <c r="W371" s="7"/>
      <c r="X371" s="7"/>
      <c r="Y371" s="7"/>
      <c r="Z371" s="7"/>
      <c r="AA371" s="7"/>
    </row>
    <row r="372" spans="1:27">
      <c r="A372" s="85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92"/>
      <c r="V372" s="92"/>
      <c r="W372" s="86"/>
      <c r="X372" s="86"/>
      <c r="Y372" s="86"/>
      <c r="Z372" s="86"/>
      <c r="AA372" s="87"/>
    </row>
    <row r="373" spans="1:27" s="72" customFormat="1">
      <c r="A373" s="6">
        <v>46144</v>
      </c>
      <c r="B373" s="7" t="s">
        <v>26</v>
      </c>
      <c r="C373" s="124" t="s">
        <v>599</v>
      </c>
      <c r="D373" s="31">
        <v>3337959044</v>
      </c>
      <c r="E373" s="31" t="s">
        <v>762</v>
      </c>
      <c r="F373" s="31">
        <v>20943220</v>
      </c>
      <c r="G373" s="31" t="s">
        <v>471</v>
      </c>
      <c r="H373" s="99" t="s">
        <v>763</v>
      </c>
      <c r="I373" s="31" t="s">
        <v>85</v>
      </c>
      <c r="J373" s="31" t="s">
        <v>84</v>
      </c>
      <c r="K373" s="96" t="s">
        <v>456</v>
      </c>
      <c r="L373" s="31" t="s">
        <v>202</v>
      </c>
      <c r="M373" s="122" t="s">
        <v>29</v>
      </c>
      <c r="N373" s="31" t="s">
        <v>415</v>
      </c>
      <c r="O373" s="31" t="s">
        <v>87</v>
      </c>
      <c r="P373" s="31"/>
      <c r="Q373" s="31"/>
      <c r="R373" s="31"/>
      <c r="S373" s="31"/>
      <c r="T373" s="31"/>
      <c r="U373" s="125" t="e">
        <f t="shared" ref="U373:U378" si="140">Q373/P373</f>
        <v>#DIV/0!</v>
      </c>
      <c r="V373" s="125" t="e">
        <f t="shared" ref="V373:V378" si="141">R373/Q373</f>
        <v>#DIV/0!</v>
      </c>
      <c r="W373" s="31"/>
      <c r="X373" s="31"/>
      <c r="Y373" s="31"/>
      <c r="Z373" s="31"/>
      <c r="AA373" s="31"/>
    </row>
    <row r="374" spans="1:27" s="72" customFormat="1">
      <c r="A374" s="6">
        <v>46144</v>
      </c>
      <c r="B374" s="7" t="s">
        <v>26</v>
      </c>
      <c r="C374" s="124" t="s">
        <v>347</v>
      </c>
      <c r="D374" s="31">
        <v>3337959050</v>
      </c>
      <c r="E374" s="31" t="s">
        <v>765</v>
      </c>
      <c r="F374" s="31">
        <v>20943246</v>
      </c>
      <c r="G374" s="31" t="s">
        <v>471</v>
      </c>
      <c r="H374" s="99" t="s">
        <v>764</v>
      </c>
      <c r="I374" s="31" t="s">
        <v>85</v>
      </c>
      <c r="J374" s="31" t="s">
        <v>84</v>
      </c>
      <c r="K374" s="96" t="s">
        <v>456</v>
      </c>
      <c r="L374" s="31" t="s">
        <v>202</v>
      </c>
      <c r="M374" s="122" t="s">
        <v>29</v>
      </c>
      <c r="N374" s="31" t="s">
        <v>749</v>
      </c>
      <c r="O374" s="31" t="s">
        <v>87</v>
      </c>
      <c r="P374" s="31"/>
      <c r="Q374" s="31"/>
      <c r="R374" s="31"/>
      <c r="S374" s="31"/>
      <c r="T374" s="31"/>
      <c r="U374" s="125" t="e">
        <f t="shared" si="140"/>
        <v>#DIV/0!</v>
      </c>
      <c r="V374" s="125" t="e">
        <f t="shared" si="141"/>
        <v>#DIV/0!</v>
      </c>
      <c r="W374" s="31"/>
      <c r="X374" s="31"/>
      <c r="Y374" s="31"/>
      <c r="Z374" s="31"/>
      <c r="AA374" s="31"/>
    </row>
    <row r="375" spans="1:27" s="72" customFormat="1">
      <c r="A375" s="6">
        <v>46144</v>
      </c>
      <c r="B375" s="7" t="s">
        <v>26</v>
      </c>
      <c r="C375" s="124" t="s">
        <v>599</v>
      </c>
      <c r="D375" s="31">
        <v>3337962432</v>
      </c>
      <c r="E375" s="31" t="s">
        <v>762</v>
      </c>
      <c r="F375" s="31">
        <v>20943326</v>
      </c>
      <c r="G375" s="31" t="s">
        <v>471</v>
      </c>
      <c r="H375" s="99" t="s">
        <v>763</v>
      </c>
      <c r="I375" s="31" t="s">
        <v>85</v>
      </c>
      <c r="J375" s="7" t="s">
        <v>751</v>
      </c>
      <c r="K375" s="96" t="s">
        <v>456</v>
      </c>
      <c r="L375" s="31" t="s">
        <v>202</v>
      </c>
      <c r="M375" s="122" t="s">
        <v>29</v>
      </c>
      <c r="N375" s="31" t="s">
        <v>415</v>
      </c>
      <c r="O375" s="31" t="s">
        <v>87</v>
      </c>
      <c r="P375" s="31"/>
      <c r="Q375" s="31"/>
      <c r="R375" s="31"/>
      <c r="S375" s="31"/>
      <c r="T375" s="31"/>
      <c r="U375" s="125" t="e">
        <f t="shared" si="140"/>
        <v>#DIV/0!</v>
      </c>
      <c r="V375" s="125" t="e">
        <f t="shared" si="141"/>
        <v>#DIV/0!</v>
      </c>
      <c r="W375" s="31"/>
      <c r="X375" s="31"/>
      <c r="Y375" s="31"/>
      <c r="Z375" s="31"/>
      <c r="AA375" s="31"/>
    </row>
    <row r="376" spans="1:27" s="72" customFormat="1">
      <c r="A376" s="6">
        <v>46144</v>
      </c>
      <c r="B376" s="7" t="s">
        <v>26</v>
      </c>
      <c r="C376" s="124" t="s">
        <v>347</v>
      </c>
      <c r="D376" s="31">
        <v>3337962882</v>
      </c>
      <c r="E376" s="31" t="s">
        <v>765</v>
      </c>
      <c r="F376" s="31">
        <v>20943330</v>
      </c>
      <c r="G376" s="31" t="s">
        <v>471</v>
      </c>
      <c r="H376" s="99" t="s">
        <v>764</v>
      </c>
      <c r="I376" s="31" t="s">
        <v>85</v>
      </c>
      <c r="J376" s="7" t="s">
        <v>751</v>
      </c>
      <c r="K376" s="96" t="s">
        <v>456</v>
      </c>
      <c r="L376" s="31" t="s">
        <v>202</v>
      </c>
      <c r="M376" s="122" t="s">
        <v>29</v>
      </c>
      <c r="N376" s="31" t="s">
        <v>749</v>
      </c>
      <c r="O376" s="31" t="s">
        <v>87</v>
      </c>
      <c r="P376" s="31"/>
      <c r="Q376" s="31"/>
      <c r="R376" s="31"/>
      <c r="S376" s="31"/>
      <c r="T376" s="31"/>
      <c r="U376" s="125" t="e">
        <f t="shared" si="140"/>
        <v>#DIV/0!</v>
      </c>
      <c r="V376" s="125" t="e">
        <f t="shared" si="141"/>
        <v>#DIV/0!</v>
      </c>
      <c r="W376" s="31"/>
      <c r="X376" s="31"/>
      <c r="Y376" s="31"/>
      <c r="Z376" s="31"/>
      <c r="AA376" s="31"/>
    </row>
    <row r="377" spans="1:27" s="72" customFormat="1">
      <c r="A377" s="6">
        <v>46144</v>
      </c>
      <c r="B377" s="7" t="s">
        <v>26</v>
      </c>
      <c r="C377" s="124" t="s">
        <v>599</v>
      </c>
      <c r="D377" s="31">
        <v>3337964144</v>
      </c>
      <c r="E377" s="31" t="s">
        <v>762</v>
      </c>
      <c r="F377" s="31">
        <v>20943327</v>
      </c>
      <c r="G377" s="31" t="s">
        <v>471</v>
      </c>
      <c r="H377" s="99" t="s">
        <v>763</v>
      </c>
      <c r="I377" s="31" t="s">
        <v>85</v>
      </c>
      <c r="J377" s="7" t="s">
        <v>754</v>
      </c>
      <c r="K377" s="96" t="s">
        <v>456</v>
      </c>
      <c r="L377" s="31" t="s">
        <v>202</v>
      </c>
      <c r="M377" s="122" t="s">
        <v>29</v>
      </c>
      <c r="N377" s="31" t="s">
        <v>415</v>
      </c>
      <c r="O377" s="31" t="s">
        <v>87</v>
      </c>
      <c r="P377" s="31"/>
      <c r="Q377" s="31"/>
      <c r="R377" s="31"/>
      <c r="S377" s="31"/>
      <c r="T377" s="31"/>
      <c r="U377" s="125" t="e">
        <f t="shared" si="140"/>
        <v>#DIV/0!</v>
      </c>
      <c r="V377" s="125" t="e">
        <f t="shared" si="141"/>
        <v>#DIV/0!</v>
      </c>
      <c r="W377" s="31"/>
      <c r="X377" s="31"/>
      <c r="Y377" s="31"/>
      <c r="Z377" s="31"/>
      <c r="AA377" s="31"/>
    </row>
    <row r="378" spans="1:27" s="72" customFormat="1">
      <c r="A378" s="6">
        <v>46144</v>
      </c>
      <c r="B378" s="7" t="s">
        <v>26</v>
      </c>
      <c r="C378" s="124" t="s">
        <v>347</v>
      </c>
      <c r="D378" s="31">
        <v>3337964260</v>
      </c>
      <c r="E378" s="31" t="s">
        <v>765</v>
      </c>
      <c r="F378" s="31">
        <v>20943331</v>
      </c>
      <c r="G378" s="31" t="s">
        <v>471</v>
      </c>
      <c r="H378" s="99" t="s">
        <v>764</v>
      </c>
      <c r="I378" s="31" t="s">
        <v>85</v>
      </c>
      <c r="J378" s="7" t="s">
        <v>754</v>
      </c>
      <c r="K378" s="96" t="s">
        <v>456</v>
      </c>
      <c r="L378" s="31" t="s">
        <v>202</v>
      </c>
      <c r="M378" s="122" t="s">
        <v>29</v>
      </c>
      <c r="N378" s="31" t="s">
        <v>749</v>
      </c>
      <c r="O378" s="31" t="s">
        <v>87</v>
      </c>
      <c r="P378" s="31"/>
      <c r="Q378" s="31"/>
      <c r="R378" s="31"/>
      <c r="S378" s="31"/>
      <c r="T378" s="31"/>
      <c r="U378" s="125" t="e">
        <f t="shared" si="140"/>
        <v>#DIV/0!</v>
      </c>
      <c r="V378" s="125" t="e">
        <f t="shared" si="141"/>
        <v>#DIV/0!</v>
      </c>
      <c r="W378" s="31"/>
      <c r="X378" s="31"/>
      <c r="Y378" s="31"/>
      <c r="Z378" s="31"/>
      <c r="AA378" s="31"/>
    </row>
    <row r="379" spans="1:27">
      <c r="A379" s="85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92"/>
      <c r="V379" s="92"/>
      <c r="W379" s="86"/>
      <c r="X379" s="86"/>
      <c r="Y379" s="86"/>
      <c r="Z379" s="86"/>
      <c r="AA379" s="87"/>
    </row>
    <row r="380" spans="1:27">
      <c r="A380" s="6">
        <v>46144</v>
      </c>
      <c r="B380" s="7" t="s">
        <v>26</v>
      </c>
      <c r="C380" s="50" t="s">
        <v>459</v>
      </c>
      <c r="D380" s="7">
        <v>3332177201</v>
      </c>
      <c r="E380" s="7" t="s">
        <v>463</v>
      </c>
      <c r="F380" s="7">
        <v>20918989</v>
      </c>
      <c r="G380" s="7" t="s">
        <v>31</v>
      </c>
      <c r="H380" s="77" t="s">
        <v>475</v>
      </c>
      <c r="I380" s="7" t="s">
        <v>85</v>
      </c>
      <c r="J380" s="7" t="s">
        <v>84</v>
      </c>
      <c r="K380" s="96" t="s">
        <v>456</v>
      </c>
      <c r="L380" s="7" t="s">
        <v>202</v>
      </c>
      <c r="M380" s="126" t="s">
        <v>31</v>
      </c>
      <c r="N380" s="7" t="s">
        <v>415</v>
      </c>
      <c r="O380" s="7" t="s">
        <v>87</v>
      </c>
      <c r="P380" s="7"/>
      <c r="Q380" s="7"/>
      <c r="R380" s="7"/>
      <c r="S380" s="7"/>
      <c r="T380" s="7"/>
      <c r="U380" s="125" t="e">
        <f t="shared" ref="U380:U385" si="142">Q380/P380</f>
        <v>#DIV/0!</v>
      </c>
      <c r="V380" s="125" t="e">
        <f t="shared" ref="V380:V385" si="143">R380/Q380</f>
        <v>#DIV/0!</v>
      </c>
      <c r="W380" s="7"/>
      <c r="X380" s="7"/>
      <c r="Y380" s="7"/>
      <c r="Z380" s="7"/>
      <c r="AA380" s="7"/>
    </row>
    <row r="381" spans="1:27">
      <c r="A381" s="6">
        <v>46144</v>
      </c>
      <c r="B381" s="7" t="s">
        <v>26</v>
      </c>
      <c r="C381" s="50" t="s">
        <v>347</v>
      </c>
      <c r="D381" s="7">
        <v>3332178023</v>
      </c>
      <c r="E381" s="7" t="s">
        <v>467</v>
      </c>
      <c r="F381" s="7">
        <v>20919028</v>
      </c>
      <c r="G381" s="7" t="s">
        <v>31</v>
      </c>
      <c r="H381" s="77" t="s">
        <v>476</v>
      </c>
      <c r="I381" s="7" t="s">
        <v>85</v>
      </c>
      <c r="J381" s="7" t="s">
        <v>84</v>
      </c>
      <c r="K381" s="96" t="s">
        <v>456</v>
      </c>
      <c r="L381" s="7" t="s">
        <v>202</v>
      </c>
      <c r="M381" s="126" t="s">
        <v>31</v>
      </c>
      <c r="N381" s="31" t="s">
        <v>749</v>
      </c>
      <c r="O381" s="7" t="s">
        <v>87</v>
      </c>
      <c r="P381" s="7"/>
      <c r="Q381" s="7"/>
      <c r="R381" s="7"/>
      <c r="S381" s="7"/>
      <c r="T381" s="7"/>
      <c r="U381" s="125" t="e">
        <f t="shared" si="142"/>
        <v>#DIV/0!</v>
      </c>
      <c r="V381" s="125" t="e">
        <f t="shared" si="143"/>
        <v>#DIV/0!</v>
      </c>
      <c r="W381" s="7"/>
      <c r="X381" s="7"/>
      <c r="Y381" s="7"/>
      <c r="Z381" s="7"/>
      <c r="AA381" s="7"/>
    </row>
    <row r="382" spans="1:27">
      <c r="A382" s="6">
        <v>46144</v>
      </c>
      <c r="B382" s="7" t="s">
        <v>26</v>
      </c>
      <c r="C382" s="50" t="s">
        <v>459</v>
      </c>
      <c r="D382" s="7">
        <v>3337851091</v>
      </c>
      <c r="E382" s="127" t="s">
        <v>752</v>
      </c>
      <c r="F382" s="7">
        <v>20942625</v>
      </c>
      <c r="G382" s="7" t="s">
        <v>31</v>
      </c>
      <c r="H382" s="77" t="s">
        <v>475</v>
      </c>
      <c r="I382" s="31" t="s">
        <v>85</v>
      </c>
      <c r="J382" s="7" t="s">
        <v>751</v>
      </c>
      <c r="K382" s="96" t="s">
        <v>456</v>
      </c>
      <c r="L382" s="7" t="s">
        <v>202</v>
      </c>
      <c r="M382" s="126" t="s">
        <v>31</v>
      </c>
      <c r="N382" s="7" t="s">
        <v>415</v>
      </c>
      <c r="O382" s="7" t="s">
        <v>87</v>
      </c>
      <c r="P382" s="7"/>
      <c r="Q382" s="7"/>
      <c r="R382" s="7"/>
      <c r="S382" s="7"/>
      <c r="T382" s="7"/>
      <c r="U382" s="125" t="e">
        <f t="shared" si="142"/>
        <v>#DIV/0!</v>
      </c>
      <c r="V382" s="125" t="e">
        <f t="shared" si="143"/>
        <v>#DIV/0!</v>
      </c>
      <c r="W382" s="7"/>
      <c r="X382" s="7"/>
      <c r="Y382" s="7"/>
      <c r="Z382" s="7"/>
      <c r="AA382" s="7"/>
    </row>
    <row r="383" spans="1:27">
      <c r="A383" s="6">
        <v>46144</v>
      </c>
      <c r="B383" s="7" t="s">
        <v>26</v>
      </c>
      <c r="C383" s="50" t="s">
        <v>347</v>
      </c>
      <c r="D383" s="7">
        <v>3337859602</v>
      </c>
      <c r="E383" s="7" t="s">
        <v>753</v>
      </c>
      <c r="F383" s="7">
        <v>20942633</v>
      </c>
      <c r="G383" s="7" t="s">
        <v>31</v>
      </c>
      <c r="H383" s="77" t="s">
        <v>476</v>
      </c>
      <c r="I383" s="31" t="s">
        <v>85</v>
      </c>
      <c r="J383" s="7" t="s">
        <v>751</v>
      </c>
      <c r="K383" s="96" t="s">
        <v>456</v>
      </c>
      <c r="L383" s="7" t="s">
        <v>202</v>
      </c>
      <c r="M383" s="126" t="s">
        <v>31</v>
      </c>
      <c r="N383" s="31" t="s">
        <v>749</v>
      </c>
      <c r="O383" s="7" t="s">
        <v>87</v>
      </c>
      <c r="P383" s="7"/>
      <c r="Q383" s="7"/>
      <c r="R383" s="7"/>
      <c r="S383" s="7"/>
      <c r="T383" s="7"/>
      <c r="U383" s="125" t="e">
        <f t="shared" si="142"/>
        <v>#DIV/0!</v>
      </c>
      <c r="V383" s="125" t="e">
        <f t="shared" si="143"/>
        <v>#DIV/0!</v>
      </c>
      <c r="W383" s="7"/>
      <c r="X383" s="7"/>
      <c r="Y383" s="7"/>
      <c r="Z383" s="7"/>
      <c r="AA383" s="7"/>
    </row>
    <row r="384" spans="1:27">
      <c r="A384" s="6">
        <v>46144</v>
      </c>
      <c r="B384" s="7" t="s">
        <v>26</v>
      </c>
      <c r="C384" s="50" t="s">
        <v>459</v>
      </c>
      <c r="D384" s="7">
        <v>3337871356</v>
      </c>
      <c r="E384" s="7" t="s">
        <v>752</v>
      </c>
      <c r="F384" s="128" t="s">
        <v>755</v>
      </c>
      <c r="G384" s="7" t="s">
        <v>31</v>
      </c>
      <c r="H384" s="77" t="s">
        <v>475</v>
      </c>
      <c r="I384" s="31" t="s">
        <v>85</v>
      </c>
      <c r="J384" s="7" t="s">
        <v>754</v>
      </c>
      <c r="K384" s="96" t="s">
        <v>456</v>
      </c>
      <c r="L384" s="7" t="s">
        <v>202</v>
      </c>
      <c r="M384" s="126" t="s">
        <v>31</v>
      </c>
      <c r="N384" s="7" t="s">
        <v>415</v>
      </c>
      <c r="O384" s="7" t="s">
        <v>87</v>
      </c>
      <c r="P384" s="7"/>
      <c r="Q384" s="7"/>
      <c r="R384" s="7"/>
      <c r="S384" s="7"/>
      <c r="T384" s="7"/>
      <c r="U384" s="125" t="e">
        <f t="shared" si="142"/>
        <v>#DIV/0!</v>
      </c>
      <c r="V384" s="125" t="e">
        <f t="shared" si="143"/>
        <v>#DIV/0!</v>
      </c>
      <c r="W384" s="7"/>
      <c r="X384" s="7"/>
      <c r="Y384" s="7"/>
      <c r="Z384" s="7"/>
      <c r="AA384" s="7"/>
    </row>
    <row r="385" spans="1:36">
      <c r="A385" s="6">
        <v>46144</v>
      </c>
      <c r="B385" s="7" t="s">
        <v>26</v>
      </c>
      <c r="C385" s="50" t="s">
        <v>347</v>
      </c>
      <c r="D385" s="7">
        <v>3337872104</v>
      </c>
      <c r="E385" s="7" t="s">
        <v>753</v>
      </c>
      <c r="F385" s="128" t="s">
        <v>756</v>
      </c>
      <c r="G385" s="7" t="s">
        <v>31</v>
      </c>
      <c r="H385" s="77" t="s">
        <v>476</v>
      </c>
      <c r="I385" s="31" t="s">
        <v>85</v>
      </c>
      <c r="J385" s="7" t="s">
        <v>754</v>
      </c>
      <c r="K385" s="96" t="s">
        <v>456</v>
      </c>
      <c r="L385" s="7" t="s">
        <v>202</v>
      </c>
      <c r="M385" s="126" t="s">
        <v>31</v>
      </c>
      <c r="N385" s="31" t="s">
        <v>749</v>
      </c>
      <c r="O385" s="7" t="s">
        <v>87</v>
      </c>
      <c r="P385" s="7"/>
      <c r="Q385" s="7"/>
      <c r="R385" s="7"/>
      <c r="S385" s="7"/>
      <c r="T385" s="7"/>
      <c r="U385" s="125" t="e">
        <f t="shared" si="142"/>
        <v>#DIV/0!</v>
      </c>
      <c r="V385" s="125" t="e">
        <f t="shared" si="143"/>
        <v>#DIV/0!</v>
      </c>
      <c r="W385" s="7"/>
      <c r="X385" s="7"/>
      <c r="Y385" s="7"/>
      <c r="Z385" s="7"/>
      <c r="AA385" s="7"/>
    </row>
    <row r="386" spans="1:36" ht="7.8" customHeight="1">
      <c r="A386" s="8"/>
      <c r="B386" s="9"/>
      <c r="C386" s="10"/>
      <c r="D386" s="57"/>
      <c r="E386" s="57"/>
      <c r="F386" s="57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1"/>
      <c r="V386" s="11"/>
      <c r="W386" s="10"/>
      <c r="X386" s="10"/>
      <c r="Y386" s="10"/>
      <c r="Z386" s="11"/>
      <c r="AA386" s="12"/>
    </row>
    <row r="387" spans="1:36">
      <c r="A387" s="6">
        <v>46145</v>
      </c>
      <c r="B387" s="7" t="s">
        <v>33</v>
      </c>
      <c r="C387" s="33" t="s">
        <v>89</v>
      </c>
      <c r="D387" s="18">
        <v>1655163</v>
      </c>
      <c r="E387" s="18" t="s">
        <v>79</v>
      </c>
      <c r="F387" s="18">
        <v>20858469</v>
      </c>
      <c r="G387" s="18" t="s">
        <v>80</v>
      </c>
      <c r="H387" s="18" t="s">
        <v>81</v>
      </c>
      <c r="I387" s="18" t="s">
        <v>85</v>
      </c>
      <c r="J387" s="18" t="s">
        <v>84</v>
      </c>
      <c r="K387" s="14"/>
      <c r="L387" s="18"/>
      <c r="M387" s="95" t="s">
        <v>83</v>
      </c>
      <c r="N387" s="19" t="s">
        <v>88</v>
      </c>
      <c r="O387" s="18" t="s">
        <v>87</v>
      </c>
      <c r="P387" s="7"/>
      <c r="Q387" s="7"/>
      <c r="R387" s="7"/>
      <c r="S387" s="7"/>
      <c r="T387" s="7"/>
      <c r="U387" s="125" t="e">
        <f>Q387/P387</f>
        <v>#DIV/0!</v>
      </c>
      <c r="V387" s="125" t="e">
        <f>R387/Q387</f>
        <v>#DIV/0!</v>
      </c>
      <c r="W387" s="7"/>
      <c r="X387" s="7"/>
      <c r="Y387" s="7"/>
      <c r="Z387" s="7"/>
      <c r="AA387" s="7"/>
      <c r="AE387" s="17" t="s">
        <v>125</v>
      </c>
    </row>
    <row r="388" spans="1:36">
      <c r="A388" s="6">
        <v>46145</v>
      </c>
      <c r="B388" s="7" t="s">
        <v>33</v>
      </c>
      <c r="C388" s="33" t="s">
        <v>89</v>
      </c>
      <c r="D388" s="18">
        <v>1655163</v>
      </c>
      <c r="E388" s="18" t="s">
        <v>214</v>
      </c>
      <c r="F388" s="18">
        <v>20884021</v>
      </c>
      <c r="G388" s="18" t="s">
        <v>212</v>
      </c>
      <c r="H388" s="18" t="s">
        <v>213</v>
      </c>
      <c r="I388" s="18" t="s">
        <v>85</v>
      </c>
      <c r="J388" s="18" t="s">
        <v>84</v>
      </c>
      <c r="K388" s="30"/>
      <c r="L388" s="18"/>
      <c r="M388" s="95" t="s">
        <v>83</v>
      </c>
      <c r="N388" s="19" t="s">
        <v>88</v>
      </c>
      <c r="O388" s="18" t="s">
        <v>87</v>
      </c>
      <c r="P388" s="7"/>
      <c r="Q388" s="7"/>
      <c r="R388" s="7"/>
      <c r="S388" s="7"/>
      <c r="T388" s="7"/>
      <c r="U388" s="125" t="e">
        <f t="shared" ref="U388:U394" si="144">Q388/P388</f>
        <v>#DIV/0!</v>
      </c>
      <c r="V388" s="125" t="e">
        <f t="shared" ref="V388:V394" si="145">R388/Q388</f>
        <v>#DIV/0!</v>
      </c>
      <c r="W388" s="7"/>
      <c r="X388" s="7"/>
      <c r="Y388" s="7"/>
      <c r="Z388" s="7"/>
      <c r="AA388" s="7"/>
      <c r="AE388" s="17"/>
    </row>
    <row r="389" spans="1:36">
      <c r="A389" s="6">
        <v>46145</v>
      </c>
      <c r="B389" s="7" t="s">
        <v>33</v>
      </c>
      <c r="C389" s="33" t="s">
        <v>876</v>
      </c>
      <c r="D389" s="18">
        <v>1655163</v>
      </c>
      <c r="E389" s="18" t="s">
        <v>873</v>
      </c>
      <c r="F389" s="18">
        <v>20949243</v>
      </c>
      <c r="G389" s="18" t="s">
        <v>874</v>
      </c>
      <c r="H389" s="18" t="s">
        <v>875</v>
      </c>
      <c r="I389" s="18" t="s">
        <v>85</v>
      </c>
      <c r="J389" s="18" t="s">
        <v>84</v>
      </c>
      <c r="K389" s="30"/>
      <c r="L389" s="18"/>
      <c r="M389" s="95" t="s">
        <v>83</v>
      </c>
      <c r="N389" s="19" t="s">
        <v>88</v>
      </c>
      <c r="O389" s="18" t="s">
        <v>87</v>
      </c>
      <c r="P389" s="7"/>
      <c r="Q389" s="7"/>
      <c r="R389" s="7"/>
      <c r="S389" s="7"/>
      <c r="T389" s="7"/>
      <c r="U389" s="125" t="e">
        <f t="shared" si="144"/>
        <v>#DIV/0!</v>
      </c>
      <c r="V389" s="125" t="e">
        <f t="shared" si="145"/>
        <v>#DIV/0!</v>
      </c>
      <c r="W389" s="7"/>
      <c r="X389" s="7"/>
      <c r="Y389" s="7"/>
      <c r="Z389" s="7"/>
      <c r="AA389" s="7"/>
      <c r="AE389" s="17"/>
    </row>
    <row r="390" spans="1:36">
      <c r="A390" s="6">
        <v>46145</v>
      </c>
      <c r="B390" s="7" t="s">
        <v>33</v>
      </c>
      <c r="C390" s="33" t="s">
        <v>89</v>
      </c>
      <c r="D390" s="18">
        <v>1655348</v>
      </c>
      <c r="E390" s="18" t="s">
        <v>878</v>
      </c>
      <c r="F390" s="18">
        <v>20949317</v>
      </c>
      <c r="G390" s="18" t="s">
        <v>80</v>
      </c>
      <c r="H390" s="18" t="s">
        <v>81</v>
      </c>
      <c r="I390" s="18" t="s">
        <v>85</v>
      </c>
      <c r="J390" s="18" t="s">
        <v>84</v>
      </c>
      <c r="K390" s="30"/>
      <c r="L390" s="18"/>
      <c r="M390" s="95" t="s">
        <v>83</v>
      </c>
      <c r="N390" s="19" t="s">
        <v>877</v>
      </c>
      <c r="O390" s="18" t="s">
        <v>87</v>
      </c>
      <c r="P390" s="7"/>
      <c r="Q390" s="7"/>
      <c r="R390" s="7"/>
      <c r="S390" s="7"/>
      <c r="T390" s="7"/>
      <c r="U390" s="125" t="e">
        <f t="shared" si="144"/>
        <v>#DIV/0!</v>
      </c>
      <c r="V390" s="125" t="e">
        <f t="shared" si="145"/>
        <v>#DIV/0!</v>
      </c>
      <c r="W390" s="7"/>
      <c r="X390" s="7"/>
      <c r="Y390" s="7"/>
      <c r="Z390" s="7"/>
      <c r="AA390" s="7"/>
      <c r="AE390" s="17"/>
    </row>
    <row r="391" spans="1:36">
      <c r="A391" s="6">
        <v>46145</v>
      </c>
      <c r="B391" s="7" t="s">
        <v>33</v>
      </c>
      <c r="C391" s="33" t="s">
        <v>89</v>
      </c>
      <c r="D391" s="18">
        <v>1655348</v>
      </c>
      <c r="E391" s="18" t="s">
        <v>879</v>
      </c>
      <c r="F391" s="18">
        <v>20949318</v>
      </c>
      <c r="G391" s="18" t="s">
        <v>212</v>
      </c>
      <c r="H391" s="18" t="s">
        <v>213</v>
      </c>
      <c r="I391" s="18" t="s">
        <v>85</v>
      </c>
      <c r="J391" s="18" t="s">
        <v>84</v>
      </c>
      <c r="K391" s="30"/>
      <c r="L391" s="18"/>
      <c r="M391" s="95" t="s">
        <v>83</v>
      </c>
      <c r="N391" s="19" t="s">
        <v>877</v>
      </c>
      <c r="O391" s="18" t="s">
        <v>87</v>
      </c>
      <c r="P391" s="7"/>
      <c r="Q391" s="7"/>
      <c r="R391" s="7"/>
      <c r="S391" s="7"/>
      <c r="T391" s="7"/>
      <c r="U391" s="125" t="e">
        <f t="shared" si="144"/>
        <v>#DIV/0!</v>
      </c>
      <c r="V391" s="125" t="e">
        <f t="shared" si="145"/>
        <v>#DIV/0!</v>
      </c>
      <c r="W391" s="7"/>
      <c r="X391" s="7"/>
      <c r="Y391" s="7"/>
      <c r="Z391" s="7"/>
      <c r="AA391" s="7"/>
      <c r="AE391" s="17"/>
    </row>
    <row r="392" spans="1:36">
      <c r="A392" s="6">
        <v>46145</v>
      </c>
      <c r="B392" s="7" t="s">
        <v>33</v>
      </c>
      <c r="C392" s="33" t="s">
        <v>876</v>
      </c>
      <c r="D392" s="18">
        <v>1655348</v>
      </c>
      <c r="E392" s="18" t="s">
        <v>880</v>
      </c>
      <c r="F392" s="18">
        <v>20949319</v>
      </c>
      <c r="G392" s="18" t="s">
        <v>874</v>
      </c>
      <c r="H392" s="18" t="s">
        <v>875</v>
      </c>
      <c r="I392" s="18" t="s">
        <v>85</v>
      </c>
      <c r="J392" s="18" t="s">
        <v>84</v>
      </c>
      <c r="K392" s="30"/>
      <c r="L392" s="18"/>
      <c r="M392" s="95" t="s">
        <v>83</v>
      </c>
      <c r="N392" s="19" t="s">
        <v>877</v>
      </c>
      <c r="O392" s="18" t="s">
        <v>87</v>
      </c>
      <c r="P392" s="7"/>
      <c r="Q392" s="7"/>
      <c r="R392" s="7"/>
      <c r="S392" s="7"/>
      <c r="T392" s="7"/>
      <c r="U392" s="125" t="e">
        <f t="shared" si="144"/>
        <v>#DIV/0!</v>
      </c>
      <c r="V392" s="125" t="e">
        <f t="shared" si="145"/>
        <v>#DIV/0!</v>
      </c>
      <c r="W392" s="7"/>
      <c r="X392" s="7"/>
      <c r="Y392" s="7"/>
      <c r="Z392" s="7"/>
      <c r="AA392" s="7"/>
      <c r="AE392" s="17"/>
    </row>
    <row r="393" spans="1:36">
      <c r="A393" s="6">
        <v>46145</v>
      </c>
      <c r="B393" s="7" t="s">
        <v>33</v>
      </c>
      <c r="C393" s="33" t="s">
        <v>89</v>
      </c>
      <c r="D393" s="18">
        <v>1655164</v>
      </c>
      <c r="E393" s="18" t="s">
        <v>91</v>
      </c>
      <c r="F393" s="18">
        <v>20859118</v>
      </c>
      <c r="G393" s="18" t="s">
        <v>90</v>
      </c>
      <c r="H393" s="18" t="s">
        <v>92</v>
      </c>
      <c r="I393" s="18" t="s">
        <v>85</v>
      </c>
      <c r="J393" s="18" t="s">
        <v>84</v>
      </c>
      <c r="K393" s="29"/>
      <c r="L393" s="18"/>
      <c r="M393" s="95" t="s">
        <v>83</v>
      </c>
      <c r="N393" s="19" t="s">
        <v>93</v>
      </c>
      <c r="O393" s="18" t="s">
        <v>87</v>
      </c>
      <c r="P393" s="7"/>
      <c r="Q393" s="7"/>
      <c r="R393" s="7"/>
      <c r="S393" s="7"/>
      <c r="T393" s="7"/>
      <c r="U393" s="125" t="e">
        <f t="shared" si="144"/>
        <v>#DIV/0!</v>
      </c>
      <c r="V393" s="125" t="e">
        <f t="shared" si="145"/>
        <v>#DIV/0!</v>
      </c>
      <c r="W393" s="7"/>
      <c r="X393" s="7"/>
      <c r="Y393" s="7"/>
      <c r="Z393" s="7"/>
      <c r="AA393" s="7"/>
      <c r="AE393" t="s">
        <v>82</v>
      </c>
      <c r="AF393">
        <v>115</v>
      </c>
      <c r="AG393">
        <v>11</v>
      </c>
      <c r="AH393">
        <v>0</v>
      </c>
      <c r="AI393" s="28">
        <f>AG393/AF393</f>
        <v>9.5652173913043481E-2</v>
      </c>
      <c r="AJ393" s="27">
        <f>AH393/AG393</f>
        <v>0</v>
      </c>
    </row>
    <row r="394" spans="1:36">
      <c r="A394" s="6">
        <v>46145</v>
      </c>
      <c r="B394" s="7" t="s">
        <v>33</v>
      </c>
      <c r="C394" s="33" t="s">
        <v>89</v>
      </c>
      <c r="D394" s="18">
        <v>1655187</v>
      </c>
      <c r="E394" s="18" t="s">
        <v>131</v>
      </c>
      <c r="F394" s="18">
        <v>20865659</v>
      </c>
      <c r="G394" s="18" t="s">
        <v>103</v>
      </c>
      <c r="H394" s="18" t="s">
        <v>133</v>
      </c>
      <c r="I394" s="18" t="s">
        <v>85</v>
      </c>
      <c r="J394" s="18" t="s">
        <v>84</v>
      </c>
      <c r="K394" s="30"/>
      <c r="L394" s="18"/>
      <c r="M394" s="95" t="s">
        <v>83</v>
      </c>
      <c r="N394" s="19" t="s">
        <v>132</v>
      </c>
      <c r="O394" s="18" t="s">
        <v>87</v>
      </c>
      <c r="P394" s="7"/>
      <c r="Q394" s="7"/>
      <c r="R394" s="7"/>
      <c r="S394" s="7"/>
      <c r="T394" s="7"/>
      <c r="U394" s="125" t="e">
        <f t="shared" si="144"/>
        <v>#DIV/0!</v>
      </c>
      <c r="V394" s="125" t="e">
        <f t="shared" si="145"/>
        <v>#DIV/0!</v>
      </c>
      <c r="W394" s="7"/>
      <c r="X394" s="7"/>
      <c r="Y394" s="7"/>
      <c r="Z394" s="7"/>
      <c r="AA394" s="7"/>
      <c r="AI394" s="28"/>
      <c r="AJ394" s="27"/>
    </row>
    <row r="395" spans="1:36">
      <c r="A395" s="85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92"/>
      <c r="V395" s="92"/>
      <c r="W395" s="86"/>
      <c r="X395" s="86"/>
      <c r="Y395" s="86"/>
      <c r="Z395" s="86"/>
      <c r="AA395" s="87"/>
    </row>
    <row r="396" spans="1:36">
      <c r="A396" s="6">
        <v>46145</v>
      </c>
      <c r="B396" s="7" t="s">
        <v>33</v>
      </c>
      <c r="C396" s="50" t="s">
        <v>304</v>
      </c>
      <c r="D396" s="7">
        <v>3337953065</v>
      </c>
      <c r="E396" s="7" t="s">
        <v>758</v>
      </c>
      <c r="F396" s="7">
        <v>20942854</v>
      </c>
      <c r="G396" s="31" t="s">
        <v>198</v>
      </c>
      <c r="H396" s="7" t="s">
        <v>757</v>
      </c>
      <c r="I396" s="7" t="s">
        <v>85</v>
      </c>
      <c r="J396" s="7" t="s">
        <v>84</v>
      </c>
      <c r="K396" s="96" t="s">
        <v>456</v>
      </c>
      <c r="L396" s="7" t="s">
        <v>202</v>
      </c>
      <c r="M396" s="122" t="s">
        <v>201</v>
      </c>
      <c r="N396" s="7" t="s">
        <v>415</v>
      </c>
      <c r="O396" s="7" t="s">
        <v>87</v>
      </c>
      <c r="P396" s="7"/>
      <c r="Q396" s="7"/>
      <c r="R396" s="7"/>
      <c r="S396" s="7"/>
      <c r="T396" s="7"/>
      <c r="U396" s="125" t="e">
        <f t="shared" ref="U396:U401" si="146">Q396/P396</f>
        <v>#DIV/0!</v>
      </c>
      <c r="V396" s="125" t="e">
        <f t="shared" ref="V396:V401" si="147">R396/Q396</f>
        <v>#DIV/0!</v>
      </c>
      <c r="W396" s="7"/>
      <c r="X396" s="7"/>
      <c r="Y396" s="7"/>
      <c r="Z396" s="7"/>
      <c r="AA396" s="7"/>
    </row>
    <row r="397" spans="1:36">
      <c r="A397" s="6">
        <v>46145</v>
      </c>
      <c r="B397" s="7" t="s">
        <v>33</v>
      </c>
      <c r="C397" s="50" t="s">
        <v>347</v>
      </c>
      <c r="D397" s="7">
        <v>3337953071</v>
      </c>
      <c r="E397" s="7" t="s">
        <v>760</v>
      </c>
      <c r="F397" s="7">
        <v>20942934</v>
      </c>
      <c r="G397" s="31" t="s">
        <v>198</v>
      </c>
      <c r="H397" s="7" t="s">
        <v>759</v>
      </c>
      <c r="I397" s="7" t="s">
        <v>85</v>
      </c>
      <c r="J397" s="7" t="s">
        <v>84</v>
      </c>
      <c r="K397" s="96" t="s">
        <v>456</v>
      </c>
      <c r="L397" s="7" t="s">
        <v>202</v>
      </c>
      <c r="M397" s="122" t="s">
        <v>201</v>
      </c>
      <c r="N397" s="7" t="s">
        <v>749</v>
      </c>
      <c r="O397" s="7" t="s">
        <v>87</v>
      </c>
      <c r="P397" s="7"/>
      <c r="Q397" s="7"/>
      <c r="R397" s="7"/>
      <c r="S397" s="7"/>
      <c r="T397" s="7"/>
      <c r="U397" s="125" t="e">
        <f t="shared" si="146"/>
        <v>#DIV/0!</v>
      </c>
      <c r="V397" s="125" t="e">
        <f t="shared" si="147"/>
        <v>#DIV/0!</v>
      </c>
      <c r="W397" s="7"/>
      <c r="X397" s="7"/>
      <c r="Y397" s="7"/>
      <c r="Z397" s="7"/>
      <c r="AA397" s="7"/>
    </row>
    <row r="398" spans="1:36">
      <c r="A398" s="6">
        <v>46145</v>
      </c>
      <c r="B398" s="7" t="s">
        <v>33</v>
      </c>
      <c r="C398" s="50" t="s">
        <v>304</v>
      </c>
      <c r="D398" s="7">
        <v>3337954458</v>
      </c>
      <c r="E398" s="7" t="s">
        <v>758</v>
      </c>
      <c r="F398" s="7">
        <v>20943184</v>
      </c>
      <c r="G398" s="31" t="s">
        <v>198</v>
      </c>
      <c r="H398" s="7" t="s">
        <v>757</v>
      </c>
      <c r="I398" s="7" t="s">
        <v>85</v>
      </c>
      <c r="J398" s="7" t="s">
        <v>751</v>
      </c>
      <c r="K398" s="96" t="s">
        <v>456</v>
      </c>
      <c r="L398" s="7" t="s">
        <v>202</v>
      </c>
      <c r="M398" s="122" t="s">
        <v>201</v>
      </c>
      <c r="N398" s="7" t="s">
        <v>415</v>
      </c>
      <c r="O398" s="7" t="s">
        <v>87</v>
      </c>
      <c r="P398" s="7"/>
      <c r="Q398" s="7"/>
      <c r="R398" s="7"/>
      <c r="S398" s="7"/>
      <c r="T398" s="7"/>
      <c r="U398" s="125" t="e">
        <f t="shared" si="146"/>
        <v>#DIV/0!</v>
      </c>
      <c r="V398" s="125" t="e">
        <f t="shared" si="147"/>
        <v>#DIV/0!</v>
      </c>
      <c r="W398" s="7"/>
      <c r="X398" s="7"/>
      <c r="Y398" s="7"/>
      <c r="Z398" s="7"/>
      <c r="AA398" s="7"/>
    </row>
    <row r="399" spans="1:36">
      <c r="A399" s="6">
        <v>46145</v>
      </c>
      <c r="B399" s="7" t="s">
        <v>33</v>
      </c>
      <c r="C399" s="50" t="s">
        <v>347</v>
      </c>
      <c r="D399" s="7">
        <v>3337954666</v>
      </c>
      <c r="E399" s="7" t="s">
        <v>760</v>
      </c>
      <c r="F399" s="7">
        <v>20943187</v>
      </c>
      <c r="G399" s="31" t="s">
        <v>198</v>
      </c>
      <c r="H399" s="7" t="s">
        <v>759</v>
      </c>
      <c r="I399" s="7" t="s">
        <v>85</v>
      </c>
      <c r="J399" s="7" t="s">
        <v>751</v>
      </c>
      <c r="K399" s="96" t="s">
        <v>456</v>
      </c>
      <c r="L399" s="7" t="s">
        <v>202</v>
      </c>
      <c r="M399" s="122" t="s">
        <v>201</v>
      </c>
      <c r="N399" s="7" t="s">
        <v>749</v>
      </c>
      <c r="O399" s="7" t="s">
        <v>87</v>
      </c>
      <c r="P399" s="7"/>
      <c r="Q399" s="7"/>
      <c r="R399" s="7"/>
      <c r="S399" s="7"/>
      <c r="T399" s="7"/>
      <c r="U399" s="125" t="e">
        <f t="shared" si="146"/>
        <v>#DIV/0!</v>
      </c>
      <c r="V399" s="125" t="e">
        <f t="shared" si="147"/>
        <v>#DIV/0!</v>
      </c>
      <c r="W399" s="7"/>
      <c r="X399" s="7"/>
      <c r="Y399" s="7"/>
      <c r="Z399" s="7"/>
      <c r="AA399" s="7"/>
    </row>
    <row r="400" spans="1:36">
      <c r="A400" s="6">
        <v>46145</v>
      </c>
      <c r="B400" s="7" t="s">
        <v>33</v>
      </c>
      <c r="C400" s="50" t="s">
        <v>304</v>
      </c>
      <c r="D400" s="7">
        <v>3337955897</v>
      </c>
      <c r="E400" s="7" t="s">
        <v>758</v>
      </c>
      <c r="F400" s="7">
        <v>20943185</v>
      </c>
      <c r="G400" s="31" t="s">
        <v>198</v>
      </c>
      <c r="H400" s="7" t="s">
        <v>757</v>
      </c>
      <c r="I400" s="7" t="s">
        <v>85</v>
      </c>
      <c r="J400" s="7" t="s">
        <v>754</v>
      </c>
      <c r="K400" s="96" t="s">
        <v>456</v>
      </c>
      <c r="L400" s="7" t="s">
        <v>202</v>
      </c>
      <c r="M400" s="122" t="s">
        <v>201</v>
      </c>
      <c r="N400" s="7" t="s">
        <v>415</v>
      </c>
      <c r="O400" s="7" t="s">
        <v>87</v>
      </c>
      <c r="P400" s="7"/>
      <c r="Q400" s="7"/>
      <c r="R400" s="7"/>
      <c r="S400" s="7"/>
      <c r="T400" s="7"/>
      <c r="U400" s="125" t="e">
        <f t="shared" si="146"/>
        <v>#DIV/0!</v>
      </c>
      <c r="V400" s="125" t="e">
        <f t="shared" si="147"/>
        <v>#DIV/0!</v>
      </c>
      <c r="W400" s="7"/>
      <c r="X400" s="7"/>
      <c r="Y400" s="7"/>
      <c r="Z400" s="7"/>
      <c r="AA400" s="7"/>
    </row>
    <row r="401" spans="1:27">
      <c r="A401" s="6">
        <v>46145</v>
      </c>
      <c r="B401" s="7" t="s">
        <v>33</v>
      </c>
      <c r="C401" s="50" t="s">
        <v>347</v>
      </c>
      <c r="D401" s="7">
        <v>3337955921</v>
      </c>
      <c r="E401" s="7" t="s">
        <v>760</v>
      </c>
      <c r="F401" s="7">
        <v>20943188</v>
      </c>
      <c r="G401" s="31" t="s">
        <v>198</v>
      </c>
      <c r="H401" s="7" t="s">
        <v>759</v>
      </c>
      <c r="I401" s="7" t="s">
        <v>85</v>
      </c>
      <c r="J401" s="7" t="s">
        <v>754</v>
      </c>
      <c r="K401" s="96" t="s">
        <v>456</v>
      </c>
      <c r="L401" s="7" t="s">
        <v>202</v>
      </c>
      <c r="M401" s="122" t="s">
        <v>201</v>
      </c>
      <c r="N401" s="7" t="s">
        <v>749</v>
      </c>
      <c r="O401" s="7" t="s">
        <v>87</v>
      </c>
      <c r="P401" s="7"/>
      <c r="Q401" s="7"/>
      <c r="R401" s="7"/>
      <c r="S401" s="7"/>
      <c r="T401" s="7"/>
      <c r="U401" s="125" t="e">
        <f t="shared" si="146"/>
        <v>#DIV/0!</v>
      </c>
      <c r="V401" s="125" t="e">
        <f t="shared" si="147"/>
        <v>#DIV/0!</v>
      </c>
      <c r="W401" s="7"/>
      <c r="X401" s="7"/>
      <c r="Y401" s="7"/>
      <c r="Z401" s="7"/>
      <c r="AA401" s="7"/>
    </row>
    <row r="402" spans="1:27">
      <c r="A402" s="85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92"/>
      <c r="V402" s="92"/>
      <c r="W402" s="86"/>
      <c r="X402" s="86"/>
      <c r="Y402" s="86"/>
      <c r="Z402" s="86"/>
      <c r="AA402" s="87"/>
    </row>
    <row r="403" spans="1:27" s="72" customFormat="1">
      <c r="A403" s="6">
        <v>46145</v>
      </c>
      <c r="B403" s="7" t="s">
        <v>33</v>
      </c>
      <c r="C403" s="124" t="s">
        <v>599</v>
      </c>
      <c r="D403" s="31">
        <v>3337959044</v>
      </c>
      <c r="E403" s="31" t="s">
        <v>762</v>
      </c>
      <c r="F403" s="31">
        <v>20943220</v>
      </c>
      <c r="G403" s="31" t="s">
        <v>471</v>
      </c>
      <c r="H403" s="99" t="s">
        <v>763</v>
      </c>
      <c r="I403" s="31" t="s">
        <v>85</v>
      </c>
      <c r="J403" s="31" t="s">
        <v>84</v>
      </c>
      <c r="K403" s="96" t="s">
        <v>456</v>
      </c>
      <c r="L403" s="31" t="s">
        <v>202</v>
      </c>
      <c r="M403" s="122" t="s">
        <v>29</v>
      </c>
      <c r="N403" s="31" t="s">
        <v>415</v>
      </c>
      <c r="O403" s="31" t="s">
        <v>87</v>
      </c>
      <c r="P403" s="31"/>
      <c r="Q403" s="31"/>
      <c r="R403" s="31"/>
      <c r="S403" s="31"/>
      <c r="T403" s="31"/>
      <c r="U403" s="125" t="e">
        <f t="shared" ref="U403:U408" si="148">Q403/P403</f>
        <v>#DIV/0!</v>
      </c>
      <c r="V403" s="125" t="e">
        <f t="shared" ref="V403:V408" si="149">R403/Q403</f>
        <v>#DIV/0!</v>
      </c>
      <c r="W403" s="31"/>
      <c r="X403" s="31"/>
      <c r="Y403" s="31"/>
      <c r="Z403" s="31"/>
      <c r="AA403" s="31"/>
    </row>
    <row r="404" spans="1:27" s="72" customFormat="1">
      <c r="A404" s="6">
        <v>46145</v>
      </c>
      <c r="B404" s="7" t="s">
        <v>33</v>
      </c>
      <c r="C404" s="124" t="s">
        <v>347</v>
      </c>
      <c r="D404" s="31">
        <v>3337959050</v>
      </c>
      <c r="E404" s="31" t="s">
        <v>765</v>
      </c>
      <c r="F404" s="31">
        <v>20943246</v>
      </c>
      <c r="G404" s="31" t="s">
        <v>471</v>
      </c>
      <c r="H404" s="99" t="s">
        <v>764</v>
      </c>
      <c r="I404" s="31" t="s">
        <v>85</v>
      </c>
      <c r="J404" s="31" t="s">
        <v>84</v>
      </c>
      <c r="K404" s="96" t="s">
        <v>456</v>
      </c>
      <c r="L404" s="31" t="s">
        <v>202</v>
      </c>
      <c r="M404" s="122" t="s">
        <v>29</v>
      </c>
      <c r="N404" s="31" t="s">
        <v>749</v>
      </c>
      <c r="O404" s="31" t="s">
        <v>87</v>
      </c>
      <c r="P404" s="31"/>
      <c r="Q404" s="31"/>
      <c r="R404" s="31"/>
      <c r="S404" s="31"/>
      <c r="T404" s="31"/>
      <c r="U404" s="125" t="e">
        <f t="shared" si="148"/>
        <v>#DIV/0!</v>
      </c>
      <c r="V404" s="125" t="e">
        <f t="shared" si="149"/>
        <v>#DIV/0!</v>
      </c>
      <c r="W404" s="31"/>
      <c r="X404" s="31"/>
      <c r="Y404" s="31"/>
      <c r="Z404" s="31"/>
      <c r="AA404" s="31"/>
    </row>
    <row r="405" spans="1:27" s="72" customFormat="1">
      <c r="A405" s="6">
        <v>46145</v>
      </c>
      <c r="B405" s="7" t="s">
        <v>33</v>
      </c>
      <c r="C405" s="124" t="s">
        <v>599</v>
      </c>
      <c r="D405" s="31">
        <v>3337962432</v>
      </c>
      <c r="E405" s="31" t="s">
        <v>762</v>
      </c>
      <c r="F405" s="31">
        <v>20943326</v>
      </c>
      <c r="G405" s="31" t="s">
        <v>471</v>
      </c>
      <c r="H405" s="99" t="s">
        <v>763</v>
      </c>
      <c r="I405" s="31" t="s">
        <v>85</v>
      </c>
      <c r="J405" s="7" t="s">
        <v>751</v>
      </c>
      <c r="K405" s="96" t="s">
        <v>456</v>
      </c>
      <c r="L405" s="31" t="s">
        <v>202</v>
      </c>
      <c r="M405" s="122" t="s">
        <v>29</v>
      </c>
      <c r="N405" s="31" t="s">
        <v>415</v>
      </c>
      <c r="O405" s="31" t="s">
        <v>87</v>
      </c>
      <c r="P405" s="31"/>
      <c r="Q405" s="31"/>
      <c r="R405" s="31"/>
      <c r="S405" s="31"/>
      <c r="T405" s="31"/>
      <c r="U405" s="125" t="e">
        <f t="shared" si="148"/>
        <v>#DIV/0!</v>
      </c>
      <c r="V405" s="125" t="e">
        <f t="shared" si="149"/>
        <v>#DIV/0!</v>
      </c>
      <c r="W405" s="31"/>
      <c r="X405" s="31"/>
      <c r="Y405" s="31"/>
      <c r="Z405" s="31"/>
      <c r="AA405" s="31"/>
    </row>
    <row r="406" spans="1:27" s="72" customFormat="1">
      <c r="A406" s="6">
        <v>46145</v>
      </c>
      <c r="B406" s="7" t="s">
        <v>33</v>
      </c>
      <c r="C406" s="124" t="s">
        <v>347</v>
      </c>
      <c r="D406" s="31">
        <v>3337962882</v>
      </c>
      <c r="E406" s="31" t="s">
        <v>765</v>
      </c>
      <c r="F406" s="31">
        <v>20943330</v>
      </c>
      <c r="G406" s="31" t="s">
        <v>471</v>
      </c>
      <c r="H406" s="99" t="s">
        <v>764</v>
      </c>
      <c r="I406" s="31" t="s">
        <v>85</v>
      </c>
      <c r="J406" s="7" t="s">
        <v>751</v>
      </c>
      <c r="K406" s="96" t="s">
        <v>456</v>
      </c>
      <c r="L406" s="31" t="s">
        <v>202</v>
      </c>
      <c r="M406" s="122" t="s">
        <v>29</v>
      </c>
      <c r="N406" s="31" t="s">
        <v>749</v>
      </c>
      <c r="O406" s="31" t="s">
        <v>87</v>
      </c>
      <c r="P406" s="31"/>
      <c r="Q406" s="31"/>
      <c r="R406" s="31"/>
      <c r="S406" s="31"/>
      <c r="T406" s="31"/>
      <c r="U406" s="125" t="e">
        <f t="shared" si="148"/>
        <v>#DIV/0!</v>
      </c>
      <c r="V406" s="125" t="e">
        <f t="shared" si="149"/>
        <v>#DIV/0!</v>
      </c>
      <c r="W406" s="31"/>
      <c r="X406" s="31"/>
      <c r="Y406" s="31"/>
      <c r="Z406" s="31"/>
      <c r="AA406" s="31"/>
    </row>
    <row r="407" spans="1:27" s="72" customFormat="1">
      <c r="A407" s="6">
        <v>46145</v>
      </c>
      <c r="B407" s="7" t="s">
        <v>33</v>
      </c>
      <c r="C407" s="124" t="s">
        <v>599</v>
      </c>
      <c r="D407" s="31">
        <v>3337964144</v>
      </c>
      <c r="E407" s="31" t="s">
        <v>762</v>
      </c>
      <c r="F407" s="31">
        <v>20943327</v>
      </c>
      <c r="G407" s="31" t="s">
        <v>471</v>
      </c>
      <c r="H407" s="99" t="s">
        <v>763</v>
      </c>
      <c r="I407" s="31" t="s">
        <v>85</v>
      </c>
      <c r="J407" s="7" t="s">
        <v>754</v>
      </c>
      <c r="K407" s="96" t="s">
        <v>456</v>
      </c>
      <c r="L407" s="31" t="s">
        <v>202</v>
      </c>
      <c r="M407" s="122" t="s">
        <v>29</v>
      </c>
      <c r="N407" s="31" t="s">
        <v>415</v>
      </c>
      <c r="O407" s="31" t="s">
        <v>87</v>
      </c>
      <c r="P407" s="31"/>
      <c r="Q407" s="31"/>
      <c r="R407" s="31"/>
      <c r="S407" s="31"/>
      <c r="T407" s="31"/>
      <c r="U407" s="125" t="e">
        <f t="shared" si="148"/>
        <v>#DIV/0!</v>
      </c>
      <c r="V407" s="125" t="e">
        <f t="shared" si="149"/>
        <v>#DIV/0!</v>
      </c>
      <c r="W407" s="31"/>
      <c r="X407" s="31"/>
      <c r="Y407" s="31"/>
      <c r="Z407" s="31"/>
      <c r="AA407" s="31"/>
    </row>
    <row r="408" spans="1:27" s="72" customFormat="1">
      <c r="A408" s="6">
        <v>46145</v>
      </c>
      <c r="B408" s="7" t="s">
        <v>33</v>
      </c>
      <c r="C408" s="124" t="s">
        <v>347</v>
      </c>
      <c r="D408" s="31">
        <v>3337964260</v>
      </c>
      <c r="E408" s="31" t="s">
        <v>765</v>
      </c>
      <c r="F408" s="31">
        <v>20943331</v>
      </c>
      <c r="G408" s="31" t="s">
        <v>471</v>
      </c>
      <c r="H408" s="99" t="s">
        <v>764</v>
      </c>
      <c r="I408" s="31" t="s">
        <v>85</v>
      </c>
      <c r="J408" s="7" t="s">
        <v>754</v>
      </c>
      <c r="K408" s="96" t="s">
        <v>456</v>
      </c>
      <c r="L408" s="31" t="s">
        <v>202</v>
      </c>
      <c r="M408" s="122" t="s">
        <v>29</v>
      </c>
      <c r="N408" s="31" t="s">
        <v>749</v>
      </c>
      <c r="O408" s="31" t="s">
        <v>87</v>
      </c>
      <c r="P408" s="31"/>
      <c r="Q408" s="31"/>
      <c r="R408" s="31"/>
      <c r="S408" s="31"/>
      <c r="T408" s="31"/>
      <c r="U408" s="125" t="e">
        <f t="shared" si="148"/>
        <v>#DIV/0!</v>
      </c>
      <c r="V408" s="125" t="e">
        <f t="shared" si="149"/>
        <v>#DIV/0!</v>
      </c>
      <c r="W408" s="31"/>
      <c r="X408" s="31"/>
      <c r="Y408" s="31"/>
      <c r="Z408" s="31"/>
      <c r="AA408" s="31"/>
    </row>
    <row r="409" spans="1:27">
      <c r="A409" s="85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92"/>
      <c r="V409" s="92"/>
      <c r="W409" s="86"/>
      <c r="X409" s="86"/>
      <c r="Y409" s="86"/>
      <c r="Z409" s="86"/>
      <c r="AA409" s="87"/>
    </row>
    <row r="410" spans="1:27">
      <c r="A410" s="6">
        <v>46145</v>
      </c>
      <c r="B410" s="7" t="s">
        <v>33</v>
      </c>
      <c r="C410" s="50" t="s">
        <v>459</v>
      </c>
      <c r="D410" s="7">
        <v>3332177201</v>
      </c>
      <c r="E410" s="7" t="s">
        <v>463</v>
      </c>
      <c r="F410" s="7">
        <v>20918989</v>
      </c>
      <c r="G410" s="7" t="s">
        <v>31</v>
      </c>
      <c r="H410" s="77" t="s">
        <v>475</v>
      </c>
      <c r="I410" s="7" t="s">
        <v>85</v>
      </c>
      <c r="J410" s="7" t="s">
        <v>84</v>
      </c>
      <c r="K410" s="96" t="s">
        <v>456</v>
      </c>
      <c r="L410" s="7" t="s">
        <v>202</v>
      </c>
      <c r="M410" s="126" t="s">
        <v>31</v>
      </c>
      <c r="N410" s="7" t="s">
        <v>415</v>
      </c>
      <c r="O410" s="7" t="s">
        <v>87</v>
      </c>
      <c r="P410" s="7"/>
      <c r="Q410" s="7"/>
      <c r="R410" s="7"/>
      <c r="S410" s="7"/>
      <c r="T410" s="7"/>
      <c r="U410" s="125" t="e">
        <f t="shared" ref="U410:U415" si="150">Q410/P410</f>
        <v>#DIV/0!</v>
      </c>
      <c r="V410" s="125" t="e">
        <f t="shared" ref="V410:V415" si="151">R410/Q410</f>
        <v>#DIV/0!</v>
      </c>
      <c r="W410" s="7"/>
      <c r="X410" s="7"/>
      <c r="Y410" s="7"/>
      <c r="Z410" s="7"/>
      <c r="AA410" s="7"/>
    </row>
    <row r="411" spans="1:27">
      <c r="A411" s="6">
        <v>46145</v>
      </c>
      <c r="B411" s="7" t="s">
        <v>33</v>
      </c>
      <c r="C411" s="50" t="s">
        <v>347</v>
      </c>
      <c r="D411" s="7">
        <v>3332178023</v>
      </c>
      <c r="E411" s="7" t="s">
        <v>467</v>
      </c>
      <c r="F411" s="7">
        <v>20919028</v>
      </c>
      <c r="G411" s="7" t="s">
        <v>31</v>
      </c>
      <c r="H411" s="77" t="s">
        <v>476</v>
      </c>
      <c r="I411" s="7" t="s">
        <v>85</v>
      </c>
      <c r="J411" s="7" t="s">
        <v>84</v>
      </c>
      <c r="K411" s="96" t="s">
        <v>456</v>
      </c>
      <c r="L411" s="7" t="s">
        <v>202</v>
      </c>
      <c r="M411" s="126" t="s">
        <v>31</v>
      </c>
      <c r="N411" s="31" t="s">
        <v>749</v>
      </c>
      <c r="O411" s="7" t="s">
        <v>87</v>
      </c>
      <c r="P411" s="7"/>
      <c r="Q411" s="7"/>
      <c r="R411" s="7"/>
      <c r="S411" s="7"/>
      <c r="T411" s="7"/>
      <c r="U411" s="125" t="e">
        <f t="shared" si="150"/>
        <v>#DIV/0!</v>
      </c>
      <c r="V411" s="125" t="e">
        <f t="shared" si="151"/>
        <v>#DIV/0!</v>
      </c>
      <c r="W411" s="7"/>
      <c r="X411" s="7"/>
      <c r="Y411" s="7"/>
      <c r="Z411" s="7"/>
      <c r="AA411" s="7"/>
    </row>
    <row r="412" spans="1:27">
      <c r="A412" s="6">
        <v>46145</v>
      </c>
      <c r="B412" s="7" t="s">
        <v>33</v>
      </c>
      <c r="C412" s="50" t="s">
        <v>459</v>
      </c>
      <c r="D412" s="7">
        <v>3337851091</v>
      </c>
      <c r="E412" s="127" t="s">
        <v>752</v>
      </c>
      <c r="F412" s="7">
        <v>20942625</v>
      </c>
      <c r="G412" s="7" t="s">
        <v>31</v>
      </c>
      <c r="H412" s="77" t="s">
        <v>475</v>
      </c>
      <c r="I412" s="31" t="s">
        <v>85</v>
      </c>
      <c r="J412" s="7" t="s">
        <v>751</v>
      </c>
      <c r="K412" s="96" t="s">
        <v>456</v>
      </c>
      <c r="L412" s="7" t="s">
        <v>202</v>
      </c>
      <c r="M412" s="126" t="s">
        <v>31</v>
      </c>
      <c r="N412" s="7" t="s">
        <v>415</v>
      </c>
      <c r="O412" s="7" t="s">
        <v>87</v>
      </c>
      <c r="P412" s="7"/>
      <c r="Q412" s="7"/>
      <c r="R412" s="7"/>
      <c r="S412" s="7"/>
      <c r="T412" s="7"/>
      <c r="U412" s="125" t="e">
        <f t="shared" si="150"/>
        <v>#DIV/0!</v>
      </c>
      <c r="V412" s="125" t="e">
        <f t="shared" si="151"/>
        <v>#DIV/0!</v>
      </c>
      <c r="W412" s="7"/>
      <c r="X412" s="7"/>
      <c r="Y412" s="7"/>
      <c r="Z412" s="7"/>
      <c r="AA412" s="7"/>
    </row>
    <row r="413" spans="1:27">
      <c r="A413" s="6">
        <v>46145</v>
      </c>
      <c r="B413" s="7" t="s">
        <v>33</v>
      </c>
      <c r="C413" s="50" t="s">
        <v>347</v>
      </c>
      <c r="D413" s="7">
        <v>3337859602</v>
      </c>
      <c r="E413" s="7" t="s">
        <v>753</v>
      </c>
      <c r="F413" s="7">
        <v>20942633</v>
      </c>
      <c r="G413" s="7" t="s">
        <v>31</v>
      </c>
      <c r="H413" s="77" t="s">
        <v>476</v>
      </c>
      <c r="I413" s="31" t="s">
        <v>85</v>
      </c>
      <c r="J413" s="7" t="s">
        <v>751</v>
      </c>
      <c r="K413" s="96" t="s">
        <v>456</v>
      </c>
      <c r="L413" s="7" t="s">
        <v>202</v>
      </c>
      <c r="M413" s="126" t="s">
        <v>31</v>
      </c>
      <c r="N413" s="31" t="s">
        <v>749</v>
      </c>
      <c r="O413" s="7" t="s">
        <v>87</v>
      </c>
      <c r="P413" s="7"/>
      <c r="Q413" s="7"/>
      <c r="R413" s="7"/>
      <c r="S413" s="7"/>
      <c r="T413" s="7"/>
      <c r="U413" s="125" t="e">
        <f t="shared" si="150"/>
        <v>#DIV/0!</v>
      </c>
      <c r="V413" s="125" t="e">
        <f t="shared" si="151"/>
        <v>#DIV/0!</v>
      </c>
      <c r="W413" s="7"/>
      <c r="X413" s="7"/>
      <c r="Y413" s="7"/>
      <c r="Z413" s="7"/>
      <c r="AA413" s="7"/>
    </row>
    <row r="414" spans="1:27">
      <c r="A414" s="6">
        <v>46145</v>
      </c>
      <c r="B414" s="7" t="s">
        <v>33</v>
      </c>
      <c r="C414" s="50" t="s">
        <v>459</v>
      </c>
      <c r="D414" s="7">
        <v>3337871356</v>
      </c>
      <c r="E414" s="7" t="s">
        <v>752</v>
      </c>
      <c r="F414" s="128" t="s">
        <v>755</v>
      </c>
      <c r="G414" s="7" t="s">
        <v>31</v>
      </c>
      <c r="H414" s="77" t="s">
        <v>475</v>
      </c>
      <c r="I414" s="31" t="s">
        <v>85</v>
      </c>
      <c r="J414" s="7" t="s">
        <v>754</v>
      </c>
      <c r="K414" s="96" t="s">
        <v>456</v>
      </c>
      <c r="L414" s="7" t="s">
        <v>202</v>
      </c>
      <c r="M414" s="126" t="s">
        <v>31</v>
      </c>
      <c r="N414" s="7" t="s">
        <v>415</v>
      </c>
      <c r="O414" s="7" t="s">
        <v>87</v>
      </c>
      <c r="P414" s="7"/>
      <c r="Q414" s="7"/>
      <c r="R414" s="7"/>
      <c r="S414" s="7"/>
      <c r="T414" s="7"/>
      <c r="U414" s="125" t="e">
        <f t="shared" si="150"/>
        <v>#DIV/0!</v>
      </c>
      <c r="V414" s="125" t="e">
        <f t="shared" si="151"/>
        <v>#DIV/0!</v>
      </c>
      <c r="W414" s="7"/>
      <c r="X414" s="7"/>
      <c r="Y414" s="7"/>
      <c r="Z414" s="7"/>
      <c r="AA414" s="7"/>
    </row>
    <row r="415" spans="1:27">
      <c r="A415" s="6">
        <v>46145</v>
      </c>
      <c r="B415" s="7" t="s">
        <v>33</v>
      </c>
      <c r="C415" s="50" t="s">
        <v>347</v>
      </c>
      <c r="D415" s="7">
        <v>3337872104</v>
      </c>
      <c r="E415" s="7" t="s">
        <v>753</v>
      </c>
      <c r="F415" s="128" t="s">
        <v>756</v>
      </c>
      <c r="G415" s="7" t="s">
        <v>31</v>
      </c>
      <c r="H415" s="77" t="s">
        <v>476</v>
      </c>
      <c r="I415" s="31" t="s">
        <v>85</v>
      </c>
      <c r="J415" s="7" t="s">
        <v>754</v>
      </c>
      <c r="K415" s="96" t="s">
        <v>456</v>
      </c>
      <c r="L415" s="7" t="s">
        <v>202</v>
      </c>
      <c r="M415" s="126" t="s">
        <v>31</v>
      </c>
      <c r="N415" s="31" t="s">
        <v>749</v>
      </c>
      <c r="O415" s="7" t="s">
        <v>87</v>
      </c>
      <c r="P415" s="7"/>
      <c r="Q415" s="7"/>
      <c r="R415" s="7"/>
      <c r="S415" s="7"/>
      <c r="T415" s="7"/>
      <c r="U415" s="125" t="e">
        <f t="shared" si="150"/>
        <v>#DIV/0!</v>
      </c>
      <c r="V415" s="125" t="e">
        <f t="shared" si="151"/>
        <v>#DIV/0!</v>
      </c>
      <c r="W415" s="7"/>
      <c r="X415" s="7"/>
      <c r="Y415" s="7"/>
      <c r="Z415" s="7"/>
      <c r="AA415" s="7"/>
    </row>
    <row r="416" spans="1:27" ht="7.8" customHeight="1">
      <c r="A416" s="8"/>
      <c r="B416" s="9"/>
      <c r="C416" s="10"/>
      <c r="D416" s="57"/>
      <c r="E416" s="57"/>
      <c r="F416" s="57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1"/>
      <c r="V416" s="11"/>
      <c r="W416" s="10"/>
      <c r="X416" s="10"/>
      <c r="Y416" s="10"/>
      <c r="Z416" s="11"/>
      <c r="AA416" s="12"/>
    </row>
  </sheetData>
  <phoneticPr fontId="3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53C47-AB56-43CF-BC0A-017F268A3F05}">
  <sheetPr>
    <tabColor rgb="FFFF0000"/>
  </sheetPr>
  <dimension ref="A1:AA547"/>
  <sheetViews>
    <sheetView workbookViewId="0">
      <pane ySplit="1" topLeftCell="A525" activePane="bottomLeft" state="frozen"/>
      <selection activeCell="B1" sqref="B1"/>
      <selection pane="bottomLeft" activeCell="A534" sqref="A534:XFD546"/>
    </sheetView>
  </sheetViews>
  <sheetFormatPr defaultRowHeight="14.4"/>
  <cols>
    <col min="1" max="1" width="10.33203125" bestFit="1" customWidth="1"/>
    <col min="2" max="2" width="10.44140625" bestFit="1" customWidth="1"/>
    <col min="3" max="3" width="10" bestFit="1" customWidth="1"/>
    <col min="4" max="4" width="47.44140625" bestFit="1" customWidth="1"/>
    <col min="5" max="5" width="13.88671875" bestFit="1" customWidth="1"/>
    <col min="6" max="6" width="24.77734375" customWidth="1"/>
    <col min="7" max="7" width="17.5546875" bestFit="1" customWidth="1"/>
    <col min="8" max="8" width="30" bestFit="1" customWidth="1"/>
    <col min="9" max="9" width="36.21875" bestFit="1" customWidth="1"/>
    <col min="10" max="10" width="12.88671875" bestFit="1" customWidth="1"/>
    <col min="11" max="11" width="30" bestFit="1" customWidth="1"/>
  </cols>
  <sheetData>
    <row r="1" spans="1:23" ht="17.399999999999999" customHeight="1">
      <c r="A1" s="1" t="s">
        <v>0</v>
      </c>
      <c r="B1" s="1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11</v>
      </c>
      <c r="K1" s="2" t="s">
        <v>12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3" t="s">
        <v>19</v>
      </c>
      <c r="R1" s="3" t="s">
        <v>20</v>
      </c>
      <c r="S1" s="2" t="s">
        <v>21</v>
      </c>
      <c r="T1" s="2" t="s">
        <v>22</v>
      </c>
      <c r="U1" s="2" t="s">
        <v>23</v>
      </c>
      <c r="V1" s="3" t="s">
        <v>24</v>
      </c>
      <c r="W1" s="3" t="s">
        <v>25</v>
      </c>
    </row>
    <row r="2" spans="1:23">
      <c r="A2" s="4">
        <v>46124</v>
      </c>
      <c r="B2" t="s">
        <v>33</v>
      </c>
      <c r="I2" s="5" t="s">
        <v>67</v>
      </c>
      <c r="J2" t="s">
        <v>34</v>
      </c>
      <c r="L2">
        <v>1500</v>
      </c>
    </row>
    <row r="3" spans="1:23">
      <c r="A3" s="4">
        <v>46124</v>
      </c>
      <c r="B3" t="s">
        <v>33</v>
      </c>
      <c r="I3" s="5" t="s">
        <v>64</v>
      </c>
      <c r="J3" t="s">
        <v>34</v>
      </c>
      <c r="L3">
        <v>500</v>
      </c>
    </row>
    <row r="4" spans="1:23">
      <c r="A4" s="4">
        <v>46124</v>
      </c>
      <c r="B4" t="s">
        <v>33</v>
      </c>
      <c r="I4" s="5" t="s">
        <v>65</v>
      </c>
      <c r="J4" t="s">
        <v>34</v>
      </c>
      <c r="L4">
        <v>130</v>
      </c>
    </row>
    <row r="5" spans="1:23">
      <c r="A5" s="4">
        <v>46124</v>
      </c>
      <c r="B5" t="s">
        <v>33</v>
      </c>
      <c r="I5" s="5" t="s">
        <v>67</v>
      </c>
      <c r="J5" t="s">
        <v>35</v>
      </c>
      <c r="L5">
        <v>1500</v>
      </c>
    </row>
    <row r="6" spans="1:23">
      <c r="A6" s="4">
        <v>46124</v>
      </c>
      <c r="B6" t="s">
        <v>33</v>
      </c>
      <c r="I6" s="5" t="s">
        <v>68</v>
      </c>
      <c r="J6" t="s">
        <v>35</v>
      </c>
      <c r="L6">
        <v>500</v>
      </c>
    </row>
    <row r="7" spans="1:23">
      <c r="A7" s="4">
        <v>46124</v>
      </c>
      <c r="B7" t="s">
        <v>33</v>
      </c>
      <c r="I7" s="5" t="s">
        <v>66</v>
      </c>
      <c r="J7" t="s">
        <v>35</v>
      </c>
      <c r="L7">
        <v>40</v>
      </c>
    </row>
    <row r="9" spans="1:23">
      <c r="A9" s="4">
        <v>46125</v>
      </c>
      <c r="B9" t="s">
        <v>36</v>
      </c>
      <c r="D9" t="s">
        <v>72</v>
      </c>
      <c r="I9" s="5" t="s">
        <v>67</v>
      </c>
      <c r="J9" t="s">
        <v>34</v>
      </c>
      <c r="L9">
        <v>1500</v>
      </c>
      <c r="M9">
        <v>1166</v>
      </c>
      <c r="N9">
        <v>1073</v>
      </c>
      <c r="O9">
        <v>0</v>
      </c>
      <c r="P9">
        <v>2</v>
      </c>
    </row>
    <row r="10" spans="1:23">
      <c r="A10" s="4">
        <v>46125</v>
      </c>
      <c r="B10" t="s">
        <v>36</v>
      </c>
      <c r="D10" t="s">
        <v>73</v>
      </c>
      <c r="I10" s="5" t="s">
        <v>64</v>
      </c>
      <c r="J10" t="s">
        <v>34</v>
      </c>
      <c r="L10">
        <v>498</v>
      </c>
      <c r="M10">
        <v>292</v>
      </c>
      <c r="N10">
        <v>224</v>
      </c>
      <c r="O10">
        <v>0</v>
      </c>
      <c r="P10">
        <v>0</v>
      </c>
    </row>
    <row r="11" spans="1:23">
      <c r="A11" s="4">
        <v>46125</v>
      </c>
      <c r="B11" t="s">
        <v>36</v>
      </c>
      <c r="D11" t="s">
        <v>70</v>
      </c>
      <c r="I11" s="5">
        <v>165</v>
      </c>
      <c r="J11" t="s">
        <v>34</v>
      </c>
      <c r="K11" t="s">
        <v>69</v>
      </c>
      <c r="L11">
        <v>139</v>
      </c>
      <c r="M11">
        <v>25</v>
      </c>
      <c r="N11">
        <v>4</v>
      </c>
      <c r="O11">
        <v>2</v>
      </c>
      <c r="P11">
        <v>0</v>
      </c>
    </row>
    <row r="12" spans="1:23">
      <c r="A12" s="4">
        <v>46125</v>
      </c>
      <c r="B12" t="s">
        <v>36</v>
      </c>
      <c r="D12" t="s">
        <v>74</v>
      </c>
      <c r="I12" s="5" t="s">
        <v>67</v>
      </c>
      <c r="J12" t="s">
        <v>35</v>
      </c>
      <c r="L12">
        <v>1499</v>
      </c>
      <c r="M12">
        <v>1413</v>
      </c>
      <c r="N12">
        <v>954</v>
      </c>
      <c r="O12">
        <v>0</v>
      </c>
      <c r="P12">
        <v>1</v>
      </c>
    </row>
    <row r="13" spans="1:23">
      <c r="A13" s="4">
        <v>46125</v>
      </c>
      <c r="B13" t="s">
        <v>36</v>
      </c>
      <c r="D13" t="s">
        <v>75</v>
      </c>
      <c r="I13" s="5" t="s">
        <v>68</v>
      </c>
      <c r="J13" t="s">
        <v>35</v>
      </c>
      <c r="L13">
        <v>500</v>
      </c>
      <c r="M13">
        <v>311</v>
      </c>
      <c r="N13">
        <v>224</v>
      </c>
      <c r="O13">
        <v>0</v>
      </c>
      <c r="P13">
        <v>0</v>
      </c>
    </row>
    <row r="14" spans="1:23">
      <c r="A14" s="4">
        <v>46125</v>
      </c>
      <c r="B14" t="s">
        <v>36</v>
      </c>
      <c r="D14" t="s">
        <v>71</v>
      </c>
      <c r="I14" s="5">
        <v>60</v>
      </c>
      <c r="J14" t="s">
        <v>35</v>
      </c>
      <c r="K14" t="s">
        <v>69</v>
      </c>
      <c r="L14">
        <v>139</v>
      </c>
      <c r="M14">
        <v>40</v>
      </c>
      <c r="N14">
        <v>1</v>
      </c>
      <c r="O14">
        <v>0</v>
      </c>
      <c r="P14">
        <v>0</v>
      </c>
    </row>
    <row r="16" spans="1:23">
      <c r="A16" s="4">
        <v>46126</v>
      </c>
      <c r="B16" t="s">
        <v>78</v>
      </c>
      <c r="C16" s="21"/>
      <c r="D16" s="21" t="s">
        <v>107</v>
      </c>
      <c r="E16" s="21" t="s">
        <v>109</v>
      </c>
      <c r="F16" s="21" t="s">
        <v>110</v>
      </c>
      <c r="G16" s="21"/>
      <c r="H16" s="21"/>
      <c r="I16" s="5"/>
      <c r="J16" s="21" t="s">
        <v>34</v>
      </c>
      <c r="K16" s="21" t="s">
        <v>106</v>
      </c>
      <c r="L16">
        <v>75</v>
      </c>
      <c r="M16">
        <v>2</v>
      </c>
      <c r="N16">
        <v>0</v>
      </c>
      <c r="O16">
        <v>0</v>
      </c>
      <c r="P16">
        <v>0</v>
      </c>
    </row>
    <row r="17" spans="1:23">
      <c r="A17" s="4">
        <v>46126</v>
      </c>
      <c r="B17" t="s">
        <v>78</v>
      </c>
      <c r="D17" t="s">
        <v>111</v>
      </c>
      <c r="I17" s="5" t="s">
        <v>67</v>
      </c>
      <c r="J17" t="s">
        <v>34</v>
      </c>
      <c r="L17">
        <v>1498</v>
      </c>
      <c r="M17">
        <v>1442</v>
      </c>
      <c r="N17">
        <v>1050</v>
      </c>
      <c r="O17">
        <v>0</v>
      </c>
      <c r="P17">
        <v>2</v>
      </c>
    </row>
    <row r="18" spans="1:23">
      <c r="A18" s="4">
        <v>46126</v>
      </c>
      <c r="B18" t="s">
        <v>78</v>
      </c>
      <c r="D18" t="s">
        <v>112</v>
      </c>
      <c r="I18" s="5" t="s">
        <v>64</v>
      </c>
      <c r="J18" t="s">
        <v>34</v>
      </c>
      <c r="L18">
        <v>498</v>
      </c>
      <c r="M18">
        <v>484</v>
      </c>
      <c r="N18">
        <v>352</v>
      </c>
      <c r="O18">
        <v>0</v>
      </c>
      <c r="P18">
        <v>0</v>
      </c>
    </row>
    <row r="19" spans="1:23">
      <c r="A19" s="4">
        <v>46126</v>
      </c>
      <c r="B19" t="s">
        <v>78</v>
      </c>
      <c r="D19" t="s">
        <v>119</v>
      </c>
      <c r="I19" s="5" t="s">
        <v>64</v>
      </c>
      <c r="J19" t="s">
        <v>34</v>
      </c>
      <c r="L19">
        <v>498</v>
      </c>
      <c r="M19">
        <v>486</v>
      </c>
      <c r="N19">
        <v>365</v>
      </c>
      <c r="O19">
        <v>0</v>
      </c>
      <c r="P19">
        <v>0</v>
      </c>
    </row>
    <row r="20" spans="1:23">
      <c r="A20" s="4">
        <v>46126</v>
      </c>
      <c r="B20" t="s">
        <v>78</v>
      </c>
      <c r="D20" t="s">
        <v>117</v>
      </c>
      <c r="I20" s="5"/>
      <c r="J20" t="s">
        <v>34</v>
      </c>
      <c r="K20" t="s">
        <v>69</v>
      </c>
      <c r="L20">
        <v>139</v>
      </c>
      <c r="M20">
        <v>48</v>
      </c>
      <c r="N20">
        <v>9</v>
      </c>
      <c r="O20">
        <v>1</v>
      </c>
      <c r="P20">
        <v>0</v>
      </c>
    </row>
    <row r="21" spans="1:23">
      <c r="A21" s="4">
        <v>46126</v>
      </c>
      <c r="B21" t="s">
        <v>78</v>
      </c>
      <c r="D21" t="s">
        <v>122</v>
      </c>
      <c r="I21" s="5"/>
      <c r="J21" t="s">
        <v>34</v>
      </c>
      <c r="K21" t="s">
        <v>121</v>
      </c>
      <c r="L21">
        <v>48</v>
      </c>
      <c r="M21">
        <v>0</v>
      </c>
      <c r="N21">
        <v>0</v>
      </c>
      <c r="O21">
        <v>0</v>
      </c>
      <c r="P21">
        <v>0</v>
      </c>
    </row>
    <row r="22" spans="1:23">
      <c r="A22" s="4">
        <v>46126</v>
      </c>
      <c r="B22" t="s">
        <v>78</v>
      </c>
      <c r="C22" s="21"/>
      <c r="D22" s="21" t="s">
        <v>108</v>
      </c>
      <c r="E22" s="21" t="s">
        <v>116</v>
      </c>
      <c r="F22" s="21" t="s">
        <v>115</v>
      </c>
      <c r="G22" s="21"/>
      <c r="H22" s="21"/>
      <c r="I22" s="5"/>
      <c r="J22" s="21" t="s">
        <v>35</v>
      </c>
      <c r="K22" s="21" t="s">
        <v>106</v>
      </c>
      <c r="L22">
        <v>75</v>
      </c>
      <c r="M22">
        <v>3</v>
      </c>
      <c r="N22">
        <v>1</v>
      </c>
      <c r="O22">
        <v>0</v>
      </c>
      <c r="P22">
        <v>0</v>
      </c>
    </row>
    <row r="23" spans="1:23">
      <c r="A23" s="4">
        <v>46126</v>
      </c>
      <c r="B23" t="s">
        <v>78</v>
      </c>
      <c r="D23" t="s">
        <v>113</v>
      </c>
      <c r="I23" s="5" t="s">
        <v>67</v>
      </c>
      <c r="J23" t="s">
        <v>35</v>
      </c>
      <c r="L23">
        <v>1499</v>
      </c>
      <c r="M23">
        <v>1449</v>
      </c>
      <c r="N23">
        <v>940</v>
      </c>
      <c r="O23">
        <v>0</v>
      </c>
      <c r="P23">
        <v>1</v>
      </c>
    </row>
    <row r="24" spans="1:23">
      <c r="A24" s="4">
        <v>46126</v>
      </c>
      <c r="B24" t="s">
        <v>78</v>
      </c>
      <c r="D24" t="s">
        <v>114</v>
      </c>
      <c r="I24" s="5" t="s">
        <v>68</v>
      </c>
      <c r="J24" t="s">
        <v>35</v>
      </c>
      <c r="L24">
        <v>500</v>
      </c>
      <c r="M24">
        <v>487</v>
      </c>
      <c r="N24">
        <v>319</v>
      </c>
      <c r="O24">
        <v>0</v>
      </c>
      <c r="P24">
        <v>0</v>
      </c>
    </row>
    <row r="25" spans="1:23">
      <c r="A25" s="4">
        <v>46126</v>
      </c>
      <c r="B25" t="s">
        <v>78</v>
      </c>
      <c r="D25" t="s">
        <v>120</v>
      </c>
      <c r="I25" s="5" t="s">
        <v>68</v>
      </c>
      <c r="L25">
        <v>500</v>
      </c>
      <c r="M25">
        <v>485</v>
      </c>
      <c r="N25">
        <v>337</v>
      </c>
      <c r="O25">
        <v>0</v>
      </c>
      <c r="P25">
        <v>0</v>
      </c>
    </row>
    <row r="26" spans="1:23">
      <c r="A26" s="4">
        <v>46126</v>
      </c>
      <c r="B26" t="s">
        <v>78</v>
      </c>
      <c r="D26" t="s">
        <v>118</v>
      </c>
      <c r="I26" s="5"/>
      <c r="J26" t="s">
        <v>35</v>
      </c>
      <c r="K26" t="s">
        <v>69</v>
      </c>
      <c r="L26">
        <v>138</v>
      </c>
      <c r="M26">
        <v>38</v>
      </c>
      <c r="N26">
        <v>4</v>
      </c>
      <c r="O26">
        <v>0</v>
      </c>
      <c r="P26">
        <v>0</v>
      </c>
    </row>
    <row r="27" spans="1:23">
      <c r="A27" s="4">
        <v>46126</v>
      </c>
      <c r="B27" t="s">
        <v>78</v>
      </c>
      <c r="D27" t="s">
        <v>123</v>
      </c>
      <c r="J27" t="s">
        <v>35</v>
      </c>
      <c r="K27" t="s">
        <v>121</v>
      </c>
      <c r="L27">
        <v>38</v>
      </c>
      <c r="M27">
        <v>1</v>
      </c>
      <c r="N27">
        <v>1</v>
      </c>
      <c r="O27">
        <v>0</v>
      </c>
      <c r="P27">
        <v>0</v>
      </c>
    </row>
    <row r="28" spans="1:23" ht="6.6" customHeight="1">
      <c r="A28" s="22"/>
      <c r="B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5"/>
      <c r="R28" s="25"/>
      <c r="S28" s="24"/>
      <c r="T28" s="24"/>
      <c r="U28" s="24"/>
      <c r="V28" s="25"/>
      <c r="W28" s="26"/>
    </row>
    <row r="29" spans="1:23">
      <c r="A29" s="6">
        <v>46127</v>
      </c>
      <c r="B29" s="7" t="s">
        <v>124</v>
      </c>
      <c r="C29" s="18"/>
      <c r="D29" s="18" t="s">
        <v>107</v>
      </c>
      <c r="E29" s="18" t="s">
        <v>109</v>
      </c>
      <c r="F29" s="18" t="s">
        <v>110</v>
      </c>
      <c r="G29" s="18"/>
      <c r="H29" s="18"/>
      <c r="I29" s="14"/>
      <c r="J29" s="18" t="s">
        <v>34</v>
      </c>
      <c r="K29" s="18" t="s">
        <v>106</v>
      </c>
      <c r="L29" s="7">
        <v>109</v>
      </c>
      <c r="M29" s="7">
        <v>6</v>
      </c>
      <c r="N29" s="7">
        <v>0</v>
      </c>
      <c r="O29" s="7">
        <v>0</v>
      </c>
      <c r="P29" s="7">
        <v>0</v>
      </c>
      <c r="Q29" s="32">
        <f t="shared" ref="Q29:R34" si="0">M29/L29</f>
        <v>5.5045871559633031E-2</v>
      </c>
      <c r="R29" s="32">
        <f t="shared" si="0"/>
        <v>0</v>
      </c>
      <c r="S29" s="7"/>
      <c r="T29" s="7"/>
      <c r="U29" s="7"/>
      <c r="V29" s="7"/>
      <c r="W29" s="7"/>
    </row>
    <row r="30" spans="1:23">
      <c r="A30" s="6">
        <v>46127</v>
      </c>
      <c r="B30" s="7" t="s">
        <v>124</v>
      </c>
      <c r="C30" s="18"/>
      <c r="D30" s="18" t="s">
        <v>144</v>
      </c>
      <c r="E30" s="18" t="s">
        <v>109</v>
      </c>
      <c r="F30" s="18" t="s">
        <v>145</v>
      </c>
      <c r="G30" s="18"/>
      <c r="H30" s="18"/>
      <c r="I30" s="30" t="s">
        <v>130</v>
      </c>
      <c r="J30" s="18"/>
      <c r="K30" s="18" t="s">
        <v>157</v>
      </c>
      <c r="L30" s="7">
        <v>2</v>
      </c>
      <c r="M30" s="7">
        <v>1</v>
      </c>
      <c r="N30" s="7">
        <v>0</v>
      </c>
      <c r="O30" s="7">
        <v>0</v>
      </c>
      <c r="P30" s="7">
        <v>0</v>
      </c>
      <c r="Q30" s="32">
        <f t="shared" si="0"/>
        <v>0.5</v>
      </c>
      <c r="R30" s="32">
        <f t="shared" si="0"/>
        <v>0</v>
      </c>
      <c r="S30" s="7"/>
      <c r="T30" s="7"/>
      <c r="U30" s="7"/>
      <c r="V30" s="7"/>
      <c r="W30" s="7"/>
    </row>
    <row r="31" spans="1:23">
      <c r="A31" s="6">
        <v>46127</v>
      </c>
      <c r="B31" s="7" t="s">
        <v>124</v>
      </c>
      <c r="C31" s="18"/>
      <c r="D31" s="18" t="s">
        <v>146</v>
      </c>
      <c r="E31" s="18" t="s">
        <v>109</v>
      </c>
      <c r="F31" s="18" t="s">
        <v>147</v>
      </c>
      <c r="G31" s="18"/>
      <c r="H31" s="18"/>
      <c r="I31" s="30" t="s">
        <v>143</v>
      </c>
      <c r="J31" s="18"/>
      <c r="K31" s="18" t="s">
        <v>149</v>
      </c>
      <c r="L31" s="7">
        <v>1</v>
      </c>
      <c r="M31" s="7">
        <v>1</v>
      </c>
      <c r="N31" s="7">
        <v>0</v>
      </c>
      <c r="O31" s="7">
        <v>0</v>
      </c>
      <c r="P31" s="7">
        <v>0</v>
      </c>
      <c r="Q31" s="32">
        <f t="shared" si="0"/>
        <v>1</v>
      </c>
      <c r="R31" s="32">
        <f t="shared" si="0"/>
        <v>0</v>
      </c>
      <c r="S31" s="7"/>
      <c r="T31" s="7"/>
      <c r="U31" s="7"/>
      <c r="V31" s="7"/>
      <c r="W31" s="7"/>
    </row>
    <row r="32" spans="1:23">
      <c r="A32" s="6">
        <v>46127</v>
      </c>
      <c r="B32" s="7" t="s">
        <v>124</v>
      </c>
      <c r="C32" s="7"/>
      <c r="D32" s="31" t="s">
        <v>152</v>
      </c>
      <c r="E32" s="7"/>
      <c r="F32" s="7"/>
      <c r="G32" s="7"/>
      <c r="H32" s="7"/>
      <c r="I32" s="14" t="s">
        <v>67</v>
      </c>
      <c r="J32" s="7" t="s">
        <v>34</v>
      </c>
      <c r="K32" s="7"/>
      <c r="L32" s="7">
        <v>1498</v>
      </c>
      <c r="M32" s="7">
        <v>1440</v>
      </c>
      <c r="N32" s="7">
        <v>1057</v>
      </c>
      <c r="O32" s="7">
        <v>0</v>
      </c>
      <c r="P32" s="7">
        <v>2</v>
      </c>
      <c r="Q32" s="32">
        <f t="shared" si="0"/>
        <v>0.96128170894526033</v>
      </c>
      <c r="R32" s="32">
        <f t="shared" si="0"/>
        <v>0.73402777777777772</v>
      </c>
      <c r="S32" s="7"/>
      <c r="T32" s="7"/>
      <c r="U32" s="7"/>
      <c r="V32" s="7"/>
      <c r="W32" s="7"/>
    </row>
    <row r="33" spans="1:23">
      <c r="A33" s="6">
        <v>46127</v>
      </c>
      <c r="B33" s="7" t="s">
        <v>124</v>
      </c>
      <c r="C33" s="7"/>
      <c r="D33" s="31" t="s">
        <v>153</v>
      </c>
      <c r="E33" s="7"/>
      <c r="F33" s="7"/>
      <c r="G33" s="7"/>
      <c r="H33" s="7"/>
      <c r="I33" s="14" t="s">
        <v>64</v>
      </c>
      <c r="J33" s="7" t="s">
        <v>34</v>
      </c>
      <c r="K33" s="7"/>
      <c r="L33" s="7">
        <v>498</v>
      </c>
      <c r="M33" s="7">
        <v>482</v>
      </c>
      <c r="N33" s="7">
        <v>367</v>
      </c>
      <c r="O33" s="7">
        <v>0</v>
      </c>
      <c r="P33" s="7">
        <v>0</v>
      </c>
      <c r="Q33" s="32">
        <f t="shared" si="0"/>
        <v>0.96787148594377514</v>
      </c>
      <c r="R33" s="32">
        <f t="shared" si="0"/>
        <v>0.7614107883817427</v>
      </c>
      <c r="S33" s="7"/>
      <c r="T33" s="7"/>
      <c r="U33" s="7"/>
      <c r="V33" s="7"/>
      <c r="W33" s="7"/>
    </row>
    <row r="34" spans="1:23">
      <c r="A34" s="6">
        <v>46127</v>
      </c>
      <c r="B34" s="7" t="s">
        <v>124</v>
      </c>
      <c r="C34" s="7"/>
      <c r="D34" s="31" t="s">
        <v>154</v>
      </c>
      <c r="E34" s="7"/>
      <c r="F34" s="7"/>
      <c r="G34" s="7"/>
      <c r="H34" s="7"/>
      <c r="I34" s="14" t="s">
        <v>64</v>
      </c>
      <c r="J34" s="7" t="s">
        <v>34</v>
      </c>
      <c r="K34" s="7"/>
      <c r="L34" s="7">
        <v>498</v>
      </c>
      <c r="M34" s="7">
        <v>485</v>
      </c>
      <c r="N34" s="7">
        <v>350</v>
      </c>
      <c r="O34" s="7">
        <v>0</v>
      </c>
      <c r="P34" s="7">
        <v>0</v>
      </c>
      <c r="Q34" s="32">
        <f t="shared" si="0"/>
        <v>0.97389558232931728</v>
      </c>
      <c r="R34" s="32">
        <f t="shared" si="0"/>
        <v>0.72164948453608246</v>
      </c>
      <c r="S34" s="7"/>
      <c r="T34" s="7"/>
      <c r="U34" s="7"/>
      <c r="V34" s="7"/>
      <c r="W34" s="7"/>
    </row>
    <row r="35" spans="1:23">
      <c r="A35" s="6">
        <v>46127</v>
      </c>
      <c r="B35" s="7" t="s">
        <v>124</v>
      </c>
      <c r="C35" s="7"/>
      <c r="D35" s="7" t="s">
        <v>148</v>
      </c>
      <c r="E35" s="7" t="s">
        <v>109</v>
      </c>
      <c r="F35" s="7" t="s">
        <v>150</v>
      </c>
      <c r="G35" s="7" t="s">
        <v>85</v>
      </c>
      <c r="H35" s="7" t="s">
        <v>149</v>
      </c>
      <c r="I35" s="14"/>
      <c r="J35" s="7" t="s">
        <v>34</v>
      </c>
      <c r="K35" s="7" t="s">
        <v>149</v>
      </c>
      <c r="L35" s="7">
        <v>141</v>
      </c>
      <c r="M35" s="7">
        <v>14</v>
      </c>
      <c r="N35" s="7">
        <v>3</v>
      </c>
      <c r="O35" s="7">
        <v>0</v>
      </c>
      <c r="P35" s="7">
        <v>0</v>
      </c>
      <c r="Q35" s="32">
        <f t="shared" ref="Q35" si="1">M35/L35</f>
        <v>9.9290780141843976E-2</v>
      </c>
      <c r="R35" s="32">
        <f t="shared" ref="R35" si="2">N35/M35</f>
        <v>0.21428571428571427</v>
      </c>
      <c r="S35" s="7"/>
      <c r="T35" s="7"/>
      <c r="U35" s="7"/>
      <c r="V35" s="7"/>
      <c r="W35" s="7"/>
    </row>
    <row r="36" spans="1:23" ht="18.600000000000001" customHeight="1">
      <c r="A36" s="6">
        <v>46127</v>
      </c>
      <c r="B36" s="7" t="s">
        <v>124</v>
      </c>
      <c r="C36" s="7"/>
      <c r="D36" s="7" t="s">
        <v>151</v>
      </c>
      <c r="E36" s="7" t="s">
        <v>109</v>
      </c>
      <c r="F36" s="7" t="s">
        <v>150</v>
      </c>
      <c r="G36" s="7" t="s">
        <v>85</v>
      </c>
      <c r="H36" s="7" t="s">
        <v>121</v>
      </c>
      <c r="I36" s="14"/>
      <c r="J36" s="7" t="s">
        <v>34</v>
      </c>
      <c r="K36" s="7" t="s">
        <v>121</v>
      </c>
      <c r="L36" s="7">
        <v>89</v>
      </c>
      <c r="M36" s="7">
        <v>2</v>
      </c>
      <c r="N36" s="7">
        <v>1</v>
      </c>
      <c r="O36" s="7">
        <v>0</v>
      </c>
      <c r="P36" s="7">
        <v>0</v>
      </c>
      <c r="Q36" s="32">
        <f t="shared" ref="Q36:Q44" si="3">M36/L36</f>
        <v>2.247191011235955E-2</v>
      </c>
      <c r="R36" s="32">
        <f t="shared" ref="R36:R44" si="4">N36/M36</f>
        <v>0.5</v>
      </c>
      <c r="S36" s="7"/>
      <c r="T36" s="7"/>
      <c r="U36" s="7"/>
      <c r="V36" s="7"/>
      <c r="W36" s="7"/>
    </row>
    <row r="37" spans="1:23">
      <c r="A37" s="6">
        <v>46127</v>
      </c>
      <c r="B37" s="7" t="s">
        <v>124</v>
      </c>
      <c r="C37" s="18"/>
      <c r="D37" s="18" t="s">
        <v>108</v>
      </c>
      <c r="E37" s="18" t="s">
        <v>116</v>
      </c>
      <c r="F37" s="18" t="s">
        <v>115</v>
      </c>
      <c r="G37" s="18"/>
      <c r="H37" s="18"/>
      <c r="I37" s="14"/>
      <c r="J37" s="18" t="s">
        <v>35</v>
      </c>
      <c r="K37" s="18" t="s">
        <v>106</v>
      </c>
      <c r="L37" s="7">
        <v>109</v>
      </c>
      <c r="M37" s="7">
        <v>5</v>
      </c>
      <c r="N37" s="7">
        <v>2</v>
      </c>
      <c r="O37" s="7">
        <v>0</v>
      </c>
      <c r="P37" s="7">
        <v>0</v>
      </c>
      <c r="Q37" s="32">
        <f t="shared" si="3"/>
        <v>4.5871559633027525E-2</v>
      </c>
      <c r="R37" s="32">
        <f t="shared" si="4"/>
        <v>0.4</v>
      </c>
      <c r="S37" s="7"/>
      <c r="T37" s="7"/>
      <c r="U37" s="7"/>
      <c r="V37" s="7"/>
      <c r="W37" s="7"/>
    </row>
    <row r="38" spans="1:23">
      <c r="A38" s="6">
        <v>46127</v>
      </c>
      <c r="B38" s="7" t="s">
        <v>124</v>
      </c>
      <c r="C38" s="18"/>
      <c r="D38" s="18" t="s">
        <v>155</v>
      </c>
      <c r="E38" s="18" t="s">
        <v>116</v>
      </c>
      <c r="F38" s="18" t="s">
        <v>156</v>
      </c>
      <c r="G38" s="18"/>
      <c r="H38" s="18"/>
      <c r="I38" s="30" t="s">
        <v>130</v>
      </c>
      <c r="J38" s="18"/>
      <c r="K38" s="18" t="s">
        <v>157</v>
      </c>
      <c r="L38" s="7">
        <v>2</v>
      </c>
      <c r="M38" s="7">
        <v>0</v>
      </c>
      <c r="N38" s="7">
        <v>0</v>
      </c>
      <c r="O38" s="7">
        <v>0</v>
      </c>
      <c r="P38" s="7">
        <v>0</v>
      </c>
      <c r="Q38" s="32">
        <f t="shared" si="3"/>
        <v>0</v>
      </c>
      <c r="R38" s="32" t="e">
        <f t="shared" si="4"/>
        <v>#DIV/0!</v>
      </c>
      <c r="S38" s="7"/>
      <c r="T38" s="7"/>
      <c r="U38" s="7"/>
      <c r="V38" s="7"/>
      <c r="W38" s="7"/>
    </row>
    <row r="39" spans="1:23">
      <c r="A39" s="6">
        <v>46127</v>
      </c>
      <c r="B39" s="7" t="s">
        <v>124</v>
      </c>
      <c r="C39" s="18"/>
      <c r="D39" s="18" t="s">
        <v>158</v>
      </c>
      <c r="E39" s="18" t="s">
        <v>116</v>
      </c>
      <c r="F39" s="18" t="s">
        <v>159</v>
      </c>
      <c r="G39" s="18"/>
      <c r="H39" s="18"/>
      <c r="I39" s="30" t="s">
        <v>143</v>
      </c>
      <c r="J39" s="18"/>
      <c r="K39" s="18" t="s">
        <v>149</v>
      </c>
      <c r="L39" s="7">
        <v>1</v>
      </c>
      <c r="M39" s="7">
        <v>1</v>
      </c>
      <c r="N39" s="7">
        <v>0</v>
      </c>
      <c r="O39" s="7">
        <v>0</v>
      </c>
      <c r="P39" s="7">
        <v>0</v>
      </c>
      <c r="Q39" s="32">
        <f t="shared" si="3"/>
        <v>1</v>
      </c>
      <c r="R39" s="32">
        <f t="shared" si="4"/>
        <v>0</v>
      </c>
      <c r="S39" s="7"/>
      <c r="T39" s="7"/>
      <c r="U39" s="7"/>
      <c r="V39" s="7"/>
      <c r="W39" s="7"/>
    </row>
    <row r="40" spans="1:23">
      <c r="A40" s="6">
        <v>46127</v>
      </c>
      <c r="B40" s="7" t="s">
        <v>124</v>
      </c>
      <c r="C40" s="7"/>
      <c r="D40" s="31" t="s">
        <v>163</v>
      </c>
      <c r="E40" s="7"/>
      <c r="F40" s="7"/>
      <c r="G40" s="7"/>
      <c r="H40" s="7"/>
      <c r="I40" s="14" t="s">
        <v>67</v>
      </c>
      <c r="J40" s="7" t="s">
        <v>35</v>
      </c>
      <c r="K40" s="7"/>
      <c r="L40" s="7">
        <v>1499</v>
      </c>
      <c r="M40" s="7">
        <v>1430</v>
      </c>
      <c r="N40" s="7">
        <v>985</v>
      </c>
      <c r="O40" s="7">
        <v>0</v>
      </c>
      <c r="P40" s="7">
        <v>0</v>
      </c>
      <c r="Q40" s="32">
        <f t="shared" si="3"/>
        <v>0.95396931287525022</v>
      </c>
      <c r="R40" s="32">
        <f t="shared" si="4"/>
        <v>0.68881118881118886</v>
      </c>
      <c r="S40" s="7"/>
      <c r="T40" s="7"/>
      <c r="U40" s="7"/>
      <c r="V40" s="7"/>
      <c r="W40" s="7"/>
    </row>
    <row r="41" spans="1:23">
      <c r="A41" s="6">
        <v>46127</v>
      </c>
      <c r="B41" s="7" t="s">
        <v>124</v>
      </c>
      <c r="C41" s="7"/>
      <c r="D41" s="31" t="s">
        <v>164</v>
      </c>
      <c r="E41" s="7"/>
      <c r="F41" s="7"/>
      <c r="G41" s="7"/>
      <c r="H41" s="7"/>
      <c r="I41" s="14" t="s">
        <v>68</v>
      </c>
      <c r="J41" s="7" t="s">
        <v>35</v>
      </c>
      <c r="K41" s="7"/>
      <c r="L41" s="7">
        <v>500</v>
      </c>
      <c r="M41" s="7">
        <v>487</v>
      </c>
      <c r="N41" s="7">
        <v>329</v>
      </c>
      <c r="O41" s="7">
        <v>0</v>
      </c>
      <c r="P41" s="7">
        <v>0</v>
      </c>
      <c r="Q41" s="32">
        <f t="shared" si="3"/>
        <v>0.97399999999999998</v>
      </c>
      <c r="R41" s="32">
        <f t="shared" si="4"/>
        <v>0.67556468172484596</v>
      </c>
      <c r="S41" s="7"/>
      <c r="T41" s="7"/>
      <c r="U41" s="7"/>
      <c r="V41" s="7"/>
      <c r="W41" s="7"/>
    </row>
    <row r="42" spans="1:23">
      <c r="A42" s="6">
        <v>46127</v>
      </c>
      <c r="B42" s="7" t="s">
        <v>124</v>
      </c>
      <c r="C42" s="7"/>
      <c r="D42" s="31" t="s">
        <v>165</v>
      </c>
      <c r="E42" s="7"/>
      <c r="F42" s="7"/>
      <c r="G42" s="7"/>
      <c r="H42" s="7"/>
      <c r="I42" s="14" t="s">
        <v>68</v>
      </c>
      <c r="J42" s="7"/>
      <c r="K42" s="7"/>
      <c r="L42" s="7">
        <v>500</v>
      </c>
      <c r="M42" s="7">
        <v>486</v>
      </c>
      <c r="N42" s="7">
        <v>317</v>
      </c>
      <c r="O42" s="7">
        <v>0</v>
      </c>
      <c r="P42" s="7">
        <v>0</v>
      </c>
      <c r="Q42" s="32">
        <f t="shared" si="3"/>
        <v>0.97199999999999998</v>
      </c>
      <c r="R42" s="32">
        <f t="shared" si="4"/>
        <v>0.65226337448559668</v>
      </c>
      <c r="S42" s="7"/>
      <c r="T42" s="7"/>
      <c r="U42" s="7"/>
      <c r="V42" s="7"/>
      <c r="W42" s="7"/>
    </row>
    <row r="43" spans="1:23">
      <c r="A43" s="6">
        <v>46127</v>
      </c>
      <c r="B43" s="7" t="s">
        <v>124</v>
      </c>
      <c r="C43" s="7"/>
      <c r="D43" s="7" t="s">
        <v>160</v>
      </c>
      <c r="E43" s="7" t="s">
        <v>116</v>
      </c>
      <c r="F43" s="7" t="s">
        <v>161</v>
      </c>
      <c r="G43" s="7" t="s">
        <v>85</v>
      </c>
      <c r="H43" s="7" t="s">
        <v>149</v>
      </c>
      <c r="I43" s="14"/>
      <c r="J43" s="7" t="s">
        <v>35</v>
      </c>
      <c r="K43" s="7" t="s">
        <v>149</v>
      </c>
      <c r="L43" s="7">
        <v>141</v>
      </c>
      <c r="M43" s="7">
        <v>33</v>
      </c>
      <c r="N43" s="7">
        <v>9</v>
      </c>
      <c r="O43" s="7">
        <v>1</v>
      </c>
      <c r="P43" s="7">
        <v>0</v>
      </c>
      <c r="Q43" s="32">
        <f t="shared" si="3"/>
        <v>0.23404255319148937</v>
      </c>
      <c r="R43" s="32">
        <f t="shared" si="4"/>
        <v>0.27272727272727271</v>
      </c>
      <c r="S43" s="7"/>
      <c r="T43" s="7"/>
      <c r="U43" s="7"/>
      <c r="V43" s="7"/>
      <c r="W43" s="7"/>
    </row>
    <row r="44" spans="1:23">
      <c r="A44" s="6">
        <v>46127</v>
      </c>
      <c r="B44" s="7" t="s">
        <v>124</v>
      </c>
      <c r="C44" s="7"/>
      <c r="D44" s="7" t="s">
        <v>162</v>
      </c>
      <c r="E44" s="7" t="s">
        <v>116</v>
      </c>
      <c r="F44" s="7" t="s">
        <v>161</v>
      </c>
      <c r="G44" s="7" t="s">
        <v>85</v>
      </c>
      <c r="H44" s="7" t="s">
        <v>121</v>
      </c>
      <c r="I44" s="14"/>
      <c r="J44" s="7" t="s">
        <v>35</v>
      </c>
      <c r="K44" s="7" t="s">
        <v>121</v>
      </c>
      <c r="L44" s="7">
        <v>192</v>
      </c>
      <c r="M44" s="7">
        <v>25</v>
      </c>
      <c r="N44" s="7">
        <v>15</v>
      </c>
      <c r="O44" s="7">
        <v>1</v>
      </c>
      <c r="P44" s="7">
        <v>0</v>
      </c>
      <c r="Q44" s="32">
        <f t="shared" si="3"/>
        <v>0.13020833333333334</v>
      </c>
      <c r="R44" s="32">
        <f t="shared" si="4"/>
        <v>0.6</v>
      </c>
      <c r="S44" s="7"/>
      <c r="T44" s="7"/>
      <c r="U44" s="7"/>
      <c r="V44" s="7"/>
      <c r="W44" s="7"/>
    </row>
    <row r="45" spans="1:23" ht="6.6" customHeight="1">
      <c r="A45" s="22"/>
      <c r="B45" s="23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5"/>
      <c r="R45" s="25"/>
      <c r="S45" s="24"/>
      <c r="T45" s="24"/>
      <c r="U45" s="24"/>
      <c r="V45" s="25"/>
      <c r="W45" s="26"/>
    </row>
    <row r="46" spans="1:23">
      <c r="A46" s="6">
        <v>46128</v>
      </c>
      <c r="B46" s="7" t="s">
        <v>166</v>
      </c>
      <c r="C46" s="18"/>
      <c r="D46" s="18" t="s">
        <v>185</v>
      </c>
      <c r="E46" s="18" t="s">
        <v>109</v>
      </c>
      <c r="F46" s="18" t="s">
        <v>110</v>
      </c>
      <c r="G46" s="18"/>
      <c r="H46" s="18" t="s">
        <v>106</v>
      </c>
      <c r="I46" s="30" t="s">
        <v>167</v>
      </c>
      <c r="J46" s="18" t="s">
        <v>34</v>
      </c>
      <c r="K46" s="18" t="s">
        <v>106</v>
      </c>
      <c r="L46" s="7">
        <v>77</v>
      </c>
      <c r="M46" s="7">
        <v>1</v>
      </c>
      <c r="N46" s="7">
        <v>0</v>
      </c>
      <c r="O46" s="7">
        <v>0</v>
      </c>
      <c r="P46" s="7">
        <v>1</v>
      </c>
      <c r="Q46" s="32">
        <f t="shared" ref="Q46:Q66" si="5">M46/L46</f>
        <v>1.2987012987012988E-2</v>
      </c>
      <c r="R46" s="32">
        <f t="shared" ref="R46:R66" si="6">N46/M46</f>
        <v>0</v>
      </c>
      <c r="S46" s="7"/>
      <c r="T46" s="7"/>
      <c r="U46" s="7"/>
      <c r="V46" s="7"/>
      <c r="W46" s="7"/>
    </row>
    <row r="47" spans="1:23">
      <c r="A47" s="6">
        <v>46128</v>
      </c>
      <c r="B47" s="7" t="s">
        <v>166</v>
      </c>
      <c r="C47" s="18"/>
      <c r="D47" s="18" t="s">
        <v>144</v>
      </c>
      <c r="E47" s="18" t="s">
        <v>109</v>
      </c>
      <c r="F47" s="18" t="s">
        <v>145</v>
      </c>
      <c r="G47" s="18"/>
      <c r="H47" s="18" t="s">
        <v>157</v>
      </c>
      <c r="I47" s="30" t="s">
        <v>169</v>
      </c>
      <c r="J47" s="18" t="s">
        <v>34</v>
      </c>
      <c r="K47" s="18" t="s">
        <v>157</v>
      </c>
      <c r="L47" s="7">
        <v>5</v>
      </c>
      <c r="M47" s="7">
        <v>2</v>
      </c>
      <c r="N47" s="7">
        <v>1</v>
      </c>
      <c r="O47" s="7">
        <v>0</v>
      </c>
      <c r="P47" s="7">
        <v>0</v>
      </c>
      <c r="Q47" s="32">
        <f t="shared" si="5"/>
        <v>0.4</v>
      </c>
      <c r="R47" s="32">
        <f t="shared" si="6"/>
        <v>0.5</v>
      </c>
      <c r="S47" s="7"/>
      <c r="T47" s="7"/>
      <c r="U47" s="7"/>
      <c r="V47" s="7"/>
      <c r="W47" s="7"/>
    </row>
    <row r="48" spans="1:23">
      <c r="A48" s="6">
        <v>46128</v>
      </c>
      <c r="B48" s="7" t="s">
        <v>166</v>
      </c>
      <c r="C48" s="18"/>
      <c r="D48" s="18" t="s">
        <v>146</v>
      </c>
      <c r="E48" s="18" t="s">
        <v>109</v>
      </c>
      <c r="F48" s="18" t="s">
        <v>147</v>
      </c>
      <c r="G48" s="18"/>
      <c r="H48" s="18" t="s">
        <v>149</v>
      </c>
      <c r="I48" s="30" t="s">
        <v>169</v>
      </c>
      <c r="J48" s="18" t="s">
        <v>34</v>
      </c>
      <c r="K48" s="18" t="s">
        <v>149</v>
      </c>
      <c r="L48" s="7">
        <v>2</v>
      </c>
      <c r="M48" s="7">
        <v>1</v>
      </c>
      <c r="N48" s="7">
        <v>0</v>
      </c>
      <c r="O48" s="7">
        <v>0</v>
      </c>
      <c r="P48" s="7">
        <v>0</v>
      </c>
      <c r="Q48" s="32">
        <f t="shared" si="5"/>
        <v>0.5</v>
      </c>
      <c r="R48" s="32">
        <f t="shared" si="6"/>
        <v>0</v>
      </c>
      <c r="S48" s="7"/>
      <c r="T48" s="7"/>
      <c r="U48" s="7"/>
      <c r="V48" s="7"/>
      <c r="W48" s="7"/>
    </row>
    <row r="49" spans="1:23">
      <c r="A49" s="6">
        <v>46128</v>
      </c>
      <c r="B49" s="7" t="s">
        <v>166</v>
      </c>
      <c r="C49" s="18"/>
      <c r="D49" s="18" t="s">
        <v>187</v>
      </c>
      <c r="E49" s="18" t="s">
        <v>109</v>
      </c>
      <c r="F49" s="18" t="s">
        <v>188</v>
      </c>
      <c r="G49" s="18"/>
      <c r="H49" s="18"/>
      <c r="I49" s="30" t="s">
        <v>168</v>
      </c>
      <c r="J49" s="18" t="s">
        <v>34</v>
      </c>
      <c r="K49" s="18" t="s">
        <v>186</v>
      </c>
      <c r="L49" s="7">
        <v>32</v>
      </c>
      <c r="M49" s="7">
        <v>1</v>
      </c>
      <c r="N49" s="7">
        <v>0</v>
      </c>
      <c r="O49" s="7">
        <v>0</v>
      </c>
      <c r="P49" s="7">
        <v>0</v>
      </c>
      <c r="Q49" s="32">
        <f t="shared" ref="Q49:Q51" si="7">M49/L49</f>
        <v>3.125E-2</v>
      </c>
      <c r="R49" s="32">
        <f t="shared" ref="R49:R51" si="8">N49/M49</f>
        <v>0</v>
      </c>
      <c r="S49" s="7"/>
      <c r="T49" s="7"/>
      <c r="U49" s="7"/>
      <c r="V49" s="7"/>
      <c r="W49" s="7"/>
    </row>
    <row r="50" spans="1:23">
      <c r="A50" s="6">
        <v>46128</v>
      </c>
      <c r="B50" s="7" t="s">
        <v>166</v>
      </c>
      <c r="C50" s="7"/>
      <c r="D50" s="31" t="s">
        <v>172</v>
      </c>
      <c r="E50" s="7"/>
      <c r="F50" s="7"/>
      <c r="G50" s="7"/>
      <c r="H50" s="7"/>
      <c r="I50" s="14" t="s">
        <v>67</v>
      </c>
      <c r="J50" s="7" t="s">
        <v>34</v>
      </c>
      <c r="K50" s="7" t="s">
        <v>170</v>
      </c>
      <c r="L50" s="7">
        <v>1498</v>
      </c>
      <c r="M50" s="7">
        <v>1433</v>
      </c>
      <c r="N50" s="7">
        <v>1043</v>
      </c>
      <c r="O50" s="7">
        <v>0</v>
      </c>
      <c r="P50" s="7">
        <v>2</v>
      </c>
      <c r="Q50" s="32">
        <f t="shared" si="7"/>
        <v>0.9566088117489987</v>
      </c>
      <c r="R50" s="32">
        <f t="shared" si="8"/>
        <v>0.72784368457780879</v>
      </c>
      <c r="S50" s="7"/>
      <c r="T50" s="7"/>
      <c r="U50" s="7"/>
      <c r="V50" s="7"/>
      <c r="W50" s="7"/>
    </row>
    <row r="51" spans="1:23">
      <c r="A51" s="6">
        <v>46128</v>
      </c>
      <c r="B51" s="7" t="s">
        <v>166</v>
      </c>
      <c r="C51" s="7"/>
      <c r="D51" s="31" t="s">
        <v>173</v>
      </c>
      <c r="E51" s="7"/>
      <c r="F51" s="7"/>
      <c r="G51" s="7"/>
      <c r="H51" s="7"/>
      <c r="I51" s="47" t="s">
        <v>178</v>
      </c>
      <c r="J51" s="7" t="s">
        <v>34</v>
      </c>
      <c r="K51" s="7" t="s">
        <v>170</v>
      </c>
      <c r="L51" s="7">
        <v>386</v>
      </c>
      <c r="M51" s="7">
        <v>356</v>
      </c>
      <c r="N51" s="7">
        <v>264</v>
      </c>
      <c r="O51" s="7">
        <v>0</v>
      </c>
      <c r="P51" s="7">
        <v>0</v>
      </c>
      <c r="Q51" s="32">
        <f t="shared" si="7"/>
        <v>0.92227979274611394</v>
      </c>
      <c r="R51" s="32">
        <f t="shared" si="8"/>
        <v>0.7415730337078652</v>
      </c>
      <c r="S51" s="7"/>
      <c r="T51" s="7"/>
      <c r="U51" s="7"/>
      <c r="V51" s="7"/>
      <c r="W51" s="7"/>
    </row>
    <row r="52" spans="1:23">
      <c r="A52" s="6">
        <v>46128</v>
      </c>
      <c r="B52" s="7" t="s">
        <v>166</v>
      </c>
      <c r="C52" s="7"/>
      <c r="D52" s="31" t="s">
        <v>174</v>
      </c>
      <c r="E52" s="7"/>
      <c r="F52" s="7"/>
      <c r="G52" s="7"/>
      <c r="H52" s="7"/>
      <c r="I52" s="14" t="s">
        <v>64</v>
      </c>
      <c r="J52" s="7" t="s">
        <v>34</v>
      </c>
      <c r="K52" s="7" t="s">
        <v>171</v>
      </c>
      <c r="L52" s="7">
        <v>193</v>
      </c>
      <c r="M52" s="7">
        <v>126</v>
      </c>
      <c r="N52" s="7">
        <v>92</v>
      </c>
      <c r="O52" s="7">
        <v>0</v>
      </c>
      <c r="P52" s="7">
        <v>305</v>
      </c>
      <c r="Q52" s="32">
        <f t="shared" si="5"/>
        <v>0.65284974093264247</v>
      </c>
      <c r="R52" s="32">
        <f t="shared" si="6"/>
        <v>0.73015873015873012</v>
      </c>
      <c r="S52" s="7"/>
      <c r="T52" s="7"/>
      <c r="U52" s="7"/>
      <c r="V52" s="7"/>
      <c r="W52" s="7"/>
    </row>
    <row r="53" spans="1:23">
      <c r="A53" s="6">
        <v>46128</v>
      </c>
      <c r="B53" s="7" t="s">
        <v>166</v>
      </c>
      <c r="C53" s="7"/>
      <c r="D53" s="31" t="s">
        <v>175</v>
      </c>
      <c r="E53" s="7"/>
      <c r="F53" s="7"/>
      <c r="G53" s="7"/>
      <c r="H53" s="7"/>
      <c r="I53" s="14" t="s">
        <v>64</v>
      </c>
      <c r="J53" s="7" t="s">
        <v>34</v>
      </c>
      <c r="K53" s="7" t="s">
        <v>171</v>
      </c>
      <c r="L53" s="7">
        <v>193</v>
      </c>
      <c r="M53" s="7">
        <v>126</v>
      </c>
      <c r="N53" s="7">
        <v>89</v>
      </c>
      <c r="O53" s="7">
        <v>0</v>
      </c>
      <c r="P53" s="7">
        <v>0</v>
      </c>
      <c r="Q53" s="32">
        <f t="shared" si="5"/>
        <v>0.65284974093264247</v>
      </c>
      <c r="R53" s="32">
        <f t="shared" si="6"/>
        <v>0.70634920634920639</v>
      </c>
      <c r="S53" s="7"/>
      <c r="T53" s="7"/>
      <c r="U53" s="7"/>
      <c r="V53" s="7"/>
      <c r="W53" s="7"/>
    </row>
    <row r="54" spans="1:23">
      <c r="A54" s="6">
        <v>46128</v>
      </c>
      <c r="B54" s="7" t="s">
        <v>166</v>
      </c>
      <c r="C54" s="7"/>
      <c r="D54" s="31" t="s">
        <v>176</v>
      </c>
      <c r="E54" s="7" t="s">
        <v>109</v>
      </c>
      <c r="F54" s="7" t="s">
        <v>150</v>
      </c>
      <c r="G54" s="7" t="s">
        <v>85</v>
      </c>
      <c r="H54" s="7"/>
      <c r="I54" s="14"/>
      <c r="J54" s="7" t="s">
        <v>34</v>
      </c>
      <c r="K54" s="7" t="s">
        <v>149</v>
      </c>
      <c r="L54" s="7">
        <v>143</v>
      </c>
      <c r="M54" s="7">
        <v>19</v>
      </c>
      <c r="N54" s="7">
        <v>5</v>
      </c>
      <c r="O54" s="7">
        <v>1</v>
      </c>
      <c r="P54" s="7">
        <v>0</v>
      </c>
      <c r="Q54" s="32">
        <f t="shared" si="5"/>
        <v>0.13286713286713286</v>
      </c>
      <c r="R54" s="32">
        <f t="shared" si="6"/>
        <v>0.26315789473684209</v>
      </c>
      <c r="S54" s="7"/>
      <c r="T54" s="7"/>
      <c r="U54" s="7"/>
      <c r="V54" s="7"/>
      <c r="W54" s="7"/>
    </row>
    <row r="55" spans="1:23">
      <c r="A55" s="34">
        <v>46128</v>
      </c>
      <c r="B55" s="35" t="s">
        <v>166</v>
      </c>
      <c r="C55" s="35"/>
      <c r="D55" s="48" t="s">
        <v>177</v>
      </c>
      <c r="E55" s="35" t="s">
        <v>109</v>
      </c>
      <c r="F55" s="35" t="s">
        <v>150</v>
      </c>
      <c r="G55" s="7" t="s">
        <v>85</v>
      </c>
      <c r="H55" s="35"/>
      <c r="I55" s="36"/>
      <c r="J55" s="35" t="s">
        <v>34</v>
      </c>
      <c r="K55" s="35" t="s">
        <v>121</v>
      </c>
      <c r="L55" s="35">
        <v>178</v>
      </c>
      <c r="M55" s="35">
        <v>17</v>
      </c>
      <c r="N55" s="35">
        <v>8</v>
      </c>
      <c r="O55" s="35">
        <v>0</v>
      </c>
      <c r="P55" s="35">
        <v>15</v>
      </c>
      <c r="Q55" s="37">
        <f t="shared" si="5"/>
        <v>9.5505617977528087E-2</v>
      </c>
      <c r="R55" s="37">
        <f t="shared" si="6"/>
        <v>0.47058823529411764</v>
      </c>
      <c r="S55" s="35"/>
      <c r="T55" s="35"/>
      <c r="U55" s="35"/>
      <c r="V55" s="35"/>
      <c r="W55" s="35"/>
    </row>
    <row r="56" spans="1:23" ht="3.6" customHeight="1">
      <c r="A56" s="43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5"/>
      <c r="R56" s="45"/>
      <c r="S56" s="44"/>
      <c r="T56" s="44"/>
      <c r="U56" s="44"/>
      <c r="V56" s="44"/>
      <c r="W56" s="46"/>
    </row>
    <row r="57" spans="1:23">
      <c r="A57" s="38">
        <v>46128</v>
      </c>
      <c r="B57" s="39" t="s">
        <v>166</v>
      </c>
      <c r="C57" s="40"/>
      <c r="D57" s="40" t="s">
        <v>108</v>
      </c>
      <c r="E57" s="40" t="s">
        <v>116</v>
      </c>
      <c r="F57" s="40" t="s">
        <v>115</v>
      </c>
      <c r="G57" s="40"/>
      <c r="H57" s="40"/>
      <c r="I57" s="41"/>
      <c r="J57" s="40" t="s">
        <v>35</v>
      </c>
      <c r="K57" s="40" t="s">
        <v>106</v>
      </c>
      <c r="L57" s="39">
        <v>101</v>
      </c>
      <c r="M57" s="39">
        <v>3</v>
      </c>
      <c r="N57" s="39">
        <v>0</v>
      </c>
      <c r="O57" s="39">
        <v>0</v>
      </c>
      <c r="P57" s="39">
        <v>2</v>
      </c>
      <c r="Q57" s="42">
        <f t="shared" si="5"/>
        <v>2.9702970297029702E-2</v>
      </c>
      <c r="R57" s="42">
        <f t="shared" si="6"/>
        <v>0</v>
      </c>
      <c r="S57" s="39"/>
      <c r="T57" s="39"/>
      <c r="U57" s="39"/>
      <c r="V57" s="39"/>
      <c r="W57" s="39"/>
    </row>
    <row r="58" spans="1:23">
      <c r="A58" s="6">
        <v>46128</v>
      </c>
      <c r="B58" s="7" t="s">
        <v>166</v>
      </c>
      <c r="C58" s="18"/>
      <c r="D58" s="18" t="s">
        <v>155</v>
      </c>
      <c r="E58" s="18" t="s">
        <v>116</v>
      </c>
      <c r="F58" s="18" t="s">
        <v>156</v>
      </c>
      <c r="G58" s="18"/>
      <c r="H58" s="18"/>
      <c r="I58" s="30" t="s">
        <v>169</v>
      </c>
      <c r="J58" s="40" t="s">
        <v>35</v>
      </c>
      <c r="K58" s="18" t="s">
        <v>157</v>
      </c>
      <c r="L58" s="7">
        <v>4</v>
      </c>
      <c r="M58" s="7">
        <v>1</v>
      </c>
      <c r="N58" s="7">
        <v>0</v>
      </c>
      <c r="O58" s="7">
        <v>0</v>
      </c>
      <c r="P58" s="7">
        <v>0</v>
      </c>
      <c r="Q58" s="32">
        <f t="shared" si="5"/>
        <v>0.25</v>
      </c>
      <c r="R58" s="32">
        <f t="shared" si="6"/>
        <v>0</v>
      </c>
      <c r="S58" s="7"/>
      <c r="T58" s="7"/>
      <c r="U58" s="7"/>
      <c r="V58" s="7"/>
      <c r="W58" s="7"/>
    </row>
    <row r="59" spans="1:23">
      <c r="A59" s="6">
        <v>46128</v>
      </c>
      <c r="B59" s="7" t="s">
        <v>166</v>
      </c>
      <c r="C59" s="18"/>
      <c r="D59" s="18" t="s">
        <v>158</v>
      </c>
      <c r="E59" s="18" t="s">
        <v>116</v>
      </c>
      <c r="F59" s="18" t="s">
        <v>159</v>
      </c>
      <c r="G59" s="18"/>
      <c r="H59" s="18"/>
      <c r="I59" s="30" t="s">
        <v>169</v>
      </c>
      <c r="J59" s="40" t="s">
        <v>35</v>
      </c>
      <c r="K59" s="18" t="s">
        <v>149</v>
      </c>
      <c r="L59" s="7">
        <v>2</v>
      </c>
      <c r="M59" s="7">
        <v>1</v>
      </c>
      <c r="N59" s="7">
        <v>1</v>
      </c>
      <c r="O59" s="7">
        <v>0</v>
      </c>
      <c r="P59" s="7">
        <v>0</v>
      </c>
      <c r="Q59" s="32">
        <f t="shared" si="5"/>
        <v>0.5</v>
      </c>
      <c r="R59" s="32">
        <f t="shared" si="6"/>
        <v>1</v>
      </c>
      <c r="S59" s="7"/>
      <c r="T59" s="7"/>
      <c r="U59" s="7"/>
      <c r="V59" s="7"/>
      <c r="W59" s="7"/>
    </row>
    <row r="60" spans="1:23">
      <c r="A60" s="6">
        <v>46128</v>
      </c>
      <c r="B60" s="7" t="s">
        <v>166</v>
      </c>
      <c r="C60" s="18"/>
      <c r="D60" s="18" t="s">
        <v>189</v>
      </c>
      <c r="E60" s="18" t="s">
        <v>116</v>
      </c>
      <c r="F60" s="18"/>
      <c r="G60" s="18"/>
      <c r="H60" s="18"/>
      <c r="I60" s="30" t="s">
        <v>168</v>
      </c>
      <c r="J60" s="40" t="s">
        <v>35</v>
      </c>
      <c r="K60" s="18" t="s">
        <v>186</v>
      </c>
      <c r="L60" s="7">
        <v>32</v>
      </c>
      <c r="M60" s="7">
        <v>0</v>
      </c>
      <c r="N60" s="7">
        <v>0</v>
      </c>
      <c r="O60" s="7">
        <v>0</v>
      </c>
      <c r="P60" s="7">
        <v>0</v>
      </c>
      <c r="Q60" s="32">
        <f t="shared" ref="Q60:Q62" si="9">M60/L60</f>
        <v>0</v>
      </c>
      <c r="R60" s="32" t="e">
        <f t="shared" ref="R60:R62" si="10">N60/M60</f>
        <v>#DIV/0!</v>
      </c>
      <c r="S60" s="7"/>
      <c r="T60" s="7"/>
      <c r="U60" s="7"/>
      <c r="V60" s="7"/>
      <c r="W60" s="7"/>
    </row>
    <row r="61" spans="1:23">
      <c r="A61" s="6">
        <v>46128</v>
      </c>
      <c r="B61" s="7" t="s">
        <v>166</v>
      </c>
      <c r="C61" s="7"/>
      <c r="D61" s="31" t="s">
        <v>179</v>
      </c>
      <c r="E61" s="7"/>
      <c r="F61" s="7"/>
      <c r="G61" s="7"/>
      <c r="H61" s="7"/>
      <c r="I61" s="14" t="s">
        <v>67</v>
      </c>
      <c r="J61" s="7" t="s">
        <v>35</v>
      </c>
      <c r="K61" s="7" t="s">
        <v>170</v>
      </c>
      <c r="L61" s="7">
        <v>1499</v>
      </c>
      <c r="M61" s="7">
        <v>1370</v>
      </c>
      <c r="N61" s="7">
        <v>917</v>
      </c>
      <c r="O61" s="7">
        <v>0</v>
      </c>
      <c r="P61" s="7">
        <v>1</v>
      </c>
      <c r="Q61" s="32">
        <f t="shared" si="9"/>
        <v>0.91394262841894591</v>
      </c>
      <c r="R61" s="32">
        <f t="shared" si="10"/>
        <v>0.66934306569343061</v>
      </c>
      <c r="S61" s="7"/>
      <c r="T61" s="7"/>
      <c r="U61" s="7"/>
      <c r="V61" s="7"/>
      <c r="W61" s="7"/>
    </row>
    <row r="62" spans="1:23">
      <c r="A62" s="6">
        <v>46128</v>
      </c>
      <c r="B62" s="7" t="s">
        <v>166</v>
      </c>
      <c r="C62" s="7"/>
      <c r="D62" s="31" t="s">
        <v>180</v>
      </c>
      <c r="E62" s="7"/>
      <c r="F62" s="7"/>
      <c r="G62" s="7"/>
      <c r="H62" s="7"/>
      <c r="I62" s="47" t="s">
        <v>178</v>
      </c>
      <c r="J62" s="7" t="s">
        <v>35</v>
      </c>
      <c r="K62" s="7" t="s">
        <v>170</v>
      </c>
      <c r="L62" s="7">
        <v>364</v>
      </c>
      <c r="M62" s="7">
        <v>323</v>
      </c>
      <c r="N62" s="7">
        <v>218</v>
      </c>
      <c r="O62" s="7">
        <v>0</v>
      </c>
      <c r="P62" s="7">
        <v>0</v>
      </c>
      <c r="Q62" s="32">
        <f t="shared" si="9"/>
        <v>0.88736263736263732</v>
      </c>
      <c r="R62" s="32">
        <f t="shared" si="10"/>
        <v>0.67492260061919507</v>
      </c>
      <c r="S62" s="7"/>
      <c r="T62" s="7"/>
      <c r="U62" s="7"/>
      <c r="V62" s="7"/>
      <c r="W62" s="7"/>
    </row>
    <row r="63" spans="1:23">
      <c r="A63" s="6">
        <v>46128</v>
      </c>
      <c r="B63" s="7" t="s">
        <v>166</v>
      </c>
      <c r="C63" s="7"/>
      <c r="D63" s="31" t="s">
        <v>181</v>
      </c>
      <c r="E63" s="7"/>
      <c r="F63" s="7"/>
      <c r="G63" s="7"/>
      <c r="H63" s="7"/>
      <c r="I63" s="14" t="s">
        <v>68</v>
      </c>
      <c r="J63" s="7" t="s">
        <v>35</v>
      </c>
      <c r="K63" s="7" t="s">
        <v>171</v>
      </c>
      <c r="L63" s="7">
        <v>178</v>
      </c>
      <c r="M63" s="7">
        <v>113</v>
      </c>
      <c r="N63" s="7">
        <v>74</v>
      </c>
      <c r="O63" s="7">
        <v>0</v>
      </c>
      <c r="P63" s="7">
        <v>322</v>
      </c>
      <c r="Q63" s="32">
        <f t="shared" si="5"/>
        <v>0.6348314606741573</v>
      </c>
      <c r="R63" s="32">
        <f t="shared" si="6"/>
        <v>0.65486725663716816</v>
      </c>
      <c r="S63" s="7"/>
      <c r="T63" s="7"/>
      <c r="U63" s="7"/>
      <c r="V63" s="7"/>
      <c r="W63" s="7"/>
    </row>
    <row r="64" spans="1:23">
      <c r="A64" s="6">
        <v>46128</v>
      </c>
      <c r="B64" s="7" t="s">
        <v>166</v>
      </c>
      <c r="C64" s="7"/>
      <c r="D64" s="31" t="s">
        <v>182</v>
      </c>
      <c r="E64" s="7"/>
      <c r="F64" s="7"/>
      <c r="G64" s="7"/>
      <c r="H64" s="7"/>
      <c r="I64" s="14" t="s">
        <v>68</v>
      </c>
      <c r="J64" s="7" t="s">
        <v>35</v>
      </c>
      <c r="K64" s="7" t="s">
        <v>171</v>
      </c>
      <c r="L64" s="7">
        <v>178</v>
      </c>
      <c r="M64" s="7">
        <v>114</v>
      </c>
      <c r="N64" s="7">
        <v>71</v>
      </c>
      <c r="O64" s="7">
        <v>0</v>
      </c>
      <c r="P64" s="7">
        <v>0</v>
      </c>
      <c r="Q64" s="32">
        <f t="shared" si="5"/>
        <v>0.6404494382022472</v>
      </c>
      <c r="R64" s="32">
        <f t="shared" si="6"/>
        <v>0.6228070175438597</v>
      </c>
      <c r="S64" s="7"/>
      <c r="T64" s="7"/>
      <c r="U64" s="7"/>
      <c r="V64" s="7"/>
      <c r="W64" s="7"/>
    </row>
    <row r="65" spans="1:23">
      <c r="A65" s="6">
        <v>46128</v>
      </c>
      <c r="B65" s="7" t="s">
        <v>166</v>
      </c>
      <c r="C65" s="7"/>
      <c r="D65" s="31" t="s">
        <v>183</v>
      </c>
      <c r="E65" s="7" t="s">
        <v>116</v>
      </c>
      <c r="F65" s="7" t="s">
        <v>161</v>
      </c>
      <c r="G65" s="7" t="s">
        <v>85</v>
      </c>
      <c r="H65" s="7"/>
      <c r="I65" s="14"/>
      <c r="J65" s="7" t="s">
        <v>35</v>
      </c>
      <c r="K65" s="7" t="s">
        <v>149</v>
      </c>
      <c r="L65" s="7">
        <v>142</v>
      </c>
      <c r="M65" s="7">
        <v>28</v>
      </c>
      <c r="N65" s="7">
        <v>7</v>
      </c>
      <c r="O65" s="7">
        <v>0</v>
      </c>
      <c r="P65" s="7">
        <v>0</v>
      </c>
      <c r="Q65" s="32">
        <f t="shared" si="5"/>
        <v>0.19718309859154928</v>
      </c>
      <c r="R65" s="32">
        <f t="shared" si="6"/>
        <v>0.25</v>
      </c>
      <c r="S65" s="7"/>
      <c r="T65" s="7"/>
      <c r="U65" s="7"/>
      <c r="V65" s="7"/>
      <c r="W65" s="7"/>
    </row>
    <row r="66" spans="1:23">
      <c r="A66" s="6">
        <v>46128</v>
      </c>
      <c r="B66" s="7" t="s">
        <v>166</v>
      </c>
      <c r="C66" s="7"/>
      <c r="D66" s="31" t="s">
        <v>184</v>
      </c>
      <c r="E66" s="7" t="s">
        <v>116</v>
      </c>
      <c r="F66" s="7" t="s">
        <v>161</v>
      </c>
      <c r="G66" s="7" t="s">
        <v>85</v>
      </c>
      <c r="H66" s="7"/>
      <c r="I66" s="14"/>
      <c r="J66" s="7" t="s">
        <v>35</v>
      </c>
      <c r="K66" s="7" t="s">
        <v>121</v>
      </c>
      <c r="L66" s="7">
        <v>178</v>
      </c>
      <c r="M66" s="7">
        <v>17</v>
      </c>
      <c r="N66" s="7">
        <v>11</v>
      </c>
      <c r="O66" s="7">
        <v>0</v>
      </c>
      <c r="P66" s="7">
        <v>15</v>
      </c>
      <c r="Q66" s="32">
        <f t="shared" si="5"/>
        <v>9.5505617977528087E-2</v>
      </c>
      <c r="R66" s="32">
        <f t="shared" si="6"/>
        <v>0.6470588235294118</v>
      </c>
      <c r="S66" s="7"/>
      <c r="T66" s="7"/>
      <c r="U66" s="7"/>
      <c r="V66" s="7"/>
      <c r="W66" s="7"/>
    </row>
    <row r="67" spans="1:23" ht="6.6" customHeight="1">
      <c r="A67" s="22"/>
      <c r="B67" s="23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5"/>
      <c r="R67" s="25"/>
      <c r="S67" s="24"/>
      <c r="T67" s="24"/>
      <c r="U67" s="24"/>
      <c r="V67" s="25"/>
      <c r="W67" s="26"/>
    </row>
    <row r="68" spans="1:23">
      <c r="A68" s="6">
        <v>46129</v>
      </c>
      <c r="B68" s="7" t="s">
        <v>206</v>
      </c>
      <c r="C68" s="18"/>
      <c r="D68" s="18" t="s">
        <v>185</v>
      </c>
      <c r="E68" s="18" t="s">
        <v>109</v>
      </c>
      <c r="F68" s="18" t="s">
        <v>110</v>
      </c>
      <c r="G68" s="18"/>
      <c r="H68" s="18" t="s">
        <v>106</v>
      </c>
      <c r="I68" s="30"/>
      <c r="J68" s="18" t="s">
        <v>34</v>
      </c>
      <c r="K68" s="18" t="s">
        <v>106</v>
      </c>
      <c r="L68" s="7">
        <v>111</v>
      </c>
      <c r="M68" s="7">
        <v>2</v>
      </c>
      <c r="N68" s="7">
        <v>0</v>
      </c>
      <c r="O68" s="7">
        <v>0</v>
      </c>
      <c r="P68" s="7">
        <v>0</v>
      </c>
      <c r="Q68" s="32">
        <f t="shared" ref="Q68:Q76" si="11">M68/L68</f>
        <v>1.8018018018018018E-2</v>
      </c>
      <c r="R68" s="32">
        <f t="shared" ref="R68:R76" si="12">N68/M68</f>
        <v>0</v>
      </c>
      <c r="S68" s="7"/>
      <c r="T68" s="7"/>
      <c r="U68" s="7"/>
      <c r="V68" s="7"/>
      <c r="W68" s="7"/>
    </row>
    <row r="69" spans="1:23">
      <c r="A69" s="6">
        <v>46129</v>
      </c>
      <c r="B69" s="7" t="s">
        <v>206</v>
      </c>
      <c r="C69" s="18"/>
      <c r="D69" s="18" t="s">
        <v>144</v>
      </c>
      <c r="E69" s="18" t="s">
        <v>109</v>
      </c>
      <c r="F69" s="18" t="s">
        <v>145</v>
      </c>
      <c r="G69" s="18"/>
      <c r="H69" s="18" t="s">
        <v>157</v>
      </c>
      <c r="I69" s="30"/>
      <c r="J69" s="18" t="s">
        <v>34</v>
      </c>
      <c r="K69" s="18" t="s">
        <v>157</v>
      </c>
      <c r="L69" s="7">
        <v>4</v>
      </c>
      <c r="M69" s="7">
        <v>4</v>
      </c>
      <c r="N69" s="7">
        <v>0</v>
      </c>
      <c r="O69" s="7">
        <v>0</v>
      </c>
      <c r="P69" s="7">
        <v>0</v>
      </c>
      <c r="Q69" s="32">
        <f t="shared" si="11"/>
        <v>1</v>
      </c>
      <c r="R69" s="32">
        <f t="shared" si="12"/>
        <v>0</v>
      </c>
      <c r="S69" s="7"/>
      <c r="T69" s="7"/>
      <c r="U69" s="7"/>
      <c r="V69" s="7"/>
      <c r="W69" s="7"/>
    </row>
    <row r="70" spans="1:23">
      <c r="A70" s="6">
        <v>46129</v>
      </c>
      <c r="B70" s="7" t="s">
        <v>206</v>
      </c>
      <c r="C70" s="18"/>
      <c r="D70" s="18" t="s">
        <v>146</v>
      </c>
      <c r="E70" s="18" t="s">
        <v>109</v>
      </c>
      <c r="F70" s="18" t="s">
        <v>147</v>
      </c>
      <c r="G70" s="18"/>
      <c r="H70" s="18" t="s">
        <v>149</v>
      </c>
      <c r="I70" s="30"/>
      <c r="J70" s="18" t="s">
        <v>34</v>
      </c>
      <c r="K70" s="18" t="s">
        <v>149</v>
      </c>
      <c r="L70" s="7">
        <v>3</v>
      </c>
      <c r="M70" s="7">
        <v>1</v>
      </c>
      <c r="N70" s="7">
        <v>1</v>
      </c>
      <c r="O70" s="7">
        <v>0</v>
      </c>
      <c r="P70" s="7">
        <v>0</v>
      </c>
      <c r="Q70" s="32">
        <f t="shared" si="11"/>
        <v>0.33333333333333331</v>
      </c>
      <c r="R70" s="32">
        <f t="shared" si="12"/>
        <v>1</v>
      </c>
      <c r="S70" s="7"/>
      <c r="T70" s="7"/>
      <c r="U70" s="7"/>
      <c r="V70" s="7"/>
      <c r="W70" s="7"/>
    </row>
    <row r="71" spans="1:23">
      <c r="A71" s="6">
        <v>46129</v>
      </c>
      <c r="B71" s="7" t="s">
        <v>206</v>
      </c>
      <c r="C71" s="18"/>
      <c r="D71" s="18" t="s">
        <v>187</v>
      </c>
      <c r="E71" s="18" t="s">
        <v>109</v>
      </c>
      <c r="F71" s="18" t="s">
        <v>188</v>
      </c>
      <c r="G71" s="18"/>
      <c r="H71" s="18"/>
      <c r="I71" s="30"/>
      <c r="J71" s="18" t="s">
        <v>34</v>
      </c>
      <c r="K71" s="18" t="s">
        <v>186</v>
      </c>
      <c r="L71" s="7">
        <v>56</v>
      </c>
      <c r="M71" s="7">
        <v>0</v>
      </c>
      <c r="N71" s="7">
        <v>0</v>
      </c>
      <c r="O71" s="7">
        <v>0</v>
      </c>
      <c r="P71" s="7">
        <v>0</v>
      </c>
      <c r="Q71" s="32">
        <f t="shared" si="11"/>
        <v>0</v>
      </c>
      <c r="R71" s="32" t="e">
        <f t="shared" si="12"/>
        <v>#DIV/0!</v>
      </c>
      <c r="S71" s="7"/>
      <c r="T71" s="7"/>
      <c r="U71" s="7"/>
      <c r="V71" s="7"/>
      <c r="W71" s="7"/>
    </row>
    <row r="72" spans="1:23">
      <c r="A72" s="6">
        <v>46129</v>
      </c>
      <c r="B72" s="7" t="s">
        <v>206</v>
      </c>
      <c r="C72" s="7"/>
      <c r="D72" s="31" t="s">
        <v>267</v>
      </c>
      <c r="E72" s="7"/>
      <c r="F72" s="7"/>
      <c r="G72" s="7"/>
      <c r="H72" s="7"/>
      <c r="I72" s="14" t="s">
        <v>67</v>
      </c>
      <c r="J72" s="7" t="s">
        <v>34</v>
      </c>
      <c r="K72" s="7" t="s">
        <v>170</v>
      </c>
      <c r="L72" s="7">
        <v>1498</v>
      </c>
      <c r="M72" s="7">
        <v>1440</v>
      </c>
      <c r="N72" s="7">
        <v>1072</v>
      </c>
      <c r="O72" s="7">
        <v>0</v>
      </c>
      <c r="P72" s="7">
        <v>2</v>
      </c>
      <c r="Q72" s="32">
        <f t="shared" si="11"/>
        <v>0.96128170894526033</v>
      </c>
      <c r="R72" s="32">
        <f t="shared" si="12"/>
        <v>0.74444444444444446</v>
      </c>
      <c r="S72" s="7"/>
      <c r="T72" s="7"/>
      <c r="U72" s="7"/>
      <c r="V72" s="7"/>
      <c r="W72" s="7"/>
    </row>
    <row r="73" spans="1:23">
      <c r="A73" s="6">
        <v>46129</v>
      </c>
      <c r="B73" s="7" t="s">
        <v>206</v>
      </c>
      <c r="C73" s="7"/>
      <c r="D73" s="65" t="s">
        <v>270</v>
      </c>
      <c r="E73" s="66"/>
      <c r="F73" s="7"/>
      <c r="G73" s="7"/>
      <c r="H73" s="7"/>
      <c r="I73" s="47" t="s">
        <v>211</v>
      </c>
      <c r="J73" s="7" t="s">
        <v>34</v>
      </c>
      <c r="K73" s="7" t="s">
        <v>170</v>
      </c>
      <c r="L73" s="7">
        <v>242</v>
      </c>
      <c r="M73" s="7">
        <v>231</v>
      </c>
      <c r="N73" s="7">
        <v>168</v>
      </c>
      <c r="O73" s="7">
        <v>0</v>
      </c>
      <c r="P73" s="7">
        <v>0</v>
      </c>
      <c r="Q73" s="32">
        <f t="shared" si="11"/>
        <v>0.95454545454545459</v>
      </c>
      <c r="R73" s="32">
        <f t="shared" si="12"/>
        <v>0.72727272727272729</v>
      </c>
      <c r="S73" s="7"/>
      <c r="T73" s="7"/>
      <c r="U73" s="7"/>
      <c r="V73" s="7"/>
      <c r="W73" s="7"/>
    </row>
    <row r="74" spans="1:23">
      <c r="A74" s="6">
        <v>46129</v>
      </c>
      <c r="B74" s="7" t="s">
        <v>206</v>
      </c>
      <c r="C74" s="7"/>
      <c r="D74" s="51" t="s">
        <v>174</v>
      </c>
      <c r="E74" s="7"/>
      <c r="F74" s="7"/>
      <c r="G74" s="7"/>
      <c r="H74" s="7"/>
      <c r="I74" s="14" t="s">
        <v>64</v>
      </c>
      <c r="J74" s="7" t="s">
        <v>34</v>
      </c>
      <c r="K74" s="7" t="s">
        <v>171</v>
      </c>
      <c r="L74" s="7"/>
      <c r="M74" s="7"/>
      <c r="N74" s="7"/>
      <c r="O74" s="7"/>
      <c r="P74" s="7"/>
      <c r="Q74" s="32" t="e">
        <f t="shared" si="11"/>
        <v>#DIV/0!</v>
      </c>
      <c r="R74" s="32" t="e">
        <f t="shared" si="12"/>
        <v>#DIV/0!</v>
      </c>
      <c r="S74" s="7"/>
      <c r="T74" s="7"/>
      <c r="U74" s="7"/>
      <c r="V74" s="7"/>
      <c r="W74" s="7"/>
    </row>
    <row r="75" spans="1:23">
      <c r="A75" s="6">
        <v>46129</v>
      </c>
      <c r="B75" s="7" t="s">
        <v>206</v>
      </c>
      <c r="C75" s="7"/>
      <c r="D75" s="51" t="s">
        <v>175</v>
      </c>
      <c r="E75" s="7"/>
      <c r="F75" s="7"/>
      <c r="G75" s="7"/>
      <c r="H75" s="7"/>
      <c r="I75" s="14" t="s">
        <v>64</v>
      </c>
      <c r="J75" s="7" t="s">
        <v>34</v>
      </c>
      <c r="K75" s="7" t="s">
        <v>171</v>
      </c>
      <c r="L75" s="7"/>
      <c r="M75" s="7"/>
      <c r="N75" s="7"/>
      <c r="O75" s="7"/>
      <c r="P75" s="7"/>
      <c r="Q75" s="32" t="e">
        <f t="shared" si="11"/>
        <v>#DIV/0!</v>
      </c>
      <c r="R75" s="32" t="e">
        <f t="shared" si="12"/>
        <v>#DIV/0!</v>
      </c>
      <c r="S75" s="7"/>
      <c r="T75" s="7"/>
      <c r="U75" s="7"/>
      <c r="V75" s="7"/>
      <c r="W75" s="7"/>
    </row>
    <row r="76" spans="1:23">
      <c r="A76" s="6">
        <v>46129</v>
      </c>
      <c r="B76" s="7" t="s">
        <v>206</v>
      </c>
      <c r="C76" s="62">
        <v>0.9375</v>
      </c>
      <c r="D76" s="31" t="s">
        <v>245</v>
      </c>
      <c r="E76" s="7" t="s">
        <v>252</v>
      </c>
      <c r="F76" s="7" t="s">
        <v>247</v>
      </c>
      <c r="G76" s="7"/>
      <c r="H76" s="7"/>
      <c r="I76" s="30" t="s">
        <v>209</v>
      </c>
      <c r="J76" s="7" t="s">
        <v>34</v>
      </c>
      <c r="K76" s="7" t="s">
        <v>149</v>
      </c>
      <c r="L76" s="7">
        <v>142</v>
      </c>
      <c r="M76" s="7">
        <v>19</v>
      </c>
      <c r="N76" s="7">
        <v>6</v>
      </c>
      <c r="O76" s="7">
        <v>1</v>
      </c>
      <c r="P76" s="7">
        <v>0</v>
      </c>
      <c r="Q76" s="32">
        <f t="shared" si="11"/>
        <v>0.13380281690140844</v>
      </c>
      <c r="R76" s="32">
        <f t="shared" si="12"/>
        <v>0.31578947368421051</v>
      </c>
      <c r="S76" s="7"/>
      <c r="T76" s="7"/>
      <c r="U76" s="7"/>
      <c r="V76" s="7"/>
      <c r="W76" s="7"/>
    </row>
    <row r="77" spans="1:23" ht="16.8">
      <c r="A77" s="6">
        <v>46129</v>
      </c>
      <c r="B77" s="7" t="s">
        <v>206</v>
      </c>
      <c r="C77" s="62">
        <v>0.95833333333333337</v>
      </c>
      <c r="D77" s="31" t="s">
        <v>246</v>
      </c>
      <c r="E77" s="7" t="s">
        <v>252</v>
      </c>
      <c r="F77" s="7" t="s">
        <v>248</v>
      </c>
      <c r="G77" s="7"/>
      <c r="H77" s="7"/>
      <c r="I77" s="30" t="s">
        <v>256</v>
      </c>
      <c r="J77" s="7" t="s">
        <v>34</v>
      </c>
      <c r="K77" s="52" t="s">
        <v>157</v>
      </c>
      <c r="L77" s="7">
        <v>52</v>
      </c>
      <c r="M77" s="7">
        <v>7</v>
      </c>
      <c r="N77" s="7">
        <v>0</v>
      </c>
      <c r="O77" s="7">
        <v>0</v>
      </c>
      <c r="P77" s="7">
        <v>0</v>
      </c>
      <c r="Q77" s="32">
        <f t="shared" ref="Q77:Q79" si="13">M77/L77</f>
        <v>0.13461538461538461</v>
      </c>
      <c r="R77" s="32">
        <f t="shared" ref="R77:R79" si="14">N77/M77</f>
        <v>0</v>
      </c>
      <c r="S77" s="7"/>
      <c r="T77" s="7"/>
      <c r="U77" s="7"/>
      <c r="V77" s="7"/>
      <c r="W77" s="7"/>
    </row>
    <row r="78" spans="1:23">
      <c r="A78" s="6">
        <v>46129</v>
      </c>
      <c r="B78" s="7" t="s">
        <v>206</v>
      </c>
      <c r="C78" s="62">
        <v>0.79166666666666663</v>
      </c>
      <c r="D78" s="31" t="s">
        <v>249</v>
      </c>
      <c r="E78" s="7" t="s">
        <v>252</v>
      </c>
      <c r="F78" s="7" t="s">
        <v>247</v>
      </c>
      <c r="G78" s="7"/>
      <c r="H78" s="7"/>
      <c r="I78" s="30" t="s">
        <v>209</v>
      </c>
      <c r="J78" s="7" t="s">
        <v>34</v>
      </c>
      <c r="K78" s="7" t="s">
        <v>121</v>
      </c>
      <c r="L78" s="7">
        <v>178</v>
      </c>
      <c r="M78" s="7">
        <v>21</v>
      </c>
      <c r="N78" s="7">
        <v>16</v>
      </c>
      <c r="O78" s="7">
        <v>0</v>
      </c>
      <c r="P78" s="7">
        <v>0</v>
      </c>
      <c r="Q78" s="32">
        <f t="shared" si="13"/>
        <v>0.11797752808988764</v>
      </c>
      <c r="R78" s="32">
        <f t="shared" si="14"/>
        <v>0.76190476190476186</v>
      </c>
      <c r="S78" s="7"/>
      <c r="T78" s="7"/>
      <c r="U78" s="7"/>
      <c r="V78" s="7"/>
      <c r="W78" s="7"/>
    </row>
    <row r="79" spans="1:23" ht="16.8">
      <c r="A79" s="6">
        <v>46129</v>
      </c>
      <c r="B79" s="35" t="s">
        <v>206</v>
      </c>
      <c r="C79" s="64">
        <v>0.85416666666666663</v>
      </c>
      <c r="D79" s="31" t="s">
        <v>250</v>
      </c>
      <c r="E79" s="7" t="s">
        <v>252</v>
      </c>
      <c r="F79" s="7" t="s">
        <v>248</v>
      </c>
      <c r="G79" s="35"/>
      <c r="H79" s="35"/>
      <c r="I79" s="63" t="s">
        <v>251</v>
      </c>
      <c r="J79" s="35" t="s">
        <v>34</v>
      </c>
      <c r="K79" s="53" t="s">
        <v>210</v>
      </c>
      <c r="L79" s="35">
        <v>55</v>
      </c>
      <c r="M79" s="35">
        <v>1</v>
      </c>
      <c r="N79" s="35">
        <v>0</v>
      </c>
      <c r="O79" s="35">
        <v>0</v>
      </c>
      <c r="P79" s="35">
        <v>0</v>
      </c>
      <c r="Q79" s="37">
        <f t="shared" si="13"/>
        <v>1.8181818181818181E-2</v>
      </c>
      <c r="R79" s="37">
        <f t="shared" si="14"/>
        <v>0</v>
      </c>
      <c r="S79" s="35"/>
      <c r="T79" s="35"/>
      <c r="U79" s="35"/>
      <c r="V79" s="35"/>
      <c r="W79" s="35"/>
    </row>
    <row r="80" spans="1:23" ht="3.6" customHeight="1">
      <c r="A80" s="43">
        <v>46129</v>
      </c>
      <c r="B80" s="54" t="s">
        <v>206</v>
      </c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5"/>
      <c r="R80" s="55"/>
      <c r="S80" s="54"/>
      <c r="T80" s="54"/>
      <c r="U80" s="54"/>
      <c r="V80" s="54"/>
      <c r="W80" s="54"/>
    </row>
    <row r="81" spans="1:23">
      <c r="A81" s="6">
        <v>46129</v>
      </c>
      <c r="B81" s="39" t="s">
        <v>206</v>
      </c>
      <c r="C81" s="40"/>
      <c r="D81" s="40" t="s">
        <v>108</v>
      </c>
      <c r="E81" s="40" t="s">
        <v>116</v>
      </c>
      <c r="F81" s="40" t="s">
        <v>115</v>
      </c>
      <c r="G81" s="40"/>
      <c r="H81" s="40"/>
      <c r="I81" s="41"/>
      <c r="J81" s="40" t="s">
        <v>35</v>
      </c>
      <c r="K81" s="40" t="s">
        <v>106</v>
      </c>
      <c r="L81" s="39">
        <v>111</v>
      </c>
      <c r="M81" s="39">
        <v>4</v>
      </c>
      <c r="N81" s="39">
        <v>3</v>
      </c>
      <c r="O81" s="39">
        <v>0</v>
      </c>
      <c r="P81" s="39">
        <v>0</v>
      </c>
      <c r="Q81" s="42">
        <f t="shared" ref="Q81:Q92" si="15">M81/L81</f>
        <v>3.6036036036036036E-2</v>
      </c>
      <c r="R81" s="42">
        <f t="shared" ref="R81:R92" si="16">N81/M81</f>
        <v>0.75</v>
      </c>
      <c r="S81" s="39"/>
      <c r="T81" s="39"/>
      <c r="U81" s="39"/>
      <c r="V81" s="39"/>
      <c r="W81" s="39"/>
    </row>
    <row r="82" spans="1:23">
      <c r="A82" s="6">
        <v>46129</v>
      </c>
      <c r="B82" s="7" t="s">
        <v>206</v>
      </c>
      <c r="C82" s="18"/>
      <c r="D82" s="18" t="s">
        <v>155</v>
      </c>
      <c r="E82" s="18" t="s">
        <v>116</v>
      </c>
      <c r="F82" s="18" t="s">
        <v>156</v>
      </c>
      <c r="G82" s="18"/>
      <c r="H82" s="18"/>
      <c r="I82" s="30"/>
      <c r="J82" s="18" t="s">
        <v>35</v>
      </c>
      <c r="K82" s="18" t="s">
        <v>157</v>
      </c>
      <c r="L82" s="7">
        <v>5</v>
      </c>
      <c r="M82" s="7">
        <v>1</v>
      </c>
      <c r="N82" s="7">
        <v>1</v>
      </c>
      <c r="O82" s="7">
        <v>0</v>
      </c>
      <c r="P82" s="7">
        <v>0</v>
      </c>
      <c r="Q82" s="32">
        <f t="shared" si="15"/>
        <v>0.2</v>
      </c>
      <c r="R82" s="32">
        <f t="shared" si="16"/>
        <v>1</v>
      </c>
      <c r="S82" s="7"/>
      <c r="T82" s="7"/>
      <c r="U82" s="7"/>
      <c r="V82" s="7"/>
      <c r="W82" s="7"/>
    </row>
    <row r="83" spans="1:23">
      <c r="A83" s="6">
        <v>46129</v>
      </c>
      <c r="B83" s="7" t="s">
        <v>206</v>
      </c>
      <c r="C83" s="18"/>
      <c r="D83" s="18" t="s">
        <v>158</v>
      </c>
      <c r="E83" s="18" t="s">
        <v>116</v>
      </c>
      <c r="F83" s="18" t="s">
        <v>159</v>
      </c>
      <c r="G83" s="18"/>
      <c r="H83" s="18"/>
      <c r="I83" s="30"/>
      <c r="J83" s="18" t="s">
        <v>35</v>
      </c>
      <c r="K83" s="18" t="s">
        <v>149</v>
      </c>
      <c r="L83" s="7">
        <v>3</v>
      </c>
      <c r="M83" s="7">
        <v>2</v>
      </c>
      <c r="N83" s="7">
        <v>1</v>
      </c>
      <c r="O83" s="7">
        <v>0</v>
      </c>
      <c r="P83" s="7">
        <v>0</v>
      </c>
      <c r="Q83" s="32">
        <f t="shared" si="15"/>
        <v>0.66666666666666663</v>
      </c>
      <c r="R83" s="32">
        <f t="shared" si="16"/>
        <v>0.5</v>
      </c>
      <c r="S83" s="7"/>
      <c r="T83" s="7"/>
      <c r="U83" s="7"/>
      <c r="V83" s="7"/>
      <c r="W83" s="7"/>
    </row>
    <row r="84" spans="1:23">
      <c r="A84" s="6">
        <v>46129</v>
      </c>
      <c r="B84" s="7" t="s">
        <v>206</v>
      </c>
      <c r="C84" s="18"/>
      <c r="D84" s="18" t="s">
        <v>189</v>
      </c>
      <c r="E84" s="18" t="s">
        <v>116</v>
      </c>
      <c r="F84" s="18"/>
      <c r="G84" s="18"/>
      <c r="H84" s="18"/>
      <c r="I84" s="30"/>
      <c r="J84" s="18" t="s">
        <v>35</v>
      </c>
      <c r="K84" s="18" t="s">
        <v>186</v>
      </c>
      <c r="L84" s="7">
        <v>56</v>
      </c>
      <c r="M84" s="7">
        <v>0</v>
      </c>
      <c r="N84" s="7">
        <v>0</v>
      </c>
      <c r="O84" s="7">
        <v>0</v>
      </c>
      <c r="P84" s="7">
        <v>0</v>
      </c>
      <c r="Q84" s="32">
        <f t="shared" si="15"/>
        <v>0</v>
      </c>
      <c r="R84" s="32" t="e">
        <f t="shared" si="16"/>
        <v>#DIV/0!</v>
      </c>
      <c r="S84" s="7"/>
      <c r="T84" s="7"/>
      <c r="U84" s="7"/>
      <c r="V84" s="7"/>
      <c r="W84" s="7"/>
    </row>
    <row r="85" spans="1:23">
      <c r="A85" s="6">
        <v>46129</v>
      </c>
      <c r="B85" s="7" t="s">
        <v>206</v>
      </c>
      <c r="C85" s="7"/>
      <c r="D85" s="31" t="s">
        <v>271</v>
      </c>
      <c r="E85" s="7"/>
      <c r="F85" s="7"/>
      <c r="G85" s="7"/>
      <c r="H85" s="7"/>
      <c r="I85" s="14" t="s">
        <v>67</v>
      </c>
      <c r="J85" s="7" t="s">
        <v>35</v>
      </c>
      <c r="K85" s="7" t="s">
        <v>170</v>
      </c>
      <c r="L85" s="7">
        <v>1499</v>
      </c>
      <c r="M85" s="7">
        <v>1449</v>
      </c>
      <c r="N85" s="7">
        <v>961</v>
      </c>
      <c r="O85" s="7">
        <v>0</v>
      </c>
      <c r="P85" s="7">
        <v>1</v>
      </c>
      <c r="Q85" s="32">
        <f t="shared" si="15"/>
        <v>0.9666444296197465</v>
      </c>
      <c r="R85" s="32">
        <f t="shared" si="16"/>
        <v>0.66321601104209804</v>
      </c>
      <c r="S85" s="7"/>
      <c r="T85" s="7"/>
      <c r="U85" s="7"/>
      <c r="V85" s="7"/>
      <c r="W85" s="7"/>
    </row>
    <row r="86" spans="1:23">
      <c r="A86" s="6">
        <v>46129</v>
      </c>
      <c r="B86" s="7" t="s">
        <v>206</v>
      </c>
      <c r="C86" s="7"/>
      <c r="D86" s="65" t="s">
        <v>272</v>
      </c>
      <c r="E86" s="7"/>
      <c r="F86" s="7"/>
      <c r="G86" s="7"/>
      <c r="H86" s="7"/>
      <c r="I86" s="47" t="s">
        <v>211</v>
      </c>
      <c r="J86" s="7" t="s">
        <v>35</v>
      </c>
      <c r="K86" s="7" t="s">
        <v>170</v>
      </c>
      <c r="L86" s="7">
        <v>246</v>
      </c>
      <c r="M86" s="7">
        <v>240</v>
      </c>
      <c r="N86" s="7">
        <v>160</v>
      </c>
      <c r="O86" s="7">
        <v>0</v>
      </c>
      <c r="P86" s="7">
        <v>0</v>
      </c>
      <c r="Q86" s="32">
        <f t="shared" si="15"/>
        <v>0.97560975609756095</v>
      </c>
      <c r="R86" s="32">
        <f t="shared" si="16"/>
        <v>0.66666666666666663</v>
      </c>
      <c r="S86" s="7"/>
      <c r="T86" s="7"/>
      <c r="U86" s="7"/>
      <c r="V86" s="7"/>
      <c r="W86" s="7"/>
    </row>
    <row r="87" spans="1:23">
      <c r="A87" s="6">
        <v>46129</v>
      </c>
      <c r="B87" s="7" t="s">
        <v>206</v>
      </c>
      <c r="C87" s="7"/>
      <c r="D87" s="51" t="s">
        <v>181</v>
      </c>
      <c r="E87" s="7"/>
      <c r="F87" s="7"/>
      <c r="G87" s="7"/>
      <c r="H87" s="7"/>
      <c r="I87" s="14" t="s">
        <v>68</v>
      </c>
      <c r="J87" s="7" t="s">
        <v>35</v>
      </c>
      <c r="K87" s="7" t="s">
        <v>171</v>
      </c>
      <c r="L87" s="7"/>
      <c r="M87" s="7"/>
      <c r="N87" s="7"/>
      <c r="O87" s="7"/>
      <c r="P87" s="7"/>
      <c r="Q87" s="32" t="e">
        <f t="shared" si="15"/>
        <v>#DIV/0!</v>
      </c>
      <c r="R87" s="32" t="e">
        <f t="shared" si="16"/>
        <v>#DIV/0!</v>
      </c>
      <c r="S87" s="7"/>
      <c r="T87" s="7"/>
      <c r="U87" s="7"/>
      <c r="V87" s="7"/>
      <c r="W87" s="7"/>
    </row>
    <row r="88" spans="1:23">
      <c r="A88" s="6">
        <v>46129</v>
      </c>
      <c r="B88" s="7" t="s">
        <v>206</v>
      </c>
      <c r="C88" s="7"/>
      <c r="D88" s="51" t="s">
        <v>182</v>
      </c>
      <c r="E88" s="7"/>
      <c r="F88" s="7"/>
      <c r="G88" s="7"/>
      <c r="H88" s="7"/>
      <c r="I88" s="14" t="s">
        <v>68</v>
      </c>
      <c r="J88" s="7" t="s">
        <v>35</v>
      </c>
      <c r="K88" s="7" t="s">
        <v>171</v>
      </c>
      <c r="L88" s="7"/>
      <c r="M88" s="7"/>
      <c r="N88" s="7"/>
      <c r="O88" s="7"/>
      <c r="P88" s="7"/>
      <c r="Q88" s="32" t="e">
        <f t="shared" si="15"/>
        <v>#DIV/0!</v>
      </c>
      <c r="R88" s="32" t="e">
        <f t="shared" si="16"/>
        <v>#DIV/0!</v>
      </c>
      <c r="S88" s="7"/>
      <c r="T88" s="7"/>
      <c r="U88" s="7"/>
      <c r="V88" s="7"/>
      <c r="W88" s="7"/>
    </row>
    <row r="89" spans="1:23">
      <c r="A89" s="6">
        <v>46129</v>
      </c>
      <c r="B89" s="7" t="s">
        <v>206</v>
      </c>
      <c r="C89" s="62">
        <v>0.85416666666666663</v>
      </c>
      <c r="D89" s="31" t="s">
        <v>254</v>
      </c>
      <c r="E89" s="7" t="s">
        <v>253</v>
      </c>
      <c r="F89" s="7" t="s">
        <v>247</v>
      </c>
      <c r="G89" s="7"/>
      <c r="H89" s="7"/>
      <c r="I89" s="30" t="s">
        <v>209</v>
      </c>
      <c r="J89" s="7" t="s">
        <v>35</v>
      </c>
      <c r="K89" s="7" t="s">
        <v>149</v>
      </c>
      <c r="L89" s="7">
        <v>142</v>
      </c>
      <c r="M89" s="7">
        <v>18</v>
      </c>
      <c r="N89" s="7">
        <v>2</v>
      </c>
      <c r="O89" s="7">
        <v>0</v>
      </c>
      <c r="P89" s="7">
        <v>0</v>
      </c>
      <c r="Q89" s="32">
        <f t="shared" si="15"/>
        <v>0.12676056338028169</v>
      </c>
      <c r="R89" s="32">
        <f t="shared" si="16"/>
        <v>0.1111111111111111</v>
      </c>
      <c r="S89" s="7"/>
      <c r="T89" s="7"/>
      <c r="U89" s="7"/>
      <c r="V89" s="7"/>
      <c r="W89" s="7"/>
    </row>
    <row r="90" spans="1:23" ht="16.8">
      <c r="A90" s="6">
        <v>46129</v>
      </c>
      <c r="B90" s="7" t="s">
        <v>206</v>
      </c>
      <c r="C90" s="62">
        <v>0.875</v>
      </c>
      <c r="D90" s="31" t="s">
        <v>255</v>
      </c>
      <c r="E90" s="7" t="s">
        <v>253</v>
      </c>
      <c r="F90" s="7" t="s">
        <v>247</v>
      </c>
      <c r="G90" s="7"/>
      <c r="H90" s="7"/>
      <c r="I90" s="30" t="s">
        <v>256</v>
      </c>
      <c r="J90" s="7" t="s">
        <v>35</v>
      </c>
      <c r="K90" s="52" t="s">
        <v>157</v>
      </c>
      <c r="L90" s="7">
        <v>61</v>
      </c>
      <c r="M90" s="7">
        <v>7</v>
      </c>
      <c r="N90" s="7">
        <v>0</v>
      </c>
      <c r="O90" s="7">
        <v>0</v>
      </c>
      <c r="P90" s="7">
        <v>0</v>
      </c>
      <c r="Q90" s="32">
        <f t="shared" ref="Q90" si="17">M90/L90</f>
        <v>0.11475409836065574</v>
      </c>
      <c r="R90" s="32">
        <f t="shared" ref="R90" si="18">N90/M90</f>
        <v>0</v>
      </c>
      <c r="S90" s="7"/>
      <c r="T90" s="7"/>
      <c r="U90" s="7"/>
      <c r="V90" s="7"/>
      <c r="W90" s="7"/>
    </row>
    <row r="91" spans="1:23">
      <c r="A91" s="6">
        <v>46129</v>
      </c>
      <c r="B91" s="7" t="s">
        <v>206</v>
      </c>
      <c r="C91" s="62">
        <v>0.91666666666666663</v>
      </c>
      <c r="D91" s="31" t="s">
        <v>257</v>
      </c>
      <c r="E91" s="7" t="s">
        <v>253</v>
      </c>
      <c r="F91" s="7" t="s">
        <v>247</v>
      </c>
      <c r="G91" s="7"/>
      <c r="H91" s="7"/>
      <c r="I91" s="30" t="s">
        <v>209</v>
      </c>
      <c r="J91" s="7" t="s">
        <v>35</v>
      </c>
      <c r="K91" s="7" t="s">
        <v>121</v>
      </c>
      <c r="L91" s="7">
        <v>178</v>
      </c>
      <c r="M91" s="7">
        <v>22</v>
      </c>
      <c r="N91" s="7">
        <v>16</v>
      </c>
      <c r="O91" s="7">
        <v>0</v>
      </c>
      <c r="P91" s="7">
        <v>0</v>
      </c>
      <c r="Q91" s="32">
        <f t="shared" si="15"/>
        <v>0.12359550561797752</v>
      </c>
      <c r="R91" s="32">
        <f t="shared" si="16"/>
        <v>0.72727272727272729</v>
      </c>
      <c r="S91" s="7"/>
      <c r="T91" s="7"/>
      <c r="U91" s="7"/>
      <c r="V91" s="7"/>
      <c r="W91" s="7"/>
    </row>
    <row r="92" spans="1:23" ht="16.8">
      <c r="A92" s="6">
        <v>46129</v>
      </c>
      <c r="B92" s="7" t="s">
        <v>206</v>
      </c>
      <c r="C92" s="62">
        <v>0.96875</v>
      </c>
      <c r="D92" s="31" t="s">
        <v>258</v>
      </c>
      <c r="E92" s="7" t="s">
        <v>253</v>
      </c>
      <c r="F92" s="7" t="s">
        <v>247</v>
      </c>
      <c r="G92" s="7"/>
      <c r="H92" s="7"/>
      <c r="I92" s="30" t="s">
        <v>256</v>
      </c>
      <c r="J92" s="7" t="s">
        <v>34</v>
      </c>
      <c r="K92" s="52" t="s">
        <v>210</v>
      </c>
      <c r="L92" s="7">
        <v>49</v>
      </c>
      <c r="M92" s="7">
        <v>1</v>
      </c>
      <c r="N92" s="7">
        <v>0</v>
      </c>
      <c r="O92" s="7">
        <v>0</v>
      </c>
      <c r="P92" s="7">
        <v>0</v>
      </c>
      <c r="Q92" s="32">
        <f t="shared" si="15"/>
        <v>2.0408163265306121E-2</v>
      </c>
      <c r="R92" s="32">
        <f t="shared" si="16"/>
        <v>0</v>
      </c>
      <c r="S92" s="7"/>
      <c r="T92" s="7"/>
      <c r="U92" s="7"/>
      <c r="V92" s="7"/>
      <c r="W92" s="7"/>
    </row>
    <row r="93" spans="1:23" ht="6.6" customHeight="1">
      <c r="A93" s="22"/>
      <c r="B93" s="23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5"/>
      <c r="R93" s="25"/>
      <c r="S93" s="24"/>
      <c r="T93" s="24"/>
      <c r="U93" s="24"/>
      <c r="V93" s="25"/>
      <c r="W93" s="26"/>
    </row>
    <row r="94" spans="1:23">
      <c r="A94" s="6">
        <v>46130</v>
      </c>
      <c r="B94" s="7" t="s">
        <v>26</v>
      </c>
      <c r="C94" s="18"/>
      <c r="D94" s="18" t="s">
        <v>185</v>
      </c>
      <c r="E94" s="18" t="s">
        <v>109</v>
      </c>
      <c r="F94" s="18" t="s">
        <v>110</v>
      </c>
      <c r="G94" s="18"/>
      <c r="H94" s="18" t="s">
        <v>106</v>
      </c>
      <c r="I94" s="30"/>
      <c r="J94" s="18" t="s">
        <v>34</v>
      </c>
      <c r="K94" s="18" t="s">
        <v>106</v>
      </c>
      <c r="L94" s="7">
        <v>112</v>
      </c>
      <c r="M94" s="7">
        <v>1</v>
      </c>
      <c r="N94" s="7">
        <v>1</v>
      </c>
      <c r="O94" s="7">
        <v>0</v>
      </c>
      <c r="P94" s="7">
        <v>0</v>
      </c>
      <c r="Q94" s="32">
        <f t="shared" ref="Q94:Q105" si="19">M94/L94</f>
        <v>8.9285714285714281E-3</v>
      </c>
      <c r="R94" s="32">
        <f t="shared" ref="R94:R105" si="20">N94/M94</f>
        <v>1</v>
      </c>
      <c r="S94" s="7"/>
      <c r="T94" s="7"/>
      <c r="U94" s="7"/>
      <c r="V94" s="7"/>
      <c r="W94" s="7"/>
    </row>
    <row r="95" spans="1:23">
      <c r="A95" s="6">
        <v>46130</v>
      </c>
      <c r="B95" s="7" t="s">
        <v>26</v>
      </c>
      <c r="C95" s="18"/>
      <c r="D95" s="18" t="s">
        <v>144</v>
      </c>
      <c r="E95" s="18" t="s">
        <v>109</v>
      </c>
      <c r="F95" s="18" t="s">
        <v>145</v>
      </c>
      <c r="G95" s="18"/>
      <c r="H95" s="18" t="s">
        <v>157</v>
      </c>
      <c r="I95" s="30"/>
      <c r="J95" s="18" t="s">
        <v>34</v>
      </c>
      <c r="K95" s="18" t="s">
        <v>157</v>
      </c>
      <c r="L95" s="7">
        <v>2</v>
      </c>
      <c r="M95" s="7">
        <v>1</v>
      </c>
      <c r="N95" s="7">
        <v>1</v>
      </c>
      <c r="O95" s="7">
        <v>0</v>
      </c>
      <c r="P95" s="7">
        <v>0</v>
      </c>
      <c r="Q95" s="32">
        <f t="shared" si="19"/>
        <v>0.5</v>
      </c>
      <c r="R95" s="32">
        <f t="shared" si="20"/>
        <v>1</v>
      </c>
      <c r="S95" s="7"/>
      <c r="T95" s="7"/>
      <c r="U95" s="7"/>
      <c r="V95" s="7"/>
      <c r="W95" s="7"/>
    </row>
    <row r="96" spans="1:23">
      <c r="A96" s="6">
        <v>46130</v>
      </c>
      <c r="B96" s="7" t="s">
        <v>26</v>
      </c>
      <c r="C96" s="18"/>
      <c r="D96" s="18" t="s">
        <v>146</v>
      </c>
      <c r="E96" s="18" t="s">
        <v>109</v>
      </c>
      <c r="F96" s="18" t="s">
        <v>147</v>
      </c>
      <c r="G96" s="18"/>
      <c r="H96" s="18" t="s">
        <v>149</v>
      </c>
      <c r="I96" s="30"/>
      <c r="J96" s="18" t="s">
        <v>34</v>
      </c>
      <c r="K96" s="18" t="s">
        <v>149</v>
      </c>
      <c r="L96" s="7">
        <v>3</v>
      </c>
      <c r="M96" s="7">
        <v>3</v>
      </c>
      <c r="N96" s="7">
        <v>1</v>
      </c>
      <c r="O96" s="7">
        <v>0</v>
      </c>
      <c r="P96" s="7">
        <v>0</v>
      </c>
      <c r="Q96" s="32">
        <f t="shared" si="19"/>
        <v>1</v>
      </c>
      <c r="R96" s="32">
        <f t="shared" si="20"/>
        <v>0.33333333333333331</v>
      </c>
      <c r="S96" s="7"/>
      <c r="T96" s="7"/>
      <c r="U96" s="7"/>
      <c r="V96" s="7"/>
      <c r="W96" s="7"/>
    </row>
    <row r="97" spans="1:23">
      <c r="A97" s="6">
        <v>46130</v>
      </c>
      <c r="B97" s="7" t="s">
        <v>26</v>
      </c>
      <c r="C97" s="18"/>
      <c r="D97" s="18" t="s">
        <v>187</v>
      </c>
      <c r="E97" s="18" t="s">
        <v>109</v>
      </c>
      <c r="F97" s="18" t="s">
        <v>188</v>
      </c>
      <c r="G97" s="18"/>
      <c r="H97" s="18"/>
      <c r="I97" s="30"/>
      <c r="J97" s="18" t="s">
        <v>34</v>
      </c>
      <c r="K97" s="18" t="s">
        <v>186</v>
      </c>
      <c r="L97" s="7">
        <v>80</v>
      </c>
      <c r="M97" s="7">
        <v>1</v>
      </c>
      <c r="N97" s="7">
        <v>0</v>
      </c>
      <c r="O97" s="7">
        <v>0</v>
      </c>
      <c r="P97" s="7">
        <v>0</v>
      </c>
      <c r="Q97" s="32">
        <f t="shared" si="19"/>
        <v>1.2500000000000001E-2</v>
      </c>
      <c r="R97" s="32">
        <f t="shared" si="20"/>
        <v>0</v>
      </c>
      <c r="S97" s="7"/>
      <c r="T97" s="7"/>
      <c r="U97" s="7"/>
      <c r="V97" s="7"/>
      <c r="W97" s="7"/>
    </row>
    <row r="98" spans="1:23">
      <c r="A98" s="6">
        <v>46130</v>
      </c>
      <c r="B98" s="7" t="s">
        <v>26</v>
      </c>
      <c r="C98" s="7"/>
      <c r="D98" s="31" t="s">
        <v>273</v>
      </c>
      <c r="E98" s="7"/>
      <c r="F98" s="7"/>
      <c r="G98" s="7"/>
      <c r="H98" s="7"/>
      <c r="I98" s="14" t="s">
        <v>67</v>
      </c>
      <c r="J98" s="7" t="s">
        <v>34</v>
      </c>
      <c r="K98" s="7" t="s">
        <v>170</v>
      </c>
      <c r="L98" s="7">
        <v>1498</v>
      </c>
      <c r="M98" s="7">
        <v>1451</v>
      </c>
      <c r="N98" s="7">
        <v>1064</v>
      </c>
      <c r="O98" s="7">
        <v>0</v>
      </c>
      <c r="P98" s="7">
        <v>2</v>
      </c>
      <c r="Q98" s="32">
        <f t="shared" si="19"/>
        <v>0.96862483311081438</v>
      </c>
      <c r="R98" s="32">
        <f t="shared" si="20"/>
        <v>0.7332873880082702</v>
      </c>
      <c r="S98" s="7"/>
      <c r="T98" s="7"/>
      <c r="U98" s="7"/>
      <c r="V98" s="7"/>
      <c r="W98" s="7"/>
    </row>
    <row r="99" spans="1:23">
      <c r="A99" s="6">
        <v>46130</v>
      </c>
      <c r="B99" s="7" t="s">
        <v>26</v>
      </c>
      <c r="C99" s="7"/>
      <c r="D99" s="65" t="s">
        <v>270</v>
      </c>
      <c r="E99" s="7"/>
      <c r="F99" s="7"/>
      <c r="G99" s="7"/>
      <c r="H99" s="7"/>
      <c r="I99" s="47" t="s">
        <v>211</v>
      </c>
      <c r="J99" s="7" t="s">
        <v>34</v>
      </c>
      <c r="K99" s="7" t="s">
        <v>170</v>
      </c>
      <c r="L99" s="7">
        <v>474</v>
      </c>
      <c r="M99" s="7">
        <v>456</v>
      </c>
      <c r="N99" s="7">
        <v>327</v>
      </c>
      <c r="O99" s="7">
        <v>0</v>
      </c>
      <c r="P99" s="7">
        <v>0</v>
      </c>
      <c r="Q99" s="32">
        <f t="shared" si="19"/>
        <v>0.96202531645569622</v>
      </c>
      <c r="R99" s="32">
        <f t="shared" si="20"/>
        <v>0.71710526315789469</v>
      </c>
      <c r="S99" s="7"/>
      <c r="T99" s="7"/>
      <c r="U99" s="7"/>
      <c r="V99" s="7"/>
      <c r="W99" s="7"/>
    </row>
    <row r="100" spans="1:23">
      <c r="A100" s="6">
        <v>46130</v>
      </c>
      <c r="B100" s="7" t="s">
        <v>26</v>
      </c>
      <c r="C100" s="7"/>
      <c r="D100" s="51" t="s">
        <v>174</v>
      </c>
      <c r="E100" s="7"/>
      <c r="F100" s="7"/>
      <c r="G100" s="7"/>
      <c r="H100" s="7"/>
      <c r="I100" s="14" t="s">
        <v>64</v>
      </c>
      <c r="J100" s="7" t="s">
        <v>34</v>
      </c>
      <c r="K100" s="7" t="s">
        <v>171</v>
      </c>
      <c r="L100" s="7"/>
      <c r="M100" s="7"/>
      <c r="N100" s="7"/>
      <c r="O100" s="7"/>
      <c r="P100" s="7"/>
      <c r="Q100" s="32" t="e">
        <f t="shared" si="19"/>
        <v>#DIV/0!</v>
      </c>
      <c r="R100" s="32" t="e">
        <f t="shared" si="20"/>
        <v>#DIV/0!</v>
      </c>
      <c r="S100" s="7"/>
      <c r="T100" s="7"/>
      <c r="U100" s="7"/>
      <c r="V100" s="7"/>
      <c r="W100" s="7"/>
    </row>
    <row r="101" spans="1:23">
      <c r="A101" s="6">
        <v>46130</v>
      </c>
      <c r="B101" s="7" t="s">
        <v>26</v>
      </c>
      <c r="C101" s="7"/>
      <c r="D101" s="51" t="s">
        <v>175</v>
      </c>
      <c r="E101" s="7"/>
      <c r="F101" s="7"/>
      <c r="G101" s="7"/>
      <c r="H101" s="7"/>
      <c r="I101" s="14" t="s">
        <v>64</v>
      </c>
      <c r="J101" s="7" t="s">
        <v>34</v>
      </c>
      <c r="K101" s="7" t="s">
        <v>171</v>
      </c>
      <c r="L101" s="7"/>
      <c r="M101" s="7"/>
      <c r="N101" s="7"/>
      <c r="O101" s="7"/>
      <c r="P101" s="7"/>
      <c r="Q101" s="32" t="e">
        <f t="shared" si="19"/>
        <v>#DIV/0!</v>
      </c>
      <c r="R101" s="32" t="e">
        <f t="shared" si="20"/>
        <v>#DIV/0!</v>
      </c>
      <c r="S101" s="7"/>
      <c r="T101" s="7"/>
      <c r="U101" s="7"/>
      <c r="V101" s="7"/>
      <c r="W101" s="7"/>
    </row>
    <row r="102" spans="1:23">
      <c r="A102" s="6">
        <v>46130</v>
      </c>
      <c r="B102" s="7" t="s">
        <v>26</v>
      </c>
      <c r="C102" s="62">
        <v>0.9375</v>
      </c>
      <c r="D102" s="31" t="s">
        <v>259</v>
      </c>
      <c r="E102" s="7" t="s">
        <v>109</v>
      </c>
      <c r="F102" s="7" t="s">
        <v>150</v>
      </c>
      <c r="G102" s="7" t="s">
        <v>85</v>
      </c>
      <c r="H102" s="7"/>
      <c r="I102" s="30"/>
      <c r="J102" s="7" t="s">
        <v>34</v>
      </c>
      <c r="K102" s="7" t="s">
        <v>149</v>
      </c>
      <c r="L102" s="7">
        <v>147</v>
      </c>
      <c r="M102" s="7">
        <v>32</v>
      </c>
      <c r="N102" s="7">
        <v>4</v>
      </c>
      <c r="O102" s="7">
        <v>0</v>
      </c>
      <c r="P102" s="7">
        <v>0</v>
      </c>
      <c r="Q102" s="32">
        <f t="shared" si="19"/>
        <v>0.21768707482993196</v>
      </c>
      <c r="R102" s="32">
        <f t="shared" si="20"/>
        <v>0.125</v>
      </c>
      <c r="S102" s="7"/>
      <c r="T102" s="7"/>
      <c r="U102" s="7"/>
      <c r="V102" s="7"/>
      <c r="W102" s="7"/>
    </row>
    <row r="103" spans="1:23" ht="16.8">
      <c r="A103" s="6">
        <v>46130</v>
      </c>
      <c r="B103" s="7" t="s">
        <v>26</v>
      </c>
      <c r="C103" s="62">
        <v>0.95833333333333337</v>
      </c>
      <c r="D103" s="31" t="s">
        <v>246</v>
      </c>
      <c r="E103" s="7" t="s">
        <v>252</v>
      </c>
      <c r="F103" s="7" t="s">
        <v>248</v>
      </c>
      <c r="G103" s="7"/>
      <c r="H103" s="7"/>
      <c r="I103" s="30"/>
      <c r="J103" s="7" t="s">
        <v>34</v>
      </c>
      <c r="K103" s="52" t="s">
        <v>157</v>
      </c>
      <c r="L103" s="7">
        <v>121</v>
      </c>
      <c r="M103" s="7">
        <v>39</v>
      </c>
      <c r="N103" s="7">
        <v>8</v>
      </c>
      <c r="O103" s="7">
        <v>0</v>
      </c>
      <c r="P103" s="7">
        <v>0</v>
      </c>
      <c r="Q103" s="32">
        <f t="shared" si="19"/>
        <v>0.32231404958677684</v>
      </c>
      <c r="R103" s="32">
        <f t="shared" si="20"/>
        <v>0.20512820512820512</v>
      </c>
      <c r="S103" s="7"/>
      <c r="T103" s="7"/>
      <c r="U103" s="7"/>
      <c r="V103" s="7"/>
      <c r="W103" s="7"/>
    </row>
    <row r="104" spans="1:23">
      <c r="A104" s="6">
        <v>46130</v>
      </c>
      <c r="B104" s="7" t="s">
        <v>26</v>
      </c>
      <c r="C104" s="62">
        <v>0.79166666666666663</v>
      </c>
      <c r="D104" s="48" t="s">
        <v>260</v>
      </c>
      <c r="E104" s="35" t="s">
        <v>109</v>
      </c>
      <c r="F104" s="35" t="s">
        <v>150</v>
      </c>
      <c r="G104" s="7" t="s">
        <v>85</v>
      </c>
      <c r="H104" s="7"/>
      <c r="I104" s="30"/>
      <c r="J104" s="7" t="s">
        <v>34</v>
      </c>
      <c r="K104" s="7" t="s">
        <v>121</v>
      </c>
      <c r="L104" s="7">
        <v>178</v>
      </c>
      <c r="M104" s="7">
        <v>19</v>
      </c>
      <c r="N104" s="7">
        <v>13</v>
      </c>
      <c r="O104" s="7">
        <v>0</v>
      </c>
      <c r="P104" s="7">
        <v>0</v>
      </c>
      <c r="Q104" s="32">
        <f t="shared" si="19"/>
        <v>0.10674157303370786</v>
      </c>
      <c r="R104" s="32">
        <f t="shared" si="20"/>
        <v>0.68421052631578949</v>
      </c>
      <c r="S104" s="7"/>
      <c r="T104" s="7"/>
      <c r="U104" s="7"/>
      <c r="V104" s="7"/>
      <c r="W104" s="7"/>
    </row>
    <row r="105" spans="1:23" ht="16.8">
      <c r="A105" s="6">
        <v>46130</v>
      </c>
      <c r="B105" s="35" t="s">
        <v>26</v>
      </c>
      <c r="C105" s="64">
        <v>0.85416666666666663</v>
      </c>
      <c r="D105" s="31" t="s">
        <v>250</v>
      </c>
      <c r="E105" s="7" t="s">
        <v>252</v>
      </c>
      <c r="F105" s="7" t="s">
        <v>248</v>
      </c>
      <c r="G105" s="35"/>
      <c r="H105" s="35"/>
      <c r="I105" s="63"/>
      <c r="J105" s="35" t="s">
        <v>34</v>
      </c>
      <c r="K105" s="53" t="s">
        <v>210</v>
      </c>
      <c r="L105" s="35">
        <v>92</v>
      </c>
      <c r="M105" s="35">
        <v>0</v>
      </c>
      <c r="N105" s="35">
        <v>0</v>
      </c>
      <c r="O105" s="35">
        <v>0</v>
      </c>
      <c r="P105" s="35">
        <v>0</v>
      </c>
      <c r="Q105" s="37">
        <f t="shared" si="19"/>
        <v>0</v>
      </c>
      <c r="R105" s="37" t="e">
        <f t="shared" si="20"/>
        <v>#DIV/0!</v>
      </c>
      <c r="S105" s="35"/>
      <c r="T105" s="35"/>
      <c r="U105" s="35"/>
      <c r="V105" s="35"/>
      <c r="W105" s="35"/>
    </row>
    <row r="106" spans="1:23" ht="3.6" customHeight="1">
      <c r="A106" s="43">
        <v>46130</v>
      </c>
      <c r="B106" s="54" t="s">
        <v>26</v>
      </c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5"/>
      <c r="R106" s="55"/>
      <c r="S106" s="54"/>
      <c r="T106" s="54"/>
      <c r="U106" s="54"/>
      <c r="V106" s="54"/>
      <c r="W106" s="54"/>
    </row>
    <row r="107" spans="1:23">
      <c r="A107" s="6">
        <v>46130</v>
      </c>
      <c r="B107" s="39" t="s">
        <v>26</v>
      </c>
      <c r="C107" s="40"/>
      <c r="D107" s="40" t="s">
        <v>108</v>
      </c>
      <c r="E107" s="40" t="s">
        <v>116</v>
      </c>
      <c r="F107" s="40" t="s">
        <v>115</v>
      </c>
      <c r="G107" s="40"/>
      <c r="H107" s="40"/>
      <c r="I107" s="41"/>
      <c r="J107" s="40" t="s">
        <v>35</v>
      </c>
      <c r="K107" s="40" t="s">
        <v>106</v>
      </c>
      <c r="L107" s="39">
        <v>111</v>
      </c>
      <c r="M107" s="39">
        <v>1</v>
      </c>
      <c r="N107" s="39">
        <v>0</v>
      </c>
      <c r="O107" s="39">
        <v>0</v>
      </c>
      <c r="P107" s="39">
        <v>0</v>
      </c>
      <c r="Q107" s="42">
        <f t="shared" ref="Q107:Q118" si="21">M107/L107</f>
        <v>9.0090090090090089E-3</v>
      </c>
      <c r="R107" s="42">
        <f t="shared" ref="R107:R118" si="22">N107/M107</f>
        <v>0</v>
      </c>
      <c r="S107" s="39"/>
      <c r="T107" s="39"/>
      <c r="U107" s="39"/>
      <c r="V107" s="39"/>
      <c r="W107" s="39"/>
    </row>
    <row r="108" spans="1:23">
      <c r="A108" s="6">
        <v>46130</v>
      </c>
      <c r="B108" s="7" t="s">
        <v>26</v>
      </c>
      <c r="C108" s="18"/>
      <c r="D108" s="18" t="s">
        <v>155</v>
      </c>
      <c r="E108" s="18" t="s">
        <v>116</v>
      </c>
      <c r="F108" s="18" t="s">
        <v>156</v>
      </c>
      <c r="G108" s="18"/>
      <c r="H108" s="18"/>
      <c r="I108" s="30"/>
      <c r="J108" s="18" t="s">
        <v>35</v>
      </c>
      <c r="K108" s="18" t="s">
        <v>157</v>
      </c>
      <c r="L108" s="7">
        <v>2</v>
      </c>
      <c r="M108" s="7">
        <v>0</v>
      </c>
      <c r="N108" s="7">
        <v>0</v>
      </c>
      <c r="O108" s="7">
        <v>0</v>
      </c>
      <c r="P108" s="7">
        <v>0</v>
      </c>
      <c r="Q108" s="32">
        <f t="shared" si="21"/>
        <v>0</v>
      </c>
      <c r="R108" s="32" t="e">
        <f t="shared" si="22"/>
        <v>#DIV/0!</v>
      </c>
      <c r="S108" s="7"/>
      <c r="T108" s="7"/>
      <c r="U108" s="7"/>
      <c r="V108" s="7"/>
      <c r="W108" s="7"/>
    </row>
    <row r="109" spans="1:23">
      <c r="A109" s="6">
        <v>46130</v>
      </c>
      <c r="B109" s="7" t="s">
        <v>26</v>
      </c>
      <c r="C109" s="18"/>
      <c r="D109" s="18" t="s">
        <v>158</v>
      </c>
      <c r="E109" s="18" t="s">
        <v>116</v>
      </c>
      <c r="F109" s="18" t="s">
        <v>159</v>
      </c>
      <c r="G109" s="18"/>
      <c r="H109" s="18"/>
      <c r="I109" s="30"/>
      <c r="J109" s="18" t="s">
        <v>35</v>
      </c>
      <c r="K109" s="18" t="s">
        <v>149</v>
      </c>
      <c r="L109" s="7">
        <v>3</v>
      </c>
      <c r="M109" s="7">
        <v>0</v>
      </c>
      <c r="N109" s="7">
        <v>0</v>
      </c>
      <c r="O109" s="7">
        <v>0</v>
      </c>
      <c r="P109" s="7">
        <v>0</v>
      </c>
      <c r="Q109" s="32">
        <f t="shared" si="21"/>
        <v>0</v>
      </c>
      <c r="R109" s="32" t="e">
        <f t="shared" si="22"/>
        <v>#DIV/0!</v>
      </c>
      <c r="S109" s="7"/>
      <c r="T109" s="7"/>
      <c r="U109" s="7"/>
      <c r="V109" s="7"/>
      <c r="W109" s="7"/>
    </row>
    <row r="110" spans="1:23">
      <c r="A110" s="6">
        <v>46130</v>
      </c>
      <c r="B110" s="7" t="s">
        <v>26</v>
      </c>
      <c r="C110" s="18"/>
      <c r="D110" s="18" t="s">
        <v>189</v>
      </c>
      <c r="E110" s="18" t="s">
        <v>116</v>
      </c>
      <c r="F110" s="18"/>
      <c r="G110" s="18"/>
      <c r="H110" s="18"/>
      <c r="I110" s="30"/>
      <c r="J110" s="18" t="s">
        <v>35</v>
      </c>
      <c r="K110" s="18" t="s">
        <v>186</v>
      </c>
      <c r="L110" s="7">
        <v>80</v>
      </c>
      <c r="M110" s="7">
        <v>2</v>
      </c>
      <c r="N110" s="7">
        <v>0</v>
      </c>
      <c r="O110" s="7">
        <v>0</v>
      </c>
      <c r="P110" s="7">
        <v>0</v>
      </c>
      <c r="Q110" s="32">
        <f t="shared" si="21"/>
        <v>2.5000000000000001E-2</v>
      </c>
      <c r="R110" s="32">
        <f t="shared" si="22"/>
        <v>0</v>
      </c>
      <c r="S110" s="7"/>
      <c r="T110" s="7"/>
      <c r="U110" s="7"/>
      <c r="V110" s="7"/>
      <c r="W110" s="7"/>
    </row>
    <row r="111" spans="1:23">
      <c r="A111" s="6">
        <v>46130</v>
      </c>
      <c r="B111" s="7" t="s">
        <v>26</v>
      </c>
      <c r="C111" s="7"/>
      <c r="D111" s="31" t="s">
        <v>274</v>
      </c>
      <c r="E111" s="7"/>
      <c r="F111" s="7"/>
      <c r="G111" s="7"/>
      <c r="H111" s="7"/>
      <c r="I111" s="14" t="s">
        <v>67</v>
      </c>
      <c r="J111" s="7" t="s">
        <v>35</v>
      </c>
      <c r="K111" s="7" t="s">
        <v>170</v>
      </c>
      <c r="L111" s="7">
        <v>1499</v>
      </c>
      <c r="M111" s="7">
        <v>1449</v>
      </c>
      <c r="N111" s="7">
        <v>926</v>
      </c>
      <c r="O111" s="7">
        <v>0</v>
      </c>
      <c r="P111" s="7">
        <v>1</v>
      </c>
      <c r="Q111" s="32">
        <f t="shared" si="21"/>
        <v>0.9666444296197465</v>
      </c>
      <c r="R111" s="32">
        <f t="shared" si="22"/>
        <v>0.63906142167011737</v>
      </c>
      <c r="S111" s="7"/>
      <c r="T111" s="7"/>
      <c r="U111" s="7"/>
      <c r="V111" s="7"/>
      <c r="W111" s="7"/>
    </row>
    <row r="112" spans="1:23">
      <c r="A112" s="6">
        <v>46130</v>
      </c>
      <c r="B112" s="7" t="s">
        <v>26</v>
      </c>
      <c r="C112" s="7"/>
      <c r="D112" s="65" t="s">
        <v>272</v>
      </c>
      <c r="E112" s="7"/>
      <c r="F112" s="7"/>
      <c r="G112" s="7"/>
      <c r="H112" s="7"/>
      <c r="I112" s="47" t="s">
        <v>211</v>
      </c>
      <c r="J112" s="7" t="s">
        <v>35</v>
      </c>
      <c r="K112" s="7" t="s">
        <v>170</v>
      </c>
      <c r="L112" s="7">
        <v>469</v>
      </c>
      <c r="M112" s="7">
        <v>449</v>
      </c>
      <c r="N112" s="7">
        <v>277</v>
      </c>
      <c r="O112" s="7">
        <v>0</v>
      </c>
      <c r="P112" s="7">
        <v>1</v>
      </c>
      <c r="Q112" s="32">
        <f t="shared" si="21"/>
        <v>0.95735607675906187</v>
      </c>
      <c r="R112" s="32">
        <f t="shared" si="22"/>
        <v>0.61692650334075727</v>
      </c>
      <c r="S112" s="7"/>
      <c r="T112" s="7"/>
      <c r="U112" s="7"/>
      <c r="V112" s="7"/>
      <c r="W112" s="7"/>
    </row>
    <row r="113" spans="1:23">
      <c r="A113" s="6">
        <v>46130</v>
      </c>
      <c r="B113" s="7" t="s">
        <v>26</v>
      </c>
      <c r="C113" s="7"/>
      <c r="D113" s="51" t="s">
        <v>181</v>
      </c>
      <c r="E113" s="7"/>
      <c r="F113" s="7"/>
      <c r="G113" s="7"/>
      <c r="H113" s="7"/>
      <c r="I113" s="14" t="s">
        <v>68</v>
      </c>
      <c r="J113" s="7" t="s">
        <v>35</v>
      </c>
      <c r="K113" s="7" t="s">
        <v>171</v>
      </c>
      <c r="L113" s="7"/>
      <c r="M113" s="7"/>
      <c r="N113" s="7"/>
      <c r="O113" s="7"/>
      <c r="P113" s="7"/>
      <c r="Q113" s="32" t="e">
        <f t="shared" si="21"/>
        <v>#DIV/0!</v>
      </c>
      <c r="R113" s="32" t="e">
        <f t="shared" si="22"/>
        <v>#DIV/0!</v>
      </c>
      <c r="S113" s="7"/>
      <c r="T113" s="7"/>
      <c r="U113" s="7"/>
      <c r="V113" s="7"/>
      <c r="W113" s="7"/>
    </row>
    <row r="114" spans="1:23">
      <c r="A114" s="6">
        <v>46130</v>
      </c>
      <c r="B114" s="7" t="s">
        <v>26</v>
      </c>
      <c r="C114" s="7"/>
      <c r="D114" s="51" t="s">
        <v>182</v>
      </c>
      <c r="E114" s="7"/>
      <c r="F114" s="7"/>
      <c r="G114" s="7"/>
      <c r="H114" s="7"/>
      <c r="I114" s="14" t="s">
        <v>68</v>
      </c>
      <c r="J114" s="7" t="s">
        <v>35</v>
      </c>
      <c r="K114" s="7" t="s">
        <v>171</v>
      </c>
      <c r="L114" s="7"/>
      <c r="M114" s="7"/>
      <c r="N114" s="7"/>
      <c r="O114" s="7"/>
      <c r="P114" s="7"/>
      <c r="Q114" s="32" t="e">
        <f t="shared" si="21"/>
        <v>#DIV/0!</v>
      </c>
      <c r="R114" s="32" t="e">
        <f t="shared" si="22"/>
        <v>#DIV/0!</v>
      </c>
      <c r="S114" s="7"/>
      <c r="T114" s="7"/>
      <c r="U114" s="7"/>
      <c r="V114" s="7"/>
      <c r="W114" s="7"/>
    </row>
    <row r="115" spans="1:23">
      <c r="A115" s="6">
        <v>46130</v>
      </c>
      <c r="B115" s="7" t="s">
        <v>26</v>
      </c>
      <c r="C115" s="62">
        <v>0.85416666666666663</v>
      </c>
      <c r="D115" s="31" t="s">
        <v>261</v>
      </c>
      <c r="E115" s="7" t="s">
        <v>116</v>
      </c>
      <c r="F115" s="7" t="s">
        <v>161</v>
      </c>
      <c r="G115" s="7" t="s">
        <v>85</v>
      </c>
      <c r="H115" s="7"/>
      <c r="I115" s="30"/>
      <c r="J115" s="7" t="s">
        <v>35</v>
      </c>
      <c r="K115" s="7" t="s">
        <v>149</v>
      </c>
      <c r="L115" s="7">
        <v>147</v>
      </c>
      <c r="M115" s="7">
        <v>30</v>
      </c>
      <c r="N115" s="7">
        <v>5</v>
      </c>
      <c r="O115" s="7">
        <v>0</v>
      </c>
      <c r="P115" s="7">
        <v>0</v>
      </c>
      <c r="Q115" s="32">
        <f t="shared" si="21"/>
        <v>0.20408163265306123</v>
      </c>
      <c r="R115" s="32">
        <f t="shared" si="22"/>
        <v>0.16666666666666666</v>
      </c>
      <c r="S115" s="7"/>
      <c r="T115" s="7"/>
      <c r="U115" s="7"/>
      <c r="V115" s="7"/>
      <c r="W115" s="7"/>
    </row>
    <row r="116" spans="1:23" ht="16.8">
      <c r="A116" s="6">
        <v>46130</v>
      </c>
      <c r="B116" s="7" t="s">
        <v>26</v>
      </c>
      <c r="C116" s="62">
        <v>0.875</v>
      </c>
      <c r="D116" s="31" t="s">
        <v>255</v>
      </c>
      <c r="E116" s="7" t="s">
        <v>253</v>
      </c>
      <c r="F116" s="7" t="s">
        <v>247</v>
      </c>
      <c r="G116" s="7"/>
      <c r="H116" s="7"/>
      <c r="I116" s="30"/>
      <c r="J116" s="7" t="s">
        <v>35</v>
      </c>
      <c r="K116" s="52" t="s">
        <v>157</v>
      </c>
      <c r="L116" s="7">
        <v>129</v>
      </c>
      <c r="M116" s="7">
        <v>28</v>
      </c>
      <c r="N116" s="7">
        <v>1</v>
      </c>
      <c r="O116" s="7">
        <v>0</v>
      </c>
      <c r="P116" s="7">
        <v>0</v>
      </c>
      <c r="Q116" s="32">
        <f t="shared" si="21"/>
        <v>0.21705426356589147</v>
      </c>
      <c r="R116" s="32">
        <f t="shared" si="22"/>
        <v>3.5714285714285712E-2</v>
      </c>
      <c r="S116" s="7"/>
      <c r="T116" s="7"/>
      <c r="U116" s="7"/>
      <c r="V116" s="7"/>
      <c r="W116" s="7"/>
    </row>
    <row r="117" spans="1:23">
      <c r="A117" s="6">
        <v>46130</v>
      </c>
      <c r="B117" s="7" t="s">
        <v>26</v>
      </c>
      <c r="C117" s="62">
        <v>0.91666666666666663</v>
      </c>
      <c r="D117" s="31" t="s">
        <v>262</v>
      </c>
      <c r="E117" s="7" t="s">
        <v>116</v>
      </c>
      <c r="F117" s="7" t="s">
        <v>161</v>
      </c>
      <c r="G117" s="7" t="s">
        <v>85</v>
      </c>
      <c r="H117" s="7"/>
      <c r="I117" s="30"/>
      <c r="J117" s="7" t="s">
        <v>35</v>
      </c>
      <c r="K117" s="7" t="s">
        <v>121</v>
      </c>
      <c r="L117" s="7">
        <v>178</v>
      </c>
      <c r="M117" s="7">
        <v>19</v>
      </c>
      <c r="N117" s="7">
        <v>13</v>
      </c>
      <c r="O117" s="7">
        <v>0</v>
      </c>
      <c r="P117" s="7">
        <v>0</v>
      </c>
      <c r="Q117" s="32">
        <f t="shared" si="21"/>
        <v>0.10674157303370786</v>
      </c>
      <c r="R117" s="32">
        <f t="shared" si="22"/>
        <v>0.68421052631578949</v>
      </c>
      <c r="S117" s="7"/>
      <c r="T117" s="7"/>
      <c r="U117" s="7"/>
      <c r="V117" s="7"/>
      <c r="W117" s="7"/>
    </row>
    <row r="118" spans="1:23" ht="16.8">
      <c r="A118" s="6">
        <v>46130</v>
      </c>
      <c r="B118" s="7" t="s">
        <v>26</v>
      </c>
      <c r="C118" s="62">
        <v>0.96875</v>
      </c>
      <c r="D118" s="31" t="s">
        <v>258</v>
      </c>
      <c r="E118" s="7" t="s">
        <v>253</v>
      </c>
      <c r="F118" s="7" t="s">
        <v>247</v>
      </c>
      <c r="G118" s="7"/>
      <c r="H118" s="7"/>
      <c r="I118" s="30"/>
      <c r="J118" s="7" t="s">
        <v>34</v>
      </c>
      <c r="K118" s="52" t="s">
        <v>210</v>
      </c>
      <c r="L118" s="7">
        <v>125</v>
      </c>
      <c r="M118" s="7">
        <v>1</v>
      </c>
      <c r="N118" s="7">
        <v>0</v>
      </c>
      <c r="O118" s="7">
        <v>0</v>
      </c>
      <c r="P118" s="7">
        <v>0</v>
      </c>
      <c r="Q118" s="32">
        <f t="shared" si="21"/>
        <v>8.0000000000000002E-3</v>
      </c>
      <c r="R118" s="32">
        <f t="shared" si="22"/>
        <v>0</v>
      </c>
      <c r="S118" s="7"/>
      <c r="T118" s="7"/>
      <c r="U118" s="7"/>
      <c r="V118" s="7"/>
      <c r="W118" s="7"/>
    </row>
    <row r="119" spans="1:23" ht="6.6" customHeight="1">
      <c r="A119" s="22"/>
      <c r="B119" s="23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5"/>
      <c r="R119" s="25"/>
      <c r="S119" s="24"/>
      <c r="T119" s="24"/>
      <c r="U119" s="24"/>
      <c r="V119" s="25"/>
      <c r="W119" s="26"/>
    </row>
    <row r="120" spans="1:23">
      <c r="A120" s="6">
        <v>46131</v>
      </c>
      <c r="B120" s="7" t="s">
        <v>33</v>
      </c>
      <c r="C120" s="18"/>
      <c r="D120" s="18" t="s">
        <v>185</v>
      </c>
      <c r="E120" s="18" t="s">
        <v>109</v>
      </c>
      <c r="F120" s="18" t="s">
        <v>110</v>
      </c>
      <c r="G120" s="18"/>
      <c r="H120" s="18" t="s">
        <v>106</v>
      </c>
      <c r="I120" s="30"/>
      <c r="J120" s="18" t="s">
        <v>34</v>
      </c>
      <c r="K120" s="18" t="s">
        <v>106</v>
      </c>
      <c r="L120" s="7">
        <v>101</v>
      </c>
      <c r="M120" s="7">
        <v>7</v>
      </c>
      <c r="N120" s="7">
        <v>2</v>
      </c>
      <c r="O120" s="7">
        <v>0</v>
      </c>
      <c r="P120" s="7">
        <v>0</v>
      </c>
      <c r="Q120" s="32">
        <f t="shared" ref="Q120:Q131" si="23">M120/L120</f>
        <v>6.9306930693069313E-2</v>
      </c>
      <c r="R120" s="32">
        <f t="shared" ref="R120:R131" si="24">N120/M120</f>
        <v>0.2857142857142857</v>
      </c>
      <c r="S120" s="7"/>
      <c r="T120" s="7"/>
      <c r="U120" s="7"/>
      <c r="V120" s="7"/>
      <c r="W120" s="7"/>
    </row>
    <row r="121" spans="1:23">
      <c r="A121" s="6">
        <v>46131</v>
      </c>
      <c r="B121" s="7" t="s">
        <v>33</v>
      </c>
      <c r="C121" s="18"/>
      <c r="D121" s="18" t="s">
        <v>144</v>
      </c>
      <c r="E121" s="18" t="s">
        <v>109</v>
      </c>
      <c r="F121" s="18" t="s">
        <v>145</v>
      </c>
      <c r="G121" s="18"/>
      <c r="H121" s="18" t="s">
        <v>157</v>
      </c>
      <c r="I121" s="30"/>
      <c r="J121" s="18" t="s">
        <v>34</v>
      </c>
      <c r="K121" s="18" t="s">
        <v>157</v>
      </c>
      <c r="L121" s="7">
        <v>6</v>
      </c>
      <c r="M121" s="7">
        <v>1</v>
      </c>
      <c r="N121" s="7">
        <v>1</v>
      </c>
      <c r="O121" s="7">
        <v>0</v>
      </c>
      <c r="P121" s="7">
        <v>0</v>
      </c>
      <c r="Q121" s="32">
        <f t="shared" si="23"/>
        <v>0.16666666666666666</v>
      </c>
      <c r="R121" s="32">
        <f t="shared" si="24"/>
        <v>1</v>
      </c>
      <c r="S121" s="7"/>
      <c r="T121" s="7"/>
      <c r="U121" s="7"/>
      <c r="V121" s="7"/>
      <c r="W121" s="7"/>
    </row>
    <row r="122" spans="1:23">
      <c r="A122" s="6">
        <v>46131</v>
      </c>
      <c r="B122" s="7" t="s">
        <v>33</v>
      </c>
      <c r="C122" s="18"/>
      <c r="D122" s="18" t="s">
        <v>146</v>
      </c>
      <c r="E122" s="18" t="s">
        <v>109</v>
      </c>
      <c r="F122" s="18" t="s">
        <v>147</v>
      </c>
      <c r="G122" s="18"/>
      <c r="H122" s="18" t="s">
        <v>149</v>
      </c>
      <c r="I122" s="30"/>
      <c r="J122" s="18" t="s">
        <v>34</v>
      </c>
      <c r="K122" s="18" t="s">
        <v>149</v>
      </c>
      <c r="L122" s="7">
        <v>4</v>
      </c>
      <c r="M122" s="7">
        <v>3</v>
      </c>
      <c r="N122" s="7">
        <v>2</v>
      </c>
      <c r="O122" s="7">
        <v>0</v>
      </c>
      <c r="P122" s="7">
        <v>0</v>
      </c>
      <c r="Q122" s="32">
        <f t="shared" si="23"/>
        <v>0.75</v>
      </c>
      <c r="R122" s="32">
        <f t="shared" si="24"/>
        <v>0.66666666666666663</v>
      </c>
      <c r="S122" s="7"/>
      <c r="T122" s="7"/>
      <c r="U122" s="7"/>
      <c r="V122" s="7"/>
      <c r="W122" s="7"/>
    </row>
    <row r="123" spans="1:23">
      <c r="A123" s="6">
        <v>46131</v>
      </c>
      <c r="B123" s="7" t="s">
        <v>33</v>
      </c>
      <c r="C123" s="18"/>
      <c r="D123" s="18" t="s">
        <v>187</v>
      </c>
      <c r="E123" s="18" t="s">
        <v>109</v>
      </c>
      <c r="F123" s="18" t="s">
        <v>188</v>
      </c>
      <c r="G123" s="18"/>
      <c r="H123" s="18"/>
      <c r="I123" s="30"/>
      <c r="J123" s="18" t="s">
        <v>34</v>
      </c>
      <c r="K123" s="18" t="s">
        <v>186</v>
      </c>
      <c r="L123" s="7">
        <v>84</v>
      </c>
      <c r="M123" s="7">
        <v>3</v>
      </c>
      <c r="N123" s="7">
        <v>1</v>
      </c>
      <c r="O123" s="7">
        <v>0</v>
      </c>
      <c r="P123" s="7">
        <v>0</v>
      </c>
      <c r="Q123" s="32">
        <f t="shared" si="23"/>
        <v>3.5714285714285712E-2</v>
      </c>
      <c r="R123" s="32">
        <f t="shared" si="24"/>
        <v>0.33333333333333331</v>
      </c>
      <c r="S123" s="7"/>
      <c r="T123" s="7"/>
      <c r="U123" s="7"/>
      <c r="V123" s="7"/>
      <c r="W123" s="7"/>
    </row>
    <row r="124" spans="1:23">
      <c r="A124" s="6">
        <v>46131</v>
      </c>
      <c r="B124" s="7" t="s">
        <v>33</v>
      </c>
      <c r="C124" s="7"/>
      <c r="D124" s="31" t="s">
        <v>275</v>
      </c>
      <c r="E124" s="7"/>
      <c r="F124" s="7"/>
      <c r="G124" s="7"/>
      <c r="H124" s="7"/>
      <c r="I124" s="14" t="s">
        <v>67</v>
      </c>
      <c r="J124" s="7" t="s">
        <v>34</v>
      </c>
      <c r="K124" s="7" t="s">
        <v>170</v>
      </c>
      <c r="L124" s="7">
        <v>1498</v>
      </c>
      <c r="M124" s="7">
        <v>1428</v>
      </c>
      <c r="N124" s="7">
        <v>1065</v>
      </c>
      <c r="O124" s="7">
        <v>0</v>
      </c>
      <c r="P124" s="7">
        <v>2</v>
      </c>
      <c r="Q124" s="32">
        <f t="shared" si="23"/>
        <v>0.95327102803738317</v>
      </c>
      <c r="R124" s="32">
        <f t="shared" si="24"/>
        <v>0.74579831932773111</v>
      </c>
      <c r="S124" s="7"/>
      <c r="T124" s="7"/>
      <c r="U124" s="7"/>
      <c r="V124" s="7"/>
      <c r="W124" s="7"/>
    </row>
    <row r="125" spans="1:23">
      <c r="A125" s="6">
        <v>46131</v>
      </c>
      <c r="B125" s="7" t="s">
        <v>33</v>
      </c>
      <c r="C125" s="7"/>
      <c r="D125" s="65" t="s">
        <v>270</v>
      </c>
      <c r="E125" s="7"/>
      <c r="F125" s="7"/>
      <c r="G125" s="7"/>
      <c r="H125" s="7"/>
      <c r="I125" s="47" t="s">
        <v>211</v>
      </c>
      <c r="J125" s="7" t="s">
        <v>34</v>
      </c>
      <c r="K125" s="7" t="s">
        <v>170</v>
      </c>
      <c r="L125" s="7">
        <v>494</v>
      </c>
      <c r="M125" s="7">
        <v>466</v>
      </c>
      <c r="N125" s="7">
        <v>360</v>
      </c>
      <c r="O125" s="7">
        <v>0</v>
      </c>
      <c r="P125" s="7">
        <v>0</v>
      </c>
      <c r="Q125" s="32">
        <f t="shared" si="23"/>
        <v>0.94331983805668018</v>
      </c>
      <c r="R125" s="32">
        <f t="shared" si="24"/>
        <v>0.77253218884120167</v>
      </c>
      <c r="S125" s="7"/>
      <c r="T125" s="7"/>
      <c r="U125" s="7"/>
      <c r="V125" s="7"/>
      <c r="W125" s="7"/>
    </row>
    <row r="126" spans="1:23">
      <c r="A126" s="6">
        <v>46131</v>
      </c>
      <c r="B126" s="7" t="s">
        <v>33</v>
      </c>
      <c r="C126" s="7"/>
      <c r="D126" s="51" t="s">
        <v>174</v>
      </c>
      <c r="E126" s="7"/>
      <c r="F126" s="7"/>
      <c r="G126" s="7"/>
      <c r="H126" s="7"/>
      <c r="I126" s="14" t="s">
        <v>64</v>
      </c>
      <c r="J126" s="7" t="s">
        <v>34</v>
      </c>
      <c r="K126" s="7" t="s">
        <v>171</v>
      </c>
      <c r="L126" s="7"/>
      <c r="M126" s="7"/>
      <c r="N126" s="7"/>
      <c r="O126" s="7"/>
      <c r="P126" s="7"/>
      <c r="Q126" s="32" t="e">
        <f t="shared" si="23"/>
        <v>#DIV/0!</v>
      </c>
      <c r="R126" s="32" t="e">
        <f t="shared" si="24"/>
        <v>#DIV/0!</v>
      </c>
      <c r="S126" s="7"/>
      <c r="T126" s="7"/>
      <c r="U126" s="7"/>
      <c r="V126" s="7"/>
      <c r="W126" s="7"/>
    </row>
    <row r="127" spans="1:23">
      <c r="A127" s="6">
        <v>46131</v>
      </c>
      <c r="B127" s="7" t="s">
        <v>33</v>
      </c>
      <c r="C127" s="7"/>
      <c r="D127" s="51" t="s">
        <v>175</v>
      </c>
      <c r="E127" s="7"/>
      <c r="F127" s="7"/>
      <c r="G127" s="7"/>
      <c r="H127" s="7"/>
      <c r="I127" s="14" t="s">
        <v>64</v>
      </c>
      <c r="J127" s="7" t="s">
        <v>34</v>
      </c>
      <c r="K127" s="7" t="s">
        <v>171</v>
      </c>
      <c r="L127" s="7"/>
      <c r="M127" s="7"/>
      <c r="N127" s="7"/>
      <c r="O127" s="7"/>
      <c r="P127" s="7"/>
      <c r="Q127" s="32" t="e">
        <f t="shared" si="23"/>
        <v>#DIV/0!</v>
      </c>
      <c r="R127" s="32" t="e">
        <f t="shared" si="24"/>
        <v>#DIV/0!</v>
      </c>
      <c r="S127" s="7"/>
      <c r="T127" s="7"/>
      <c r="U127" s="7"/>
      <c r="V127" s="7"/>
      <c r="W127" s="7"/>
    </row>
    <row r="128" spans="1:23">
      <c r="A128" s="6">
        <v>46131</v>
      </c>
      <c r="B128" s="7" t="s">
        <v>33</v>
      </c>
      <c r="C128" s="62">
        <v>0.9375</v>
      </c>
      <c r="D128" s="31" t="s">
        <v>266</v>
      </c>
      <c r="E128" s="7" t="s">
        <v>252</v>
      </c>
      <c r="F128" s="7" t="s">
        <v>247</v>
      </c>
      <c r="G128" s="7" t="s">
        <v>85</v>
      </c>
      <c r="H128" s="7"/>
      <c r="I128" s="30"/>
      <c r="J128" s="7" t="s">
        <v>34</v>
      </c>
      <c r="K128" s="7" t="s">
        <v>149</v>
      </c>
      <c r="L128" s="7">
        <v>148</v>
      </c>
      <c r="M128" s="7">
        <v>29</v>
      </c>
      <c r="N128" s="7">
        <v>4</v>
      </c>
      <c r="O128" s="7">
        <v>0</v>
      </c>
      <c r="P128" s="7">
        <v>0</v>
      </c>
      <c r="Q128" s="32">
        <f t="shared" si="23"/>
        <v>0.19594594594594594</v>
      </c>
      <c r="R128" s="32">
        <f t="shared" si="24"/>
        <v>0.13793103448275862</v>
      </c>
      <c r="S128" s="7"/>
      <c r="T128" s="7"/>
      <c r="U128" s="7"/>
      <c r="V128" s="7"/>
      <c r="W128" s="7"/>
    </row>
    <row r="129" spans="1:23" ht="16.8">
      <c r="A129" s="6">
        <v>46131</v>
      </c>
      <c r="B129" s="7" t="s">
        <v>33</v>
      </c>
      <c r="C129" s="62">
        <v>0.95833333333333337</v>
      </c>
      <c r="D129" s="31" t="s">
        <v>246</v>
      </c>
      <c r="E129" s="7" t="s">
        <v>252</v>
      </c>
      <c r="F129" s="7" t="s">
        <v>248</v>
      </c>
      <c r="G129" s="7"/>
      <c r="H129" s="7"/>
      <c r="I129" s="30"/>
      <c r="J129" s="7" t="s">
        <v>34</v>
      </c>
      <c r="K129" s="52" t="s">
        <v>157</v>
      </c>
      <c r="L129" s="7">
        <v>23</v>
      </c>
      <c r="M129" s="7">
        <v>11</v>
      </c>
      <c r="N129" s="7">
        <v>3</v>
      </c>
      <c r="O129" s="7">
        <v>1</v>
      </c>
      <c r="P129" s="7">
        <v>0</v>
      </c>
      <c r="Q129" s="32">
        <f t="shared" si="23"/>
        <v>0.47826086956521741</v>
      </c>
      <c r="R129" s="32">
        <f t="shared" si="24"/>
        <v>0.27272727272727271</v>
      </c>
      <c r="S129" s="7"/>
      <c r="T129" s="7"/>
      <c r="U129" s="7"/>
      <c r="V129" s="7"/>
      <c r="W129" s="7"/>
    </row>
    <row r="130" spans="1:23">
      <c r="A130" s="6">
        <v>46131</v>
      </c>
      <c r="B130" s="7" t="s">
        <v>33</v>
      </c>
      <c r="C130" s="62">
        <v>0.79166666666666663</v>
      </c>
      <c r="D130" s="31" t="s">
        <v>263</v>
      </c>
      <c r="E130" s="7" t="s">
        <v>252</v>
      </c>
      <c r="F130" s="7" t="s">
        <v>247</v>
      </c>
      <c r="G130" s="7" t="s">
        <v>85</v>
      </c>
      <c r="H130" s="7"/>
      <c r="I130" s="30"/>
      <c r="J130" s="7" t="s">
        <v>34</v>
      </c>
      <c r="K130" s="7" t="s">
        <v>121</v>
      </c>
      <c r="L130" s="7">
        <v>179</v>
      </c>
      <c r="M130" s="7">
        <v>21</v>
      </c>
      <c r="N130" s="7">
        <v>17</v>
      </c>
      <c r="O130" s="7">
        <v>0</v>
      </c>
      <c r="P130" s="7">
        <v>0</v>
      </c>
      <c r="Q130" s="32">
        <f t="shared" si="23"/>
        <v>0.11731843575418995</v>
      </c>
      <c r="R130" s="32">
        <f t="shared" si="24"/>
        <v>0.80952380952380953</v>
      </c>
      <c r="S130" s="7"/>
      <c r="T130" s="7"/>
      <c r="U130" s="7"/>
      <c r="V130" s="7"/>
      <c r="W130" s="7"/>
    </row>
    <row r="131" spans="1:23" ht="16.8">
      <c r="A131" s="6">
        <v>46131</v>
      </c>
      <c r="B131" s="35" t="s">
        <v>33</v>
      </c>
      <c r="C131" s="64">
        <v>0.85416666666666663</v>
      </c>
      <c r="D131" s="31" t="s">
        <v>250</v>
      </c>
      <c r="E131" s="7" t="s">
        <v>252</v>
      </c>
      <c r="F131" s="7" t="s">
        <v>248</v>
      </c>
      <c r="G131" s="35"/>
      <c r="H131" s="35"/>
      <c r="I131" s="63"/>
      <c r="J131" s="35" t="s">
        <v>34</v>
      </c>
      <c r="K131" s="53" t="s">
        <v>210</v>
      </c>
      <c r="L131" s="35">
        <v>92</v>
      </c>
      <c r="M131" s="35">
        <v>0</v>
      </c>
      <c r="N131" s="35">
        <v>0</v>
      </c>
      <c r="O131" s="35">
        <v>0</v>
      </c>
      <c r="P131" s="35">
        <v>0</v>
      </c>
      <c r="Q131" s="37">
        <f t="shared" si="23"/>
        <v>0</v>
      </c>
      <c r="R131" s="37" t="e">
        <f t="shared" si="24"/>
        <v>#DIV/0!</v>
      </c>
      <c r="S131" s="35"/>
      <c r="T131" s="35"/>
      <c r="U131" s="35"/>
      <c r="V131" s="35"/>
      <c r="W131" s="35"/>
    </row>
    <row r="132" spans="1:23" ht="3.6" customHeight="1">
      <c r="A132" s="43">
        <v>46131</v>
      </c>
      <c r="B132" s="54" t="s">
        <v>33</v>
      </c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5"/>
      <c r="R132" s="55"/>
      <c r="S132" s="54"/>
      <c r="T132" s="54"/>
      <c r="U132" s="54"/>
      <c r="V132" s="54"/>
      <c r="W132" s="54"/>
    </row>
    <row r="133" spans="1:23">
      <c r="A133" s="6">
        <v>46131</v>
      </c>
      <c r="B133" s="39" t="s">
        <v>33</v>
      </c>
      <c r="C133" s="40"/>
      <c r="D133" s="40" t="s">
        <v>108</v>
      </c>
      <c r="E133" s="40" t="s">
        <v>116</v>
      </c>
      <c r="F133" s="40" t="s">
        <v>115</v>
      </c>
      <c r="G133" s="40"/>
      <c r="H133" s="40"/>
      <c r="I133" s="41"/>
      <c r="J133" s="40" t="s">
        <v>35</v>
      </c>
      <c r="K133" s="40" t="s">
        <v>106</v>
      </c>
      <c r="L133" s="39">
        <v>101</v>
      </c>
      <c r="M133" s="39">
        <v>2</v>
      </c>
      <c r="N133" s="39">
        <v>1</v>
      </c>
      <c r="O133" s="39">
        <v>0</v>
      </c>
      <c r="P133" s="39">
        <v>0</v>
      </c>
      <c r="Q133" s="42">
        <f t="shared" ref="Q133:Q144" si="25">M133/L133</f>
        <v>1.9801980198019802E-2</v>
      </c>
      <c r="R133" s="42">
        <f t="shared" ref="R133:R144" si="26">N133/M133</f>
        <v>0.5</v>
      </c>
      <c r="S133" s="39"/>
      <c r="T133" s="39"/>
      <c r="U133" s="39"/>
      <c r="V133" s="39"/>
      <c r="W133" s="39"/>
    </row>
    <row r="134" spans="1:23">
      <c r="A134" s="6">
        <v>46131</v>
      </c>
      <c r="B134" s="7" t="s">
        <v>33</v>
      </c>
      <c r="C134" s="18"/>
      <c r="D134" s="18" t="s">
        <v>155</v>
      </c>
      <c r="E134" s="18" t="s">
        <v>116</v>
      </c>
      <c r="F134" s="18" t="s">
        <v>156</v>
      </c>
      <c r="G134" s="18"/>
      <c r="H134" s="18"/>
      <c r="I134" s="30"/>
      <c r="J134" s="18" t="s">
        <v>35</v>
      </c>
      <c r="K134" s="18" t="s">
        <v>157</v>
      </c>
      <c r="L134" s="7">
        <v>6</v>
      </c>
      <c r="M134" s="7">
        <v>2</v>
      </c>
      <c r="N134" s="7">
        <v>1</v>
      </c>
      <c r="O134" s="7">
        <v>0</v>
      </c>
      <c r="P134" s="7">
        <v>0</v>
      </c>
      <c r="Q134" s="32">
        <f t="shared" si="25"/>
        <v>0.33333333333333331</v>
      </c>
      <c r="R134" s="32">
        <f t="shared" si="26"/>
        <v>0.5</v>
      </c>
      <c r="S134" s="7"/>
      <c r="T134" s="7"/>
      <c r="U134" s="7"/>
      <c r="V134" s="7"/>
      <c r="W134" s="7"/>
    </row>
    <row r="135" spans="1:23">
      <c r="A135" s="6">
        <v>46131</v>
      </c>
      <c r="B135" s="7" t="s">
        <v>33</v>
      </c>
      <c r="C135" s="18"/>
      <c r="D135" s="18" t="s">
        <v>158</v>
      </c>
      <c r="E135" s="18" t="s">
        <v>116</v>
      </c>
      <c r="F135" s="18" t="s">
        <v>159</v>
      </c>
      <c r="G135" s="18"/>
      <c r="H135" s="18"/>
      <c r="I135" s="30"/>
      <c r="J135" s="18" t="s">
        <v>35</v>
      </c>
      <c r="K135" s="18" t="s">
        <v>149</v>
      </c>
      <c r="L135" s="7">
        <v>4</v>
      </c>
      <c r="M135" s="7">
        <v>1</v>
      </c>
      <c r="N135" s="7">
        <v>0</v>
      </c>
      <c r="O135" s="7">
        <v>0</v>
      </c>
      <c r="P135" s="7">
        <v>0</v>
      </c>
      <c r="Q135" s="32">
        <f t="shared" si="25"/>
        <v>0.25</v>
      </c>
      <c r="R135" s="32">
        <f t="shared" si="26"/>
        <v>0</v>
      </c>
      <c r="S135" s="7"/>
      <c r="T135" s="7"/>
      <c r="U135" s="7"/>
      <c r="V135" s="7"/>
      <c r="W135" s="7"/>
    </row>
    <row r="136" spans="1:23">
      <c r="A136" s="6">
        <v>46131</v>
      </c>
      <c r="B136" s="7" t="s">
        <v>33</v>
      </c>
      <c r="C136" s="18"/>
      <c r="D136" s="18" t="s">
        <v>189</v>
      </c>
      <c r="E136" s="18" t="s">
        <v>116</v>
      </c>
      <c r="F136" s="18"/>
      <c r="G136" s="18"/>
      <c r="H136" s="18"/>
      <c r="I136" s="30"/>
      <c r="J136" s="18" t="s">
        <v>35</v>
      </c>
      <c r="K136" s="18" t="s">
        <v>186</v>
      </c>
      <c r="L136" s="7">
        <v>84</v>
      </c>
      <c r="M136" s="7">
        <v>0</v>
      </c>
      <c r="N136" s="7">
        <v>0</v>
      </c>
      <c r="O136" s="7">
        <v>0</v>
      </c>
      <c r="P136" s="7">
        <v>0</v>
      </c>
      <c r="Q136" s="32">
        <f t="shared" si="25"/>
        <v>0</v>
      </c>
      <c r="R136" s="32" t="e">
        <f t="shared" si="26"/>
        <v>#DIV/0!</v>
      </c>
      <c r="S136" s="7"/>
      <c r="T136" s="7"/>
      <c r="U136" s="7"/>
      <c r="V136" s="7"/>
      <c r="W136" s="7"/>
    </row>
    <row r="137" spans="1:23">
      <c r="A137" s="6">
        <v>46131</v>
      </c>
      <c r="B137" s="7" t="s">
        <v>33</v>
      </c>
      <c r="C137" s="7"/>
      <c r="D137" s="31" t="s">
        <v>276</v>
      </c>
      <c r="E137" s="7"/>
      <c r="F137" s="7"/>
      <c r="G137" s="7"/>
      <c r="H137" s="7"/>
      <c r="I137" s="14" t="s">
        <v>67</v>
      </c>
      <c r="J137" s="7" t="s">
        <v>35</v>
      </c>
      <c r="K137" s="7" t="s">
        <v>170</v>
      </c>
      <c r="L137" s="7">
        <v>1499</v>
      </c>
      <c r="M137" s="7">
        <v>1427</v>
      </c>
      <c r="N137" s="7">
        <v>943</v>
      </c>
      <c r="O137" s="7">
        <v>0</v>
      </c>
      <c r="P137" s="7">
        <v>1</v>
      </c>
      <c r="Q137" s="32">
        <f t="shared" si="25"/>
        <v>0.95196797865243499</v>
      </c>
      <c r="R137" s="32">
        <f t="shared" si="26"/>
        <v>0.66082690960056056</v>
      </c>
      <c r="S137" s="7"/>
      <c r="T137" s="7"/>
      <c r="U137" s="7"/>
      <c r="V137" s="7"/>
      <c r="W137" s="7"/>
    </row>
    <row r="138" spans="1:23">
      <c r="A138" s="6">
        <v>46131</v>
      </c>
      <c r="B138" s="7" t="s">
        <v>33</v>
      </c>
      <c r="C138" s="7"/>
      <c r="D138" s="65" t="s">
        <v>272</v>
      </c>
      <c r="E138" s="7"/>
      <c r="F138" s="7"/>
      <c r="G138" s="7"/>
      <c r="H138" s="7"/>
      <c r="I138" s="47" t="s">
        <v>211</v>
      </c>
      <c r="J138" s="7" t="s">
        <v>35</v>
      </c>
      <c r="K138" s="7" t="s">
        <v>170</v>
      </c>
      <c r="L138" s="7">
        <v>487</v>
      </c>
      <c r="M138" s="7">
        <v>464</v>
      </c>
      <c r="N138" s="7">
        <v>301</v>
      </c>
      <c r="O138" s="7">
        <v>0</v>
      </c>
      <c r="P138" s="7">
        <v>0</v>
      </c>
      <c r="Q138" s="32">
        <f t="shared" si="25"/>
        <v>0.95277207392197127</v>
      </c>
      <c r="R138" s="32">
        <f t="shared" si="26"/>
        <v>0.64870689655172409</v>
      </c>
      <c r="S138" s="7"/>
      <c r="T138" s="7"/>
      <c r="U138" s="7"/>
      <c r="V138" s="7"/>
      <c r="W138" s="7"/>
    </row>
    <row r="139" spans="1:23">
      <c r="A139" s="6">
        <v>46131</v>
      </c>
      <c r="B139" s="7" t="s">
        <v>33</v>
      </c>
      <c r="C139" s="7"/>
      <c r="D139" s="51" t="s">
        <v>181</v>
      </c>
      <c r="E139" s="7"/>
      <c r="F139" s="7"/>
      <c r="G139" s="7"/>
      <c r="H139" s="7"/>
      <c r="I139" s="14" t="s">
        <v>68</v>
      </c>
      <c r="J139" s="7" t="s">
        <v>35</v>
      </c>
      <c r="K139" s="7" t="s">
        <v>171</v>
      </c>
      <c r="L139" s="7"/>
      <c r="M139" s="7"/>
      <c r="N139" s="7"/>
      <c r="O139" s="7"/>
      <c r="P139" s="7"/>
      <c r="Q139" s="32" t="e">
        <f t="shared" si="25"/>
        <v>#DIV/0!</v>
      </c>
      <c r="R139" s="32" t="e">
        <f t="shared" si="26"/>
        <v>#DIV/0!</v>
      </c>
      <c r="S139" s="7"/>
      <c r="T139" s="7"/>
      <c r="U139" s="7"/>
      <c r="V139" s="7"/>
      <c r="W139" s="7"/>
    </row>
    <row r="140" spans="1:23">
      <c r="A140" s="6">
        <v>46131</v>
      </c>
      <c r="B140" s="7" t="s">
        <v>33</v>
      </c>
      <c r="C140" s="7"/>
      <c r="D140" s="51" t="s">
        <v>182</v>
      </c>
      <c r="E140" s="7"/>
      <c r="F140" s="7"/>
      <c r="G140" s="7"/>
      <c r="H140" s="7"/>
      <c r="I140" s="14" t="s">
        <v>68</v>
      </c>
      <c r="J140" s="7" t="s">
        <v>35</v>
      </c>
      <c r="K140" s="7" t="s">
        <v>171</v>
      </c>
      <c r="L140" s="7"/>
      <c r="M140" s="7"/>
      <c r="N140" s="7"/>
      <c r="O140" s="7"/>
      <c r="P140" s="7"/>
      <c r="Q140" s="32" t="e">
        <f t="shared" si="25"/>
        <v>#DIV/0!</v>
      </c>
      <c r="R140" s="32" t="e">
        <f t="shared" si="26"/>
        <v>#DIV/0!</v>
      </c>
      <c r="S140" s="7"/>
      <c r="T140" s="7"/>
      <c r="U140" s="7"/>
      <c r="V140" s="7"/>
      <c r="W140" s="7"/>
    </row>
    <row r="141" spans="1:23">
      <c r="A141" s="6">
        <v>46131</v>
      </c>
      <c r="B141" s="7" t="s">
        <v>33</v>
      </c>
      <c r="C141" s="62">
        <v>0.85416666666666663</v>
      </c>
      <c r="D141" s="31" t="s">
        <v>264</v>
      </c>
      <c r="E141" s="7" t="s">
        <v>253</v>
      </c>
      <c r="F141" s="7" t="s">
        <v>247</v>
      </c>
      <c r="G141" s="7" t="s">
        <v>85</v>
      </c>
      <c r="H141" s="7"/>
      <c r="I141" s="30"/>
      <c r="J141" s="7" t="s">
        <v>35</v>
      </c>
      <c r="K141" s="7" t="s">
        <v>149</v>
      </c>
      <c r="L141" s="7">
        <v>147</v>
      </c>
      <c r="M141" s="7">
        <v>25</v>
      </c>
      <c r="N141" s="7">
        <v>2</v>
      </c>
      <c r="O141" s="7">
        <v>0</v>
      </c>
      <c r="P141" s="7">
        <v>0</v>
      </c>
      <c r="Q141" s="32">
        <f t="shared" si="25"/>
        <v>0.17006802721088435</v>
      </c>
      <c r="R141" s="32">
        <f t="shared" si="26"/>
        <v>0.08</v>
      </c>
      <c r="S141" s="7"/>
      <c r="T141" s="7"/>
      <c r="U141" s="7"/>
      <c r="V141" s="7"/>
      <c r="W141" s="7"/>
    </row>
    <row r="142" spans="1:23" ht="16.8">
      <c r="A142" s="6">
        <v>46131</v>
      </c>
      <c r="B142" s="7" t="s">
        <v>33</v>
      </c>
      <c r="C142" s="62">
        <v>0.875</v>
      </c>
      <c r="D142" s="31" t="s">
        <v>255</v>
      </c>
      <c r="E142" s="7" t="s">
        <v>253</v>
      </c>
      <c r="F142" s="7" t="s">
        <v>247</v>
      </c>
      <c r="G142" s="7"/>
      <c r="H142" s="7"/>
      <c r="I142" s="30"/>
      <c r="J142" s="7" t="s">
        <v>35</v>
      </c>
      <c r="K142" s="52" t="s">
        <v>157</v>
      </c>
      <c r="L142" s="7">
        <v>6</v>
      </c>
      <c r="M142" s="7">
        <v>0</v>
      </c>
      <c r="N142" s="7">
        <v>0</v>
      </c>
      <c r="O142" s="7">
        <v>0</v>
      </c>
      <c r="P142" s="7">
        <v>0</v>
      </c>
      <c r="Q142" s="32">
        <f t="shared" si="25"/>
        <v>0</v>
      </c>
      <c r="R142" s="32" t="e">
        <f t="shared" si="26"/>
        <v>#DIV/0!</v>
      </c>
      <c r="S142" s="7"/>
      <c r="T142" s="7"/>
      <c r="U142" s="7"/>
      <c r="V142" s="7"/>
      <c r="W142" s="7"/>
    </row>
    <row r="143" spans="1:23">
      <c r="A143" s="6">
        <v>46131</v>
      </c>
      <c r="B143" s="7" t="s">
        <v>33</v>
      </c>
      <c r="C143" s="62">
        <v>0.91666666666666663</v>
      </c>
      <c r="D143" s="31" t="s">
        <v>265</v>
      </c>
      <c r="E143" s="7" t="s">
        <v>253</v>
      </c>
      <c r="F143" s="7" t="s">
        <v>247</v>
      </c>
      <c r="G143" s="7" t="s">
        <v>85</v>
      </c>
      <c r="H143" s="7"/>
      <c r="I143" s="30"/>
      <c r="J143" s="7" t="s">
        <v>35</v>
      </c>
      <c r="K143" s="7" t="s">
        <v>121</v>
      </c>
      <c r="L143" s="7">
        <v>179</v>
      </c>
      <c r="M143" s="7">
        <v>18</v>
      </c>
      <c r="N143" s="7">
        <v>13</v>
      </c>
      <c r="O143" s="7">
        <v>0</v>
      </c>
      <c r="P143" s="7">
        <v>0</v>
      </c>
      <c r="Q143" s="32">
        <f t="shared" si="25"/>
        <v>0.1005586592178771</v>
      </c>
      <c r="R143" s="32">
        <f t="shared" si="26"/>
        <v>0.72222222222222221</v>
      </c>
      <c r="S143" s="7"/>
      <c r="T143" s="7"/>
      <c r="U143" s="7"/>
      <c r="V143" s="7"/>
      <c r="W143" s="7"/>
    </row>
    <row r="144" spans="1:23" ht="16.8">
      <c r="A144" s="6">
        <v>46131</v>
      </c>
      <c r="B144" s="7" t="s">
        <v>33</v>
      </c>
      <c r="C144" s="62">
        <v>0.96875</v>
      </c>
      <c r="D144" s="31" t="s">
        <v>258</v>
      </c>
      <c r="E144" s="7" t="s">
        <v>253</v>
      </c>
      <c r="F144" s="7" t="s">
        <v>247</v>
      </c>
      <c r="G144" s="7"/>
      <c r="H144" s="7"/>
      <c r="I144" s="30"/>
      <c r="J144" s="7" t="s">
        <v>34</v>
      </c>
      <c r="K144" s="52" t="s">
        <v>210</v>
      </c>
      <c r="L144" s="7">
        <v>107</v>
      </c>
      <c r="M144" s="7">
        <v>18</v>
      </c>
      <c r="N144" s="7">
        <v>12</v>
      </c>
      <c r="O144" s="7">
        <v>0</v>
      </c>
      <c r="P144" s="7">
        <v>1</v>
      </c>
      <c r="Q144" s="32">
        <f t="shared" si="25"/>
        <v>0.16822429906542055</v>
      </c>
      <c r="R144" s="32">
        <f t="shared" si="26"/>
        <v>0.66666666666666663</v>
      </c>
      <c r="S144" s="7"/>
      <c r="T144" s="7"/>
      <c r="U144" s="7"/>
      <c r="V144" s="7"/>
      <c r="W144" s="7"/>
    </row>
    <row r="145" spans="1:23" ht="6.6" customHeight="1">
      <c r="A145" s="22"/>
      <c r="B145" s="23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5"/>
      <c r="R145" s="25"/>
      <c r="S145" s="24"/>
      <c r="T145" s="24"/>
      <c r="U145" s="24"/>
      <c r="V145" s="25"/>
      <c r="W145" s="26"/>
    </row>
    <row r="146" spans="1:23">
      <c r="A146" s="6">
        <v>46132</v>
      </c>
      <c r="B146" s="7" t="s">
        <v>36</v>
      </c>
      <c r="C146" s="18"/>
      <c r="D146" s="18" t="s">
        <v>185</v>
      </c>
      <c r="E146" s="18" t="s">
        <v>109</v>
      </c>
      <c r="F146" s="18" t="s">
        <v>110</v>
      </c>
      <c r="G146" s="18"/>
      <c r="H146" s="18" t="s">
        <v>106</v>
      </c>
      <c r="I146" s="30"/>
      <c r="J146" s="18" t="s">
        <v>34</v>
      </c>
      <c r="K146" s="18" t="s">
        <v>106</v>
      </c>
      <c r="L146" s="7">
        <v>105</v>
      </c>
      <c r="M146" s="7">
        <v>3</v>
      </c>
      <c r="N146" s="7">
        <v>1</v>
      </c>
      <c r="O146" s="7">
        <v>0</v>
      </c>
      <c r="P146" s="7">
        <v>0</v>
      </c>
      <c r="Q146" s="32">
        <f t="shared" ref="Q146:Q156" si="27">M146/L146</f>
        <v>2.8571428571428571E-2</v>
      </c>
      <c r="R146" s="32">
        <f t="shared" ref="R146:R156" si="28">N146/M146</f>
        <v>0.33333333333333331</v>
      </c>
      <c r="S146" s="7"/>
      <c r="T146" s="7"/>
      <c r="U146" s="7"/>
      <c r="V146" s="7"/>
      <c r="W146" s="7"/>
    </row>
    <row r="147" spans="1:23">
      <c r="A147" s="6">
        <v>46132</v>
      </c>
      <c r="B147" s="7" t="s">
        <v>36</v>
      </c>
      <c r="C147" s="18"/>
      <c r="D147" s="18" t="s">
        <v>144</v>
      </c>
      <c r="E147" s="18" t="s">
        <v>312</v>
      </c>
      <c r="F147" s="18" t="s">
        <v>145</v>
      </c>
      <c r="G147" s="18"/>
      <c r="H147" s="18" t="s">
        <v>157</v>
      </c>
      <c r="I147" s="30"/>
      <c r="J147" s="18" t="s">
        <v>34</v>
      </c>
      <c r="K147" s="18" t="s">
        <v>157</v>
      </c>
      <c r="L147" s="7">
        <v>4</v>
      </c>
      <c r="M147" s="7">
        <v>1</v>
      </c>
      <c r="N147" s="7">
        <v>0</v>
      </c>
      <c r="O147" s="7">
        <v>0</v>
      </c>
      <c r="P147" s="7">
        <v>0</v>
      </c>
      <c r="Q147" s="32">
        <f t="shared" si="27"/>
        <v>0.25</v>
      </c>
      <c r="R147" s="32">
        <f t="shared" si="28"/>
        <v>0</v>
      </c>
      <c r="S147" s="7"/>
      <c r="T147" s="7"/>
      <c r="U147" s="7"/>
      <c r="V147" s="7"/>
      <c r="W147" s="7"/>
    </row>
    <row r="148" spans="1:23">
      <c r="A148" s="6">
        <v>46132</v>
      </c>
      <c r="B148" s="7" t="s">
        <v>36</v>
      </c>
      <c r="C148" s="18"/>
      <c r="D148" s="18" t="s">
        <v>146</v>
      </c>
      <c r="E148" s="18" t="s">
        <v>109</v>
      </c>
      <c r="F148" s="18" t="s">
        <v>147</v>
      </c>
      <c r="G148" s="18"/>
      <c r="H148" s="18" t="s">
        <v>149</v>
      </c>
      <c r="I148" s="30"/>
      <c r="J148" s="18" t="s">
        <v>34</v>
      </c>
      <c r="K148" s="18" t="s">
        <v>149</v>
      </c>
      <c r="L148" s="7">
        <v>3</v>
      </c>
      <c r="M148" s="7">
        <v>2</v>
      </c>
      <c r="N148" s="7">
        <v>0</v>
      </c>
      <c r="O148" s="7">
        <v>0</v>
      </c>
      <c r="P148" s="7">
        <v>0</v>
      </c>
      <c r="Q148" s="32">
        <f t="shared" si="27"/>
        <v>0.66666666666666663</v>
      </c>
      <c r="R148" s="32">
        <f t="shared" si="28"/>
        <v>0</v>
      </c>
      <c r="S148" s="7"/>
      <c r="T148" s="7"/>
      <c r="U148" s="7"/>
      <c r="V148" s="7"/>
      <c r="W148" s="7"/>
    </row>
    <row r="149" spans="1:23">
      <c r="A149" s="6">
        <v>46132</v>
      </c>
      <c r="B149" s="7" t="s">
        <v>36</v>
      </c>
      <c r="C149" s="18"/>
      <c r="D149" s="18" t="s">
        <v>187</v>
      </c>
      <c r="E149" s="18" t="s">
        <v>109</v>
      </c>
      <c r="F149" s="18" t="s">
        <v>188</v>
      </c>
      <c r="G149" s="18"/>
      <c r="H149" s="18"/>
      <c r="I149" s="30"/>
      <c r="J149" s="18" t="s">
        <v>34</v>
      </c>
      <c r="K149" s="18" t="s">
        <v>186</v>
      </c>
      <c r="L149" s="7">
        <v>57</v>
      </c>
      <c r="M149" s="7">
        <v>1</v>
      </c>
      <c r="N149" s="7">
        <v>0</v>
      </c>
      <c r="O149" s="7">
        <v>0</v>
      </c>
      <c r="P149" s="7">
        <v>0</v>
      </c>
      <c r="Q149" s="32">
        <f t="shared" si="27"/>
        <v>1.7543859649122806E-2</v>
      </c>
      <c r="R149" s="32">
        <f t="shared" si="28"/>
        <v>0</v>
      </c>
      <c r="S149" s="7"/>
      <c r="T149" s="7"/>
      <c r="U149" s="7"/>
      <c r="V149" s="7"/>
      <c r="W149" s="7"/>
    </row>
    <row r="150" spans="1:23">
      <c r="A150" s="6">
        <v>46132</v>
      </c>
      <c r="B150" s="7" t="s">
        <v>36</v>
      </c>
      <c r="C150" s="7"/>
      <c r="D150" s="31" t="s">
        <v>288</v>
      </c>
      <c r="E150" s="7"/>
      <c r="F150" s="7"/>
      <c r="G150" s="7"/>
      <c r="H150" s="7"/>
      <c r="I150" s="14" t="s">
        <v>67</v>
      </c>
      <c r="J150" s="7" t="s">
        <v>34</v>
      </c>
      <c r="K150" s="7" t="s">
        <v>170</v>
      </c>
      <c r="L150" s="7">
        <v>1497</v>
      </c>
      <c r="M150" s="7">
        <v>1441</v>
      </c>
      <c r="N150" s="7">
        <v>1049</v>
      </c>
      <c r="O150" s="7">
        <v>0</v>
      </c>
      <c r="P150" s="7">
        <v>3</v>
      </c>
      <c r="Q150" s="32">
        <f t="shared" si="27"/>
        <v>0.96259185036740147</v>
      </c>
      <c r="R150" s="32">
        <f t="shared" si="28"/>
        <v>0.7279666897987509</v>
      </c>
      <c r="S150" s="7"/>
      <c r="T150" s="7"/>
      <c r="U150" s="7"/>
      <c r="V150" s="7"/>
      <c r="W150" s="7"/>
    </row>
    <row r="151" spans="1:23">
      <c r="A151" s="6">
        <v>46132</v>
      </c>
      <c r="B151" s="7" t="s">
        <v>36</v>
      </c>
      <c r="C151" s="7"/>
      <c r="D151" s="65" t="s">
        <v>289</v>
      </c>
      <c r="E151" s="7"/>
      <c r="F151" s="7"/>
      <c r="G151" s="7"/>
      <c r="H151" s="7"/>
      <c r="I151" s="47" t="s">
        <v>278</v>
      </c>
      <c r="J151" s="7" t="s">
        <v>34</v>
      </c>
      <c r="K151" s="7" t="s">
        <v>170</v>
      </c>
      <c r="L151" s="7">
        <v>356</v>
      </c>
      <c r="M151" s="7">
        <v>333</v>
      </c>
      <c r="N151" s="7">
        <v>249</v>
      </c>
      <c r="O151" s="7">
        <v>0</v>
      </c>
      <c r="P151" s="7">
        <v>0</v>
      </c>
      <c r="Q151" s="32">
        <f t="shared" si="27"/>
        <v>0.9353932584269663</v>
      </c>
      <c r="R151" s="32">
        <f t="shared" si="28"/>
        <v>0.74774774774774777</v>
      </c>
      <c r="S151" s="7"/>
      <c r="T151" s="7"/>
      <c r="U151" s="7"/>
      <c r="V151" s="7"/>
      <c r="W151" s="7"/>
    </row>
    <row r="152" spans="1:23">
      <c r="A152" s="6">
        <v>46132</v>
      </c>
      <c r="B152" s="7" t="s">
        <v>36</v>
      </c>
      <c r="C152" s="7"/>
      <c r="D152" s="65" t="s">
        <v>270</v>
      </c>
      <c r="E152" s="7"/>
      <c r="F152" s="7"/>
      <c r="G152" s="7"/>
      <c r="H152" s="7"/>
      <c r="I152" s="47" t="s">
        <v>277</v>
      </c>
      <c r="J152" s="7" t="s">
        <v>34</v>
      </c>
      <c r="K152" s="7" t="s">
        <v>170</v>
      </c>
      <c r="L152" s="7">
        <v>288</v>
      </c>
      <c r="M152" s="7">
        <v>277</v>
      </c>
      <c r="N152" s="7">
        <v>194</v>
      </c>
      <c r="O152" s="7">
        <v>0</v>
      </c>
      <c r="P152" s="7">
        <v>2</v>
      </c>
      <c r="Q152" s="32">
        <f t="shared" ref="Q152" si="29">M152/L152</f>
        <v>0.96180555555555558</v>
      </c>
      <c r="R152" s="32">
        <f t="shared" ref="R152" si="30">N152/M152</f>
        <v>0.70036101083032487</v>
      </c>
      <c r="S152" s="7"/>
      <c r="T152" s="7"/>
      <c r="U152" s="7"/>
      <c r="V152" s="7"/>
      <c r="W152" s="7"/>
    </row>
    <row r="153" spans="1:23">
      <c r="A153" s="6">
        <v>46132</v>
      </c>
      <c r="B153" s="7" t="s">
        <v>36</v>
      </c>
      <c r="C153" s="62">
        <v>0.9375</v>
      </c>
      <c r="D153" s="31" t="s">
        <v>293</v>
      </c>
      <c r="E153" s="7" t="s">
        <v>252</v>
      </c>
      <c r="F153" s="7" t="s">
        <v>150</v>
      </c>
      <c r="G153" s="7" t="s">
        <v>85</v>
      </c>
      <c r="H153" s="7"/>
      <c r="I153" s="47" t="s">
        <v>292</v>
      </c>
      <c r="J153" s="7" t="s">
        <v>34</v>
      </c>
      <c r="K153" s="7" t="s">
        <v>149</v>
      </c>
      <c r="L153" s="7">
        <v>150</v>
      </c>
      <c r="M153" s="7">
        <v>32</v>
      </c>
      <c r="N153" s="7">
        <v>5</v>
      </c>
      <c r="O153" s="7">
        <v>4</v>
      </c>
      <c r="P153" s="7">
        <v>0</v>
      </c>
      <c r="Q153" s="32">
        <f t="shared" si="27"/>
        <v>0.21333333333333335</v>
      </c>
      <c r="R153" s="32">
        <f t="shared" si="28"/>
        <v>0.15625</v>
      </c>
      <c r="S153" s="7"/>
      <c r="T153" s="7"/>
      <c r="U153" s="7"/>
      <c r="V153" s="7"/>
      <c r="W153" s="7"/>
    </row>
    <row r="154" spans="1:23" ht="16.8">
      <c r="A154" s="6">
        <v>46132</v>
      </c>
      <c r="B154" s="7" t="s">
        <v>36</v>
      </c>
      <c r="C154" s="62">
        <v>0.95833333333333337</v>
      </c>
      <c r="D154" s="31" t="s">
        <v>294</v>
      </c>
      <c r="E154" s="7" t="s">
        <v>252</v>
      </c>
      <c r="F154" s="7" t="s">
        <v>248</v>
      </c>
      <c r="G154" s="7"/>
      <c r="H154" s="7"/>
      <c r="I154" s="47" t="s">
        <v>292</v>
      </c>
      <c r="J154" s="7" t="s">
        <v>34</v>
      </c>
      <c r="K154" s="52" t="s">
        <v>157</v>
      </c>
      <c r="L154" s="7">
        <v>107</v>
      </c>
      <c r="M154" s="7">
        <v>20</v>
      </c>
      <c r="N154" s="7">
        <v>1</v>
      </c>
      <c r="O154" s="7">
        <v>3</v>
      </c>
      <c r="P154" s="7">
        <v>0</v>
      </c>
      <c r="Q154" s="32">
        <f t="shared" si="27"/>
        <v>0.18691588785046728</v>
      </c>
      <c r="R154" s="32">
        <f t="shared" si="28"/>
        <v>0.05</v>
      </c>
      <c r="S154" s="7"/>
      <c r="T154" s="7"/>
      <c r="U154" s="7"/>
      <c r="V154" s="7"/>
      <c r="W154" s="7"/>
    </row>
    <row r="155" spans="1:23">
      <c r="A155" s="6">
        <v>46132</v>
      </c>
      <c r="B155" s="7" t="s">
        <v>36</v>
      </c>
      <c r="C155" s="62">
        <v>0.79166666666666663</v>
      </c>
      <c r="D155" s="31" t="s">
        <v>295</v>
      </c>
      <c r="E155" s="7" t="s">
        <v>252</v>
      </c>
      <c r="F155" s="35" t="s">
        <v>150</v>
      </c>
      <c r="G155" s="7" t="s">
        <v>85</v>
      </c>
      <c r="H155" s="7"/>
      <c r="I155" s="47" t="s">
        <v>292</v>
      </c>
      <c r="J155" s="7" t="s">
        <v>34</v>
      </c>
      <c r="K155" s="7" t="s">
        <v>121</v>
      </c>
      <c r="L155" s="7">
        <v>180</v>
      </c>
      <c r="M155" s="7">
        <v>19</v>
      </c>
      <c r="N155" s="7">
        <v>11</v>
      </c>
      <c r="O155" s="7">
        <v>0</v>
      </c>
      <c r="P155" s="7">
        <v>0</v>
      </c>
      <c r="Q155" s="32">
        <f t="shared" si="27"/>
        <v>0.10555555555555556</v>
      </c>
      <c r="R155" s="32">
        <f t="shared" si="28"/>
        <v>0.57894736842105265</v>
      </c>
      <c r="S155" s="7"/>
      <c r="T155" s="7"/>
      <c r="U155" s="7"/>
      <c r="V155" s="7"/>
      <c r="W155" s="7"/>
    </row>
    <row r="156" spans="1:23" ht="16.8">
      <c r="A156" s="6">
        <v>46132</v>
      </c>
      <c r="B156" s="35" t="s">
        <v>36</v>
      </c>
      <c r="C156" s="64">
        <v>0.85416666666666663</v>
      </c>
      <c r="D156" s="31" t="s">
        <v>296</v>
      </c>
      <c r="E156" s="7" t="s">
        <v>252</v>
      </c>
      <c r="F156" s="7" t="s">
        <v>248</v>
      </c>
      <c r="G156" s="35"/>
      <c r="H156" s="35"/>
      <c r="I156" s="47" t="s">
        <v>292</v>
      </c>
      <c r="J156" s="35" t="s">
        <v>34</v>
      </c>
      <c r="K156" s="53" t="s">
        <v>210</v>
      </c>
      <c r="L156" s="35">
        <v>195</v>
      </c>
      <c r="M156" s="35">
        <v>0</v>
      </c>
      <c r="N156" s="35">
        <v>0</v>
      </c>
      <c r="O156" s="35">
        <v>0</v>
      </c>
      <c r="P156" s="35">
        <v>0</v>
      </c>
      <c r="Q156" s="37">
        <f t="shared" si="27"/>
        <v>0</v>
      </c>
      <c r="R156" s="37" t="e">
        <f t="shared" si="28"/>
        <v>#DIV/0!</v>
      </c>
      <c r="S156" s="35"/>
      <c r="T156" s="35"/>
      <c r="U156" s="35"/>
      <c r="V156" s="35"/>
      <c r="W156" s="35"/>
    </row>
    <row r="157" spans="1:23" ht="3.6" customHeight="1">
      <c r="A157" s="43">
        <v>46132</v>
      </c>
      <c r="B157" s="54" t="s">
        <v>36</v>
      </c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5"/>
      <c r="R157" s="55"/>
      <c r="S157" s="54"/>
      <c r="T157" s="54"/>
      <c r="U157" s="54"/>
      <c r="V157" s="54"/>
      <c r="W157" s="54"/>
    </row>
    <row r="158" spans="1:23">
      <c r="A158" s="6">
        <v>46132</v>
      </c>
      <c r="B158" s="39" t="s">
        <v>36</v>
      </c>
      <c r="C158" s="40"/>
      <c r="D158" s="40" t="s">
        <v>108</v>
      </c>
      <c r="E158" s="40" t="s">
        <v>116</v>
      </c>
      <c r="F158" s="40" t="s">
        <v>115</v>
      </c>
      <c r="G158" s="40"/>
      <c r="H158" s="40"/>
      <c r="I158" s="41"/>
      <c r="J158" s="40" t="s">
        <v>35</v>
      </c>
      <c r="K158" s="40" t="s">
        <v>106</v>
      </c>
      <c r="L158" s="39">
        <v>105</v>
      </c>
      <c r="M158" s="39">
        <v>1</v>
      </c>
      <c r="N158" s="39">
        <v>0</v>
      </c>
      <c r="O158" s="39">
        <v>0</v>
      </c>
      <c r="P158" s="39">
        <v>0</v>
      </c>
      <c r="Q158" s="42">
        <f t="shared" ref="Q158:Q168" si="31">M158/L158</f>
        <v>9.5238095238095247E-3</v>
      </c>
      <c r="R158" s="42">
        <f t="shared" ref="R158:R168" si="32">N158/M158</f>
        <v>0</v>
      </c>
      <c r="S158" s="39"/>
      <c r="T158" s="39"/>
      <c r="U158" s="39"/>
      <c r="V158" s="39"/>
      <c r="W158" s="39"/>
    </row>
    <row r="159" spans="1:23">
      <c r="A159" s="6">
        <v>46132</v>
      </c>
      <c r="B159" s="7" t="s">
        <v>36</v>
      </c>
      <c r="C159" s="18"/>
      <c r="D159" s="18" t="s">
        <v>155</v>
      </c>
      <c r="E159" s="18" t="s">
        <v>116</v>
      </c>
      <c r="F159" s="18" t="s">
        <v>156</v>
      </c>
      <c r="G159" s="18"/>
      <c r="H159" s="18"/>
      <c r="I159" s="30"/>
      <c r="J159" s="18" t="s">
        <v>35</v>
      </c>
      <c r="K159" s="18" t="s">
        <v>157</v>
      </c>
      <c r="L159" s="7">
        <v>4</v>
      </c>
      <c r="M159" s="7">
        <v>0</v>
      </c>
      <c r="N159" s="7">
        <v>0</v>
      </c>
      <c r="O159" s="7">
        <v>0</v>
      </c>
      <c r="P159" s="7">
        <v>0</v>
      </c>
      <c r="Q159" s="32">
        <f t="shared" si="31"/>
        <v>0</v>
      </c>
      <c r="R159" s="32" t="e">
        <f t="shared" si="32"/>
        <v>#DIV/0!</v>
      </c>
      <c r="S159" s="7"/>
      <c r="T159" s="7"/>
      <c r="U159" s="7"/>
      <c r="V159" s="7"/>
      <c r="W159" s="7"/>
    </row>
    <row r="160" spans="1:23">
      <c r="A160" s="6">
        <v>46132</v>
      </c>
      <c r="B160" s="7" t="s">
        <v>36</v>
      </c>
      <c r="C160" s="18"/>
      <c r="D160" s="18" t="s">
        <v>158</v>
      </c>
      <c r="E160" s="18" t="s">
        <v>116</v>
      </c>
      <c r="F160" s="18" t="s">
        <v>159</v>
      </c>
      <c r="G160" s="18"/>
      <c r="H160" s="18"/>
      <c r="I160" s="30"/>
      <c r="J160" s="18" t="s">
        <v>35</v>
      </c>
      <c r="K160" s="18" t="s">
        <v>149</v>
      </c>
      <c r="L160" s="7">
        <v>3</v>
      </c>
      <c r="M160" s="7">
        <v>2</v>
      </c>
      <c r="N160" s="7">
        <v>1</v>
      </c>
      <c r="O160" s="7">
        <v>0</v>
      </c>
      <c r="P160" s="7">
        <v>0</v>
      </c>
      <c r="Q160" s="32">
        <f t="shared" si="31"/>
        <v>0.66666666666666663</v>
      </c>
      <c r="R160" s="32">
        <f t="shared" si="32"/>
        <v>0.5</v>
      </c>
      <c r="S160" s="7"/>
      <c r="T160" s="7"/>
      <c r="U160" s="7"/>
      <c r="V160" s="7"/>
      <c r="W160" s="7"/>
    </row>
    <row r="161" spans="1:27">
      <c r="A161" s="6">
        <v>46132</v>
      </c>
      <c r="B161" s="7" t="s">
        <v>36</v>
      </c>
      <c r="C161" s="18"/>
      <c r="D161" s="18" t="s">
        <v>189</v>
      </c>
      <c r="E161" s="18" t="s">
        <v>116</v>
      </c>
      <c r="F161" s="18"/>
      <c r="G161" s="18"/>
      <c r="H161" s="18"/>
      <c r="I161" s="30"/>
      <c r="J161" s="18" t="s">
        <v>35</v>
      </c>
      <c r="K161" s="18" t="s">
        <v>186</v>
      </c>
      <c r="L161" s="7">
        <v>57</v>
      </c>
      <c r="M161" s="7">
        <v>1</v>
      </c>
      <c r="N161" s="7">
        <v>0</v>
      </c>
      <c r="O161" s="7">
        <v>0</v>
      </c>
      <c r="P161" s="7">
        <v>0</v>
      </c>
      <c r="Q161" s="32">
        <f t="shared" si="31"/>
        <v>1.7543859649122806E-2</v>
      </c>
      <c r="R161" s="32">
        <f t="shared" si="32"/>
        <v>0</v>
      </c>
      <c r="S161" s="7"/>
      <c r="T161" s="7"/>
      <c r="U161" s="7"/>
      <c r="V161" s="7"/>
      <c r="W161" s="7"/>
    </row>
    <row r="162" spans="1:27">
      <c r="A162" s="6">
        <v>46132</v>
      </c>
      <c r="B162" s="7" t="s">
        <v>36</v>
      </c>
      <c r="C162" s="7"/>
      <c r="D162" s="31" t="s">
        <v>290</v>
      </c>
      <c r="E162" s="7"/>
      <c r="F162" s="7"/>
      <c r="G162" s="7"/>
      <c r="H162" s="7"/>
      <c r="I162" s="14" t="s">
        <v>67</v>
      </c>
      <c r="J162" s="7" t="s">
        <v>35</v>
      </c>
      <c r="K162" s="7" t="s">
        <v>170</v>
      </c>
      <c r="L162" s="7">
        <v>1499</v>
      </c>
      <c r="M162" s="7">
        <v>1425</v>
      </c>
      <c r="N162" s="7">
        <v>945</v>
      </c>
      <c r="O162" s="7">
        <v>0</v>
      </c>
      <c r="P162" s="7">
        <v>1</v>
      </c>
      <c r="Q162" s="32">
        <f t="shared" si="31"/>
        <v>0.95063375583722487</v>
      </c>
      <c r="R162" s="32">
        <f t="shared" si="32"/>
        <v>0.66315789473684206</v>
      </c>
      <c r="S162" s="7"/>
      <c r="T162" s="7"/>
      <c r="U162" s="7"/>
      <c r="V162" s="7"/>
      <c r="W162" s="7"/>
    </row>
    <row r="163" spans="1:27">
      <c r="A163" s="6">
        <v>46132</v>
      </c>
      <c r="B163" s="7" t="s">
        <v>36</v>
      </c>
      <c r="C163" s="7"/>
      <c r="D163" s="65" t="s">
        <v>291</v>
      </c>
      <c r="E163" s="7"/>
      <c r="F163" s="7"/>
      <c r="G163" s="7"/>
      <c r="H163" s="7"/>
      <c r="I163" s="47" t="s">
        <v>278</v>
      </c>
      <c r="J163" s="7" t="s">
        <v>35</v>
      </c>
      <c r="K163" s="7" t="s">
        <v>170</v>
      </c>
      <c r="L163" s="7">
        <v>348</v>
      </c>
      <c r="M163" s="7">
        <v>330</v>
      </c>
      <c r="N163" s="7">
        <v>219</v>
      </c>
      <c r="O163" s="7">
        <v>0</v>
      </c>
      <c r="P163" s="7">
        <v>0</v>
      </c>
      <c r="Q163" s="32">
        <f t="shared" si="31"/>
        <v>0.94827586206896552</v>
      </c>
      <c r="R163" s="32">
        <f t="shared" si="32"/>
        <v>0.66363636363636369</v>
      </c>
      <c r="S163" s="7"/>
      <c r="T163" s="7"/>
      <c r="U163" s="7"/>
      <c r="V163" s="7"/>
      <c r="W163" s="7"/>
    </row>
    <row r="164" spans="1:27">
      <c r="A164" s="6">
        <v>46132</v>
      </c>
      <c r="B164" s="7" t="s">
        <v>36</v>
      </c>
      <c r="C164" s="7"/>
      <c r="D164" s="65" t="s">
        <v>272</v>
      </c>
      <c r="E164" s="7"/>
      <c r="F164" s="7"/>
      <c r="G164" s="7"/>
      <c r="H164" s="7"/>
      <c r="I164" s="47" t="s">
        <v>277</v>
      </c>
      <c r="J164" s="7" t="s">
        <v>35</v>
      </c>
      <c r="K164" s="7" t="s">
        <v>170</v>
      </c>
      <c r="L164" s="7">
        <v>297</v>
      </c>
      <c r="M164" s="7">
        <v>289</v>
      </c>
      <c r="N164" s="7">
        <v>167</v>
      </c>
      <c r="O164" s="7">
        <v>0</v>
      </c>
      <c r="P164" s="7">
        <v>0</v>
      </c>
      <c r="Q164" s="32">
        <f t="shared" si="31"/>
        <v>0.97306397306397308</v>
      </c>
      <c r="R164" s="32">
        <f t="shared" si="32"/>
        <v>0.57785467128027679</v>
      </c>
      <c r="S164" s="7"/>
      <c r="T164" s="7"/>
      <c r="U164" s="7"/>
      <c r="V164" s="7"/>
      <c r="W164" s="7"/>
    </row>
    <row r="165" spans="1:27">
      <c r="A165" s="6">
        <v>46132</v>
      </c>
      <c r="B165" s="7" t="s">
        <v>36</v>
      </c>
      <c r="C165" s="62">
        <v>0.85416666666666663</v>
      </c>
      <c r="D165" s="31" t="s">
        <v>297</v>
      </c>
      <c r="E165" s="7" t="s">
        <v>253</v>
      </c>
      <c r="F165" s="7" t="s">
        <v>161</v>
      </c>
      <c r="G165" s="7" t="s">
        <v>85</v>
      </c>
      <c r="H165" s="7"/>
      <c r="I165" s="47" t="s">
        <v>292</v>
      </c>
      <c r="J165" s="7" t="s">
        <v>35</v>
      </c>
      <c r="K165" s="7" t="s">
        <v>149</v>
      </c>
      <c r="L165" s="7">
        <v>151</v>
      </c>
      <c r="M165" s="7">
        <v>30</v>
      </c>
      <c r="N165" s="7">
        <v>7</v>
      </c>
      <c r="O165" s="7">
        <v>2</v>
      </c>
      <c r="P165" s="7">
        <v>0</v>
      </c>
      <c r="Q165" s="32">
        <f t="shared" si="31"/>
        <v>0.19867549668874171</v>
      </c>
      <c r="R165" s="32">
        <f t="shared" si="32"/>
        <v>0.23333333333333334</v>
      </c>
      <c r="S165" s="7"/>
      <c r="T165" s="7"/>
      <c r="U165" s="7"/>
      <c r="V165" s="7"/>
      <c r="W165" s="7"/>
    </row>
    <row r="166" spans="1:27" ht="16.8">
      <c r="A166" s="6">
        <v>46132</v>
      </c>
      <c r="B166" s="7" t="s">
        <v>36</v>
      </c>
      <c r="C166" s="62">
        <v>0.875</v>
      </c>
      <c r="D166" s="31" t="s">
        <v>298</v>
      </c>
      <c r="E166" s="7" t="s">
        <v>253</v>
      </c>
      <c r="F166" s="7" t="s">
        <v>247</v>
      </c>
      <c r="G166" s="7"/>
      <c r="H166" s="7"/>
      <c r="I166" s="47" t="s">
        <v>292</v>
      </c>
      <c r="J166" s="7" t="s">
        <v>35</v>
      </c>
      <c r="K166" s="52" t="s">
        <v>157</v>
      </c>
      <c r="L166" s="7">
        <v>120</v>
      </c>
      <c r="M166" s="7">
        <v>20</v>
      </c>
      <c r="N166" s="7">
        <v>4</v>
      </c>
      <c r="O166" s="7">
        <v>1</v>
      </c>
      <c r="P166" s="7">
        <v>0</v>
      </c>
      <c r="Q166" s="32">
        <f t="shared" si="31"/>
        <v>0.16666666666666666</v>
      </c>
      <c r="R166" s="32">
        <f t="shared" si="32"/>
        <v>0.2</v>
      </c>
      <c r="S166" s="7"/>
      <c r="T166" s="7"/>
      <c r="U166" s="7"/>
      <c r="V166" s="7"/>
      <c r="W166" s="7"/>
    </row>
    <row r="167" spans="1:27">
      <c r="A167" s="6">
        <v>46132</v>
      </c>
      <c r="B167" s="7" t="s">
        <v>36</v>
      </c>
      <c r="C167" s="62">
        <v>0.91666666666666663</v>
      </c>
      <c r="D167" s="31" t="s">
        <v>299</v>
      </c>
      <c r="E167" s="7" t="s">
        <v>253</v>
      </c>
      <c r="F167" s="7" t="s">
        <v>161</v>
      </c>
      <c r="G167" s="7" t="s">
        <v>85</v>
      </c>
      <c r="H167" s="7"/>
      <c r="I167" s="47" t="s">
        <v>292</v>
      </c>
      <c r="J167" s="7" t="s">
        <v>35</v>
      </c>
      <c r="K167" s="7" t="s">
        <v>121</v>
      </c>
      <c r="L167" s="7">
        <v>182</v>
      </c>
      <c r="M167" s="7">
        <v>18</v>
      </c>
      <c r="N167" s="7">
        <v>8</v>
      </c>
      <c r="O167" s="7">
        <v>0</v>
      </c>
      <c r="P167" s="7">
        <v>0</v>
      </c>
      <c r="Q167" s="32">
        <f t="shared" si="31"/>
        <v>9.8901098901098897E-2</v>
      </c>
      <c r="R167" s="32">
        <f t="shared" si="32"/>
        <v>0.44444444444444442</v>
      </c>
      <c r="S167" s="7"/>
      <c r="T167" s="7"/>
      <c r="U167" s="7"/>
      <c r="V167" s="7"/>
      <c r="W167" s="7"/>
    </row>
    <row r="168" spans="1:27" ht="16.8">
      <c r="A168" s="6">
        <v>46132</v>
      </c>
      <c r="B168" s="7" t="s">
        <v>36</v>
      </c>
      <c r="C168" s="62">
        <v>0.96875</v>
      </c>
      <c r="D168" s="31" t="s">
        <v>300</v>
      </c>
      <c r="E168" s="7" t="s">
        <v>253</v>
      </c>
      <c r="F168" s="7" t="s">
        <v>247</v>
      </c>
      <c r="G168" s="7"/>
      <c r="H168" s="7"/>
      <c r="I168" s="47" t="s">
        <v>292</v>
      </c>
      <c r="J168" s="7" t="s">
        <v>34</v>
      </c>
      <c r="K168" s="52" t="s">
        <v>210</v>
      </c>
      <c r="L168" s="7">
        <v>150</v>
      </c>
      <c r="M168" s="7">
        <v>0</v>
      </c>
      <c r="N168" s="7">
        <v>0</v>
      </c>
      <c r="O168" s="7">
        <v>0</v>
      </c>
      <c r="P168" s="7">
        <v>0</v>
      </c>
      <c r="Q168" s="32">
        <f t="shared" si="31"/>
        <v>0</v>
      </c>
      <c r="R168" s="32" t="e">
        <f t="shared" si="32"/>
        <v>#DIV/0!</v>
      </c>
      <c r="S168" s="7"/>
      <c r="T168" s="7"/>
      <c r="U168" s="7"/>
      <c r="V168" s="7"/>
      <c r="W168" s="7"/>
    </row>
    <row r="169" spans="1:27" ht="6.6" customHeight="1">
      <c r="A169" s="22"/>
      <c r="B169" s="23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5"/>
      <c r="R169" s="25"/>
      <c r="S169" s="24"/>
      <c r="T169" s="24"/>
      <c r="U169" s="24"/>
      <c r="V169" s="25"/>
      <c r="W169" s="26"/>
    </row>
    <row r="170" spans="1:27">
      <c r="A170" s="6">
        <v>46133</v>
      </c>
      <c r="B170" s="7" t="s">
        <v>78</v>
      </c>
      <c r="C170" s="18"/>
      <c r="D170" s="18" t="s">
        <v>185</v>
      </c>
      <c r="E170" s="18" t="s">
        <v>109</v>
      </c>
      <c r="F170" s="18" t="s">
        <v>110</v>
      </c>
      <c r="G170" s="18"/>
      <c r="H170" s="18" t="s">
        <v>106</v>
      </c>
      <c r="I170" s="30"/>
      <c r="J170" s="18" t="s">
        <v>34</v>
      </c>
      <c r="K170" s="18" t="s">
        <v>106</v>
      </c>
      <c r="L170" s="7">
        <v>104</v>
      </c>
      <c r="M170" s="7">
        <v>2</v>
      </c>
      <c r="N170" s="7">
        <v>1</v>
      </c>
      <c r="O170" s="7">
        <v>0</v>
      </c>
      <c r="P170" s="7">
        <v>0</v>
      </c>
      <c r="Q170" s="32">
        <f t="shared" ref="Q170:Q180" si="33">M170/L170</f>
        <v>1.9230769230769232E-2</v>
      </c>
      <c r="R170" s="32">
        <f t="shared" ref="R170:R180" si="34">N170/M170</f>
        <v>0.5</v>
      </c>
      <c r="S170" s="7"/>
      <c r="T170" s="7"/>
      <c r="U170" s="7"/>
      <c r="V170" s="7"/>
      <c r="W170" s="7"/>
    </row>
    <row r="171" spans="1:27">
      <c r="A171" s="6">
        <v>46133</v>
      </c>
      <c r="B171" s="7" t="s">
        <v>78</v>
      </c>
      <c r="C171" s="18"/>
      <c r="D171" s="18" t="s">
        <v>144</v>
      </c>
      <c r="E171" s="18" t="s">
        <v>252</v>
      </c>
      <c r="F171" s="18" t="s">
        <v>145</v>
      </c>
      <c r="G171" s="18"/>
      <c r="H171" s="18" t="s">
        <v>157</v>
      </c>
      <c r="I171" s="30"/>
      <c r="J171" s="18" t="s">
        <v>34</v>
      </c>
      <c r="K171" s="18" t="s">
        <v>157</v>
      </c>
      <c r="L171" s="7">
        <v>9</v>
      </c>
      <c r="M171" s="7">
        <v>6</v>
      </c>
      <c r="N171" s="7">
        <v>1</v>
      </c>
      <c r="O171" s="7">
        <v>1</v>
      </c>
      <c r="P171" s="7">
        <v>0</v>
      </c>
      <c r="Q171" s="32">
        <f t="shared" si="33"/>
        <v>0.66666666666666663</v>
      </c>
      <c r="R171" s="32">
        <f t="shared" si="34"/>
        <v>0.16666666666666666</v>
      </c>
      <c r="S171" s="7"/>
      <c r="T171" s="7"/>
      <c r="U171" s="7"/>
      <c r="V171" s="7"/>
      <c r="W171" s="7"/>
    </row>
    <row r="172" spans="1:27">
      <c r="A172" s="6">
        <v>46133</v>
      </c>
      <c r="B172" s="7" t="s">
        <v>78</v>
      </c>
      <c r="C172" s="18"/>
      <c r="D172" s="18" t="s">
        <v>146</v>
      </c>
      <c r="E172" s="18" t="s">
        <v>109</v>
      </c>
      <c r="F172" s="18" t="s">
        <v>147</v>
      </c>
      <c r="G172" s="18"/>
      <c r="H172" s="18" t="s">
        <v>149</v>
      </c>
      <c r="I172" s="30"/>
      <c r="J172" s="18" t="s">
        <v>34</v>
      </c>
      <c r="K172" s="18" t="s">
        <v>149</v>
      </c>
      <c r="L172" s="7">
        <v>8</v>
      </c>
      <c r="M172" s="7">
        <v>5</v>
      </c>
      <c r="N172" s="7">
        <v>2</v>
      </c>
      <c r="O172" s="7">
        <v>0</v>
      </c>
      <c r="P172" s="7">
        <v>0</v>
      </c>
      <c r="Q172" s="32">
        <f t="shared" si="33"/>
        <v>0.625</v>
      </c>
      <c r="R172" s="32">
        <f t="shared" si="34"/>
        <v>0.4</v>
      </c>
      <c r="S172" s="7"/>
      <c r="T172" s="7"/>
      <c r="U172" s="7"/>
      <c r="V172" s="7"/>
      <c r="W172" s="7"/>
      <c r="Y172">
        <v>59</v>
      </c>
      <c r="Z172">
        <v>0</v>
      </c>
      <c r="AA172">
        <v>0</v>
      </c>
    </row>
    <row r="173" spans="1:27">
      <c r="A173" s="6">
        <v>46133</v>
      </c>
      <c r="B173" s="7" t="s">
        <v>78</v>
      </c>
      <c r="C173" s="18"/>
      <c r="D173" s="18" t="s">
        <v>187</v>
      </c>
      <c r="E173" s="18" t="s">
        <v>109</v>
      </c>
      <c r="F173" s="18" t="s">
        <v>188</v>
      </c>
      <c r="G173" s="18"/>
      <c r="H173" s="18"/>
      <c r="I173" s="30"/>
      <c r="J173" s="18" t="s">
        <v>34</v>
      </c>
      <c r="K173" s="18" t="s">
        <v>186</v>
      </c>
      <c r="L173" s="7">
        <v>59</v>
      </c>
      <c r="M173" s="7">
        <v>0</v>
      </c>
      <c r="N173" s="7">
        <v>0</v>
      </c>
      <c r="O173" s="7">
        <v>0</v>
      </c>
      <c r="P173" s="7">
        <v>0</v>
      </c>
      <c r="Q173" s="32">
        <f t="shared" si="33"/>
        <v>0</v>
      </c>
      <c r="R173" s="32" t="e">
        <f t="shared" si="34"/>
        <v>#DIV/0!</v>
      </c>
      <c r="S173" s="7"/>
      <c r="T173" s="7"/>
      <c r="U173" s="7"/>
      <c r="V173" s="7"/>
      <c r="W173" s="7"/>
      <c r="Y173">
        <v>495</v>
      </c>
      <c r="Z173">
        <v>37</v>
      </c>
      <c r="AA173">
        <v>22</v>
      </c>
    </row>
    <row r="174" spans="1:27">
      <c r="A174" s="6">
        <v>46133</v>
      </c>
      <c r="B174" s="7" t="s">
        <v>78</v>
      </c>
      <c r="C174" s="7"/>
      <c r="D174" s="31" t="s">
        <v>327</v>
      </c>
      <c r="E174" s="7" t="s">
        <v>252</v>
      </c>
      <c r="F174" s="7"/>
      <c r="G174" s="7"/>
      <c r="H174" s="7"/>
      <c r="I174" s="14" t="s">
        <v>67</v>
      </c>
      <c r="J174" s="7" t="s">
        <v>34</v>
      </c>
      <c r="K174" s="7" t="s">
        <v>170</v>
      </c>
      <c r="L174" s="7">
        <v>1497</v>
      </c>
      <c r="M174" s="7">
        <v>1444</v>
      </c>
      <c r="N174" s="7">
        <v>1049</v>
      </c>
      <c r="O174" s="7">
        <v>0</v>
      </c>
      <c r="P174" s="7">
        <v>3</v>
      </c>
      <c r="Q174" s="32">
        <f t="shared" si="33"/>
        <v>0.96459585838343354</v>
      </c>
      <c r="R174" s="32">
        <f t="shared" si="34"/>
        <v>0.72645429362880887</v>
      </c>
      <c r="S174" s="7"/>
      <c r="T174" s="7"/>
      <c r="U174" s="7"/>
      <c r="V174" s="7"/>
      <c r="W174" s="7"/>
      <c r="Y174">
        <v>58</v>
      </c>
      <c r="Z174">
        <v>0</v>
      </c>
      <c r="AA174">
        <v>0</v>
      </c>
    </row>
    <row r="175" spans="1:27">
      <c r="A175" s="6">
        <v>46133</v>
      </c>
      <c r="B175" s="7" t="s">
        <v>78</v>
      </c>
      <c r="C175" s="7"/>
      <c r="D175" s="65" t="s">
        <v>289</v>
      </c>
      <c r="E175" s="7" t="s">
        <v>252</v>
      </c>
      <c r="F175" s="7"/>
      <c r="G175" s="7"/>
      <c r="H175" s="7"/>
      <c r="I175" s="47"/>
      <c r="J175" s="7" t="s">
        <v>34</v>
      </c>
      <c r="K175" s="7" t="s">
        <v>170</v>
      </c>
      <c r="L175" s="7">
        <v>467</v>
      </c>
      <c r="M175" s="7">
        <v>439</v>
      </c>
      <c r="N175" s="7">
        <v>332</v>
      </c>
      <c r="O175" s="7">
        <v>0</v>
      </c>
      <c r="P175" s="7">
        <v>1</v>
      </c>
      <c r="Q175" s="32">
        <f t="shared" si="33"/>
        <v>0.94004282655246252</v>
      </c>
      <c r="R175" s="32">
        <f t="shared" si="34"/>
        <v>0.75626423690205014</v>
      </c>
      <c r="S175" s="7"/>
      <c r="T175" s="7"/>
      <c r="U175" s="7"/>
      <c r="V175" s="7"/>
      <c r="W175" s="7"/>
      <c r="Y175">
        <v>532</v>
      </c>
      <c r="Z175">
        <v>44</v>
      </c>
      <c r="AA175">
        <v>27</v>
      </c>
    </row>
    <row r="176" spans="1:27">
      <c r="A176" s="6">
        <v>46133</v>
      </c>
      <c r="B176" s="7" t="s">
        <v>78</v>
      </c>
      <c r="C176" s="7"/>
      <c r="D176" s="65" t="s">
        <v>328</v>
      </c>
      <c r="E176" s="7" t="s">
        <v>252</v>
      </c>
      <c r="F176" s="7"/>
      <c r="G176" s="7"/>
      <c r="H176" s="7"/>
      <c r="I176" s="47" t="s">
        <v>326</v>
      </c>
      <c r="J176" s="7" t="s">
        <v>34</v>
      </c>
      <c r="K176" s="7" t="s">
        <v>170</v>
      </c>
      <c r="L176" s="7">
        <v>386</v>
      </c>
      <c r="M176" s="7">
        <v>366</v>
      </c>
      <c r="N176" s="7">
        <v>266</v>
      </c>
      <c r="O176" s="7">
        <v>0</v>
      </c>
      <c r="P176" s="7">
        <v>0</v>
      </c>
      <c r="Q176" s="32">
        <f t="shared" si="33"/>
        <v>0.94818652849740936</v>
      </c>
      <c r="R176" s="32">
        <f t="shared" si="34"/>
        <v>0.72677595628415304</v>
      </c>
      <c r="S176" s="7"/>
      <c r="T176" s="7"/>
      <c r="U176" s="7"/>
      <c r="V176" s="7"/>
      <c r="W176" s="7"/>
      <c r="Y176">
        <f>SUM(Y172:Y175)</f>
        <v>1144</v>
      </c>
      <c r="Z176">
        <f>SUM(Z172:Z175)</f>
        <v>81</v>
      </c>
      <c r="AA176">
        <f>SUM(AA172:AA175)</f>
        <v>49</v>
      </c>
    </row>
    <row r="177" spans="1:23">
      <c r="A177" s="6">
        <v>46133</v>
      </c>
      <c r="B177" s="7" t="s">
        <v>78</v>
      </c>
      <c r="C177" s="62">
        <v>0.9375</v>
      </c>
      <c r="D177" s="31" t="s">
        <v>333</v>
      </c>
      <c r="E177" s="7" t="s">
        <v>252</v>
      </c>
      <c r="F177" s="7" t="s">
        <v>334</v>
      </c>
      <c r="G177" s="7"/>
      <c r="H177" s="7"/>
      <c r="I177" s="47" t="s">
        <v>209</v>
      </c>
      <c r="J177" s="7" t="s">
        <v>34</v>
      </c>
      <c r="K177" s="7" t="s">
        <v>149</v>
      </c>
      <c r="L177" s="7">
        <v>144</v>
      </c>
      <c r="M177" s="7">
        <v>27</v>
      </c>
      <c r="N177" s="7">
        <v>3</v>
      </c>
      <c r="O177" s="7">
        <v>2</v>
      </c>
      <c r="P177" s="7">
        <v>0</v>
      </c>
      <c r="Q177" s="32">
        <f t="shared" si="33"/>
        <v>0.1875</v>
      </c>
      <c r="R177" s="32">
        <f t="shared" si="34"/>
        <v>0.1111111111111111</v>
      </c>
      <c r="S177" s="7"/>
      <c r="T177" s="7"/>
      <c r="U177" s="7"/>
      <c r="V177" s="7"/>
      <c r="W177" s="7"/>
    </row>
    <row r="178" spans="1:23" ht="16.8">
      <c r="A178" s="6">
        <v>46133</v>
      </c>
      <c r="B178" s="7" t="s">
        <v>78</v>
      </c>
      <c r="C178" s="62">
        <v>0.95833333333333337</v>
      </c>
      <c r="D178" s="31" t="s">
        <v>335</v>
      </c>
      <c r="E178" s="7" t="s">
        <v>252</v>
      </c>
      <c r="F178" s="7" t="s">
        <v>336</v>
      </c>
      <c r="G178" s="7"/>
      <c r="H178" s="7"/>
      <c r="I178" s="47" t="s">
        <v>209</v>
      </c>
      <c r="J178" s="7" t="s">
        <v>34</v>
      </c>
      <c r="K178" s="52" t="s">
        <v>157</v>
      </c>
      <c r="L178" s="7">
        <v>192</v>
      </c>
      <c r="M178" s="7">
        <v>48</v>
      </c>
      <c r="N178" s="7">
        <v>7</v>
      </c>
      <c r="O178" s="7">
        <v>1</v>
      </c>
      <c r="P178" s="7">
        <v>0</v>
      </c>
      <c r="Q178" s="32">
        <f t="shared" si="33"/>
        <v>0.25</v>
      </c>
      <c r="R178" s="32">
        <f t="shared" si="34"/>
        <v>0.14583333333333334</v>
      </c>
      <c r="S178" s="7"/>
      <c r="T178" s="7"/>
      <c r="U178" s="7"/>
      <c r="V178" s="7"/>
      <c r="W178" s="7"/>
    </row>
    <row r="179" spans="1:23">
      <c r="A179" s="6">
        <v>46133</v>
      </c>
      <c r="B179" s="7" t="s">
        <v>78</v>
      </c>
      <c r="C179" s="62">
        <v>0.79166666666666663</v>
      </c>
      <c r="D179" s="31" t="s">
        <v>337</v>
      </c>
      <c r="E179" s="7" t="s">
        <v>252</v>
      </c>
      <c r="F179" s="7" t="s">
        <v>334</v>
      </c>
      <c r="G179" s="7"/>
      <c r="H179" s="7"/>
      <c r="I179" s="47" t="s">
        <v>209</v>
      </c>
      <c r="J179" s="7" t="s">
        <v>34</v>
      </c>
      <c r="K179" s="7" t="s">
        <v>121</v>
      </c>
      <c r="L179" s="7">
        <v>187</v>
      </c>
      <c r="M179" s="7">
        <v>17</v>
      </c>
      <c r="N179" s="7">
        <v>10</v>
      </c>
      <c r="O179" s="7">
        <v>0</v>
      </c>
      <c r="P179" s="7">
        <v>0</v>
      </c>
      <c r="Q179" s="32">
        <f t="shared" si="33"/>
        <v>9.0909090909090912E-2</v>
      </c>
      <c r="R179" s="32">
        <f t="shared" si="34"/>
        <v>0.58823529411764708</v>
      </c>
      <c r="S179" s="7"/>
      <c r="T179" s="7"/>
      <c r="U179" s="7"/>
      <c r="V179" s="7"/>
      <c r="W179" s="7"/>
    </row>
    <row r="180" spans="1:23" ht="16.8">
      <c r="A180" s="6">
        <v>46133</v>
      </c>
      <c r="B180" s="35" t="s">
        <v>78</v>
      </c>
      <c r="C180" s="64">
        <v>0.85416666666666663</v>
      </c>
      <c r="D180" s="31" t="s">
        <v>338</v>
      </c>
      <c r="E180" s="7" t="s">
        <v>252</v>
      </c>
      <c r="F180" s="7" t="s">
        <v>336</v>
      </c>
      <c r="G180" s="35"/>
      <c r="H180" s="35"/>
      <c r="I180" s="47" t="s">
        <v>209</v>
      </c>
      <c r="J180" s="35" t="s">
        <v>34</v>
      </c>
      <c r="K180" s="53" t="s">
        <v>210</v>
      </c>
      <c r="L180" s="35">
        <v>308</v>
      </c>
      <c r="M180" s="35">
        <v>20</v>
      </c>
      <c r="N180" s="35">
        <v>12</v>
      </c>
      <c r="O180" s="35">
        <v>0</v>
      </c>
      <c r="P180" s="35">
        <v>0</v>
      </c>
      <c r="Q180" s="37">
        <f t="shared" si="33"/>
        <v>6.4935064935064929E-2</v>
      </c>
      <c r="R180" s="37">
        <f t="shared" si="34"/>
        <v>0.6</v>
      </c>
      <c r="S180" s="35"/>
      <c r="T180" s="35"/>
      <c r="U180" s="35"/>
      <c r="V180" s="35"/>
      <c r="W180" s="35"/>
    </row>
    <row r="181" spans="1:23" ht="3.6" customHeight="1">
      <c r="A181" s="43">
        <v>46133</v>
      </c>
      <c r="B181" s="54" t="s">
        <v>78</v>
      </c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5"/>
      <c r="R181" s="55"/>
      <c r="S181" s="54"/>
      <c r="T181" s="54"/>
      <c r="U181" s="54"/>
      <c r="V181" s="54"/>
      <c r="W181" s="54"/>
    </row>
    <row r="182" spans="1:23">
      <c r="A182" s="6">
        <v>46133</v>
      </c>
      <c r="B182" s="39" t="s">
        <v>78</v>
      </c>
      <c r="C182" s="40"/>
      <c r="D182" s="40" t="s">
        <v>108</v>
      </c>
      <c r="E182" s="40" t="s">
        <v>116</v>
      </c>
      <c r="F182" s="40" t="s">
        <v>115</v>
      </c>
      <c r="G182" s="40"/>
      <c r="H182" s="40"/>
      <c r="I182" s="41"/>
      <c r="J182" s="40" t="s">
        <v>35</v>
      </c>
      <c r="K182" s="40" t="s">
        <v>106</v>
      </c>
      <c r="L182" s="39">
        <v>105</v>
      </c>
      <c r="M182" s="39">
        <v>0</v>
      </c>
      <c r="N182" s="39">
        <v>0</v>
      </c>
      <c r="O182" s="39">
        <v>1</v>
      </c>
      <c r="P182" s="39">
        <v>0</v>
      </c>
      <c r="Q182" s="42">
        <f t="shared" ref="Q182:Q192" si="35">M182/L182</f>
        <v>0</v>
      </c>
      <c r="R182" s="42" t="e">
        <f t="shared" ref="R182:R192" si="36">N182/M182</f>
        <v>#DIV/0!</v>
      </c>
      <c r="S182" s="39"/>
      <c r="T182" s="39"/>
      <c r="U182" s="39"/>
      <c r="V182" s="39"/>
      <c r="W182" s="39"/>
    </row>
    <row r="183" spans="1:23">
      <c r="A183" s="6">
        <v>46133</v>
      </c>
      <c r="B183" s="7" t="s">
        <v>78</v>
      </c>
      <c r="C183" s="18"/>
      <c r="D183" s="18" t="s">
        <v>155</v>
      </c>
      <c r="E183" s="18" t="s">
        <v>116</v>
      </c>
      <c r="F183" s="18" t="s">
        <v>156</v>
      </c>
      <c r="G183" s="18"/>
      <c r="H183" s="18"/>
      <c r="I183" s="30"/>
      <c r="J183" s="18" t="s">
        <v>35</v>
      </c>
      <c r="K183" s="18" t="s">
        <v>157</v>
      </c>
      <c r="L183" s="7">
        <v>8</v>
      </c>
      <c r="M183" s="7">
        <v>0</v>
      </c>
      <c r="N183" s="7">
        <v>0</v>
      </c>
      <c r="O183" s="7">
        <v>0</v>
      </c>
      <c r="P183" s="7">
        <v>0</v>
      </c>
      <c r="Q183" s="32">
        <f t="shared" si="35"/>
        <v>0</v>
      </c>
      <c r="R183" s="32" t="e">
        <f t="shared" si="36"/>
        <v>#DIV/0!</v>
      </c>
      <c r="S183" s="7"/>
      <c r="T183" s="7"/>
      <c r="U183" s="7"/>
      <c r="V183" s="7"/>
      <c r="W183" s="7"/>
    </row>
    <row r="184" spans="1:23">
      <c r="A184" s="6">
        <v>46133</v>
      </c>
      <c r="B184" s="7" t="s">
        <v>78</v>
      </c>
      <c r="C184" s="18"/>
      <c r="D184" s="18" t="s">
        <v>158</v>
      </c>
      <c r="E184" s="18" t="s">
        <v>116</v>
      </c>
      <c r="F184" s="18" t="s">
        <v>159</v>
      </c>
      <c r="G184" s="18"/>
      <c r="H184" s="18"/>
      <c r="I184" s="30"/>
      <c r="J184" s="18" t="s">
        <v>35</v>
      </c>
      <c r="K184" s="18" t="s">
        <v>149</v>
      </c>
      <c r="L184" s="7">
        <v>8</v>
      </c>
      <c r="M184" s="7">
        <v>1</v>
      </c>
      <c r="N184" s="7">
        <v>1</v>
      </c>
      <c r="O184" s="7">
        <v>0</v>
      </c>
      <c r="P184" s="7">
        <v>0</v>
      </c>
      <c r="Q184" s="32">
        <f t="shared" si="35"/>
        <v>0.125</v>
      </c>
      <c r="R184" s="32">
        <f t="shared" si="36"/>
        <v>1</v>
      </c>
      <c r="S184" s="7"/>
      <c r="T184" s="7"/>
      <c r="U184" s="7"/>
      <c r="V184" s="7"/>
      <c r="W184" s="7"/>
    </row>
    <row r="185" spans="1:23">
      <c r="A185" s="6">
        <v>46133</v>
      </c>
      <c r="B185" s="7" t="s">
        <v>78</v>
      </c>
      <c r="C185" s="18"/>
      <c r="D185" s="18" t="s">
        <v>189</v>
      </c>
      <c r="E185" s="18" t="s">
        <v>116</v>
      </c>
      <c r="F185" s="18"/>
      <c r="G185" s="18"/>
      <c r="H185" s="18"/>
      <c r="I185" s="30"/>
      <c r="J185" s="18" t="s">
        <v>35</v>
      </c>
      <c r="K185" s="18" t="s">
        <v>186</v>
      </c>
      <c r="L185" s="7">
        <v>58</v>
      </c>
      <c r="M185" s="7">
        <v>0</v>
      </c>
      <c r="N185" s="7">
        <v>0</v>
      </c>
      <c r="O185" s="7">
        <v>0</v>
      </c>
      <c r="P185" s="7">
        <v>0</v>
      </c>
      <c r="Q185" s="32">
        <f t="shared" si="35"/>
        <v>0</v>
      </c>
      <c r="R185" s="32" t="e">
        <f t="shared" si="36"/>
        <v>#DIV/0!</v>
      </c>
      <c r="S185" s="7"/>
      <c r="T185" s="7"/>
      <c r="U185" s="7"/>
      <c r="V185" s="7"/>
      <c r="W185" s="7"/>
    </row>
    <row r="186" spans="1:23">
      <c r="A186" s="6">
        <v>46133</v>
      </c>
      <c r="B186" s="7" t="s">
        <v>78</v>
      </c>
      <c r="C186" s="7"/>
      <c r="D186" s="31" t="s">
        <v>331</v>
      </c>
      <c r="E186" s="7" t="s">
        <v>253</v>
      </c>
      <c r="F186" s="7"/>
      <c r="G186" s="7"/>
      <c r="H186" s="7"/>
      <c r="I186" s="14" t="s">
        <v>67</v>
      </c>
      <c r="J186" s="7" t="s">
        <v>35</v>
      </c>
      <c r="K186" s="7" t="s">
        <v>170</v>
      </c>
      <c r="L186" s="7">
        <v>1499</v>
      </c>
      <c r="M186" s="7">
        <v>1390</v>
      </c>
      <c r="N186" s="7">
        <v>937</v>
      </c>
      <c r="O186" s="7">
        <v>0</v>
      </c>
      <c r="P186" s="7">
        <v>1</v>
      </c>
      <c r="Q186" s="32">
        <f t="shared" si="35"/>
        <v>0.92728485657104731</v>
      </c>
      <c r="R186" s="32">
        <f t="shared" si="36"/>
        <v>0.67410071942446048</v>
      </c>
      <c r="S186" s="7"/>
      <c r="T186" s="7"/>
      <c r="U186" s="7"/>
      <c r="V186" s="7"/>
      <c r="W186" s="7"/>
    </row>
    <row r="187" spans="1:23">
      <c r="A187" s="6">
        <v>46133</v>
      </c>
      <c r="B187" s="7" t="s">
        <v>78</v>
      </c>
      <c r="C187" s="7"/>
      <c r="D187" s="65" t="s">
        <v>291</v>
      </c>
      <c r="E187" s="7" t="s">
        <v>253</v>
      </c>
      <c r="F187" s="7"/>
      <c r="G187" s="7"/>
      <c r="H187" s="7"/>
      <c r="I187" s="47"/>
      <c r="J187" s="7" t="s">
        <v>35</v>
      </c>
      <c r="K187" s="7" t="s">
        <v>170</v>
      </c>
      <c r="L187" s="7">
        <v>464</v>
      </c>
      <c r="M187" s="7">
        <v>417</v>
      </c>
      <c r="N187" s="7">
        <v>277</v>
      </c>
      <c r="O187" s="7">
        <v>0</v>
      </c>
      <c r="P187" s="7">
        <v>1</v>
      </c>
      <c r="Q187" s="32">
        <f t="shared" si="35"/>
        <v>0.89870689655172409</v>
      </c>
      <c r="R187" s="32">
        <f t="shared" si="36"/>
        <v>0.66426858513189446</v>
      </c>
      <c r="S187" s="7"/>
      <c r="T187" s="7"/>
      <c r="U187" s="7"/>
      <c r="V187" s="7"/>
      <c r="W187" s="7"/>
    </row>
    <row r="188" spans="1:23">
      <c r="A188" s="6">
        <v>46133</v>
      </c>
      <c r="B188" s="7" t="s">
        <v>78</v>
      </c>
      <c r="C188" s="7"/>
      <c r="D188" s="65" t="s">
        <v>332</v>
      </c>
      <c r="E188" s="7" t="s">
        <v>253</v>
      </c>
      <c r="F188" s="7"/>
      <c r="G188" s="7"/>
      <c r="H188" s="7"/>
      <c r="I188" s="47" t="s">
        <v>326</v>
      </c>
      <c r="J188" s="7" t="s">
        <v>35</v>
      </c>
      <c r="K188" s="7" t="s">
        <v>170</v>
      </c>
      <c r="L188" s="7">
        <v>366</v>
      </c>
      <c r="M188" s="7">
        <v>341</v>
      </c>
      <c r="N188" s="7">
        <v>211</v>
      </c>
      <c r="O188" s="7">
        <v>0</v>
      </c>
      <c r="P188" s="7">
        <v>0</v>
      </c>
      <c r="Q188" s="32">
        <f t="shared" si="35"/>
        <v>0.93169398907103829</v>
      </c>
      <c r="R188" s="32">
        <f t="shared" si="36"/>
        <v>0.61876832844574781</v>
      </c>
      <c r="S188" s="7"/>
      <c r="T188" s="7"/>
      <c r="U188" s="7"/>
      <c r="V188" s="7"/>
      <c r="W188" s="7"/>
    </row>
    <row r="189" spans="1:23">
      <c r="A189" s="6">
        <v>46133</v>
      </c>
      <c r="B189" s="7" t="s">
        <v>78</v>
      </c>
      <c r="C189" s="62">
        <v>0.85416666666666663</v>
      </c>
      <c r="D189" s="31" t="s">
        <v>339</v>
      </c>
      <c r="E189" s="7" t="s">
        <v>253</v>
      </c>
      <c r="F189" s="7" t="s">
        <v>340</v>
      </c>
      <c r="G189" s="7"/>
      <c r="H189" s="7"/>
      <c r="I189" s="47" t="s">
        <v>209</v>
      </c>
      <c r="J189" s="7" t="s">
        <v>35</v>
      </c>
      <c r="K189" s="7" t="s">
        <v>149</v>
      </c>
      <c r="L189" s="7">
        <v>145</v>
      </c>
      <c r="M189" s="7">
        <v>26</v>
      </c>
      <c r="N189" s="7">
        <v>4</v>
      </c>
      <c r="O189" s="7">
        <v>1</v>
      </c>
      <c r="P189" s="7">
        <v>0</v>
      </c>
      <c r="Q189" s="32">
        <f t="shared" si="35"/>
        <v>0.1793103448275862</v>
      </c>
      <c r="R189" s="32">
        <f t="shared" si="36"/>
        <v>0.15384615384615385</v>
      </c>
      <c r="S189" s="7"/>
      <c r="T189" s="7"/>
      <c r="U189" s="7"/>
      <c r="V189" s="7"/>
      <c r="W189" s="7"/>
    </row>
    <row r="190" spans="1:23" ht="16.8">
      <c r="A190" s="6">
        <v>46133</v>
      </c>
      <c r="B190" s="7" t="s">
        <v>78</v>
      </c>
      <c r="C190" s="62">
        <v>0.875</v>
      </c>
      <c r="D190" s="31" t="s">
        <v>341</v>
      </c>
      <c r="E190" s="7" t="s">
        <v>253</v>
      </c>
      <c r="F190" s="7" t="s">
        <v>342</v>
      </c>
      <c r="G190" s="7"/>
      <c r="H190" s="7"/>
      <c r="I190" s="47" t="s">
        <v>209</v>
      </c>
      <c r="J190" s="7" t="s">
        <v>35</v>
      </c>
      <c r="K190" s="52" t="s">
        <v>157</v>
      </c>
      <c r="L190" s="7">
        <v>194</v>
      </c>
      <c r="M190" s="7">
        <v>35</v>
      </c>
      <c r="N190" s="7">
        <v>5</v>
      </c>
      <c r="O190" s="7">
        <v>0</v>
      </c>
      <c r="P190" s="7">
        <v>0</v>
      </c>
      <c r="Q190" s="32">
        <f t="shared" si="35"/>
        <v>0.18041237113402062</v>
      </c>
      <c r="R190" s="32">
        <f t="shared" si="36"/>
        <v>0.14285714285714285</v>
      </c>
      <c r="S190" s="7"/>
      <c r="T190" s="7"/>
      <c r="U190" s="7"/>
      <c r="V190" s="7"/>
      <c r="W190" s="7"/>
    </row>
    <row r="191" spans="1:23">
      <c r="A191" s="6">
        <v>46133</v>
      </c>
      <c r="B191" s="7" t="s">
        <v>78</v>
      </c>
      <c r="C191" s="62">
        <v>0.91666666666666663</v>
      </c>
      <c r="D191" s="31" t="s">
        <v>343</v>
      </c>
      <c r="E191" s="7" t="s">
        <v>253</v>
      </c>
      <c r="F191" s="7" t="s">
        <v>340</v>
      </c>
      <c r="G191" s="7"/>
      <c r="H191" s="7"/>
      <c r="I191" s="47" t="s">
        <v>209</v>
      </c>
      <c r="J191" s="7" t="s">
        <v>35</v>
      </c>
      <c r="K191" s="7" t="s">
        <v>121</v>
      </c>
      <c r="L191" s="7">
        <v>188</v>
      </c>
      <c r="M191" s="7">
        <v>19</v>
      </c>
      <c r="N191" s="7">
        <v>13</v>
      </c>
      <c r="O191" s="7">
        <v>0</v>
      </c>
      <c r="P191" s="7">
        <v>0</v>
      </c>
      <c r="Q191" s="32">
        <f t="shared" si="35"/>
        <v>0.10106382978723404</v>
      </c>
      <c r="R191" s="32">
        <f t="shared" si="36"/>
        <v>0.68421052631578949</v>
      </c>
      <c r="S191" s="7"/>
      <c r="T191" s="7"/>
      <c r="U191" s="7"/>
      <c r="V191" s="7"/>
      <c r="W191" s="7"/>
    </row>
    <row r="192" spans="1:23" ht="16.8">
      <c r="A192" s="6">
        <v>46133</v>
      </c>
      <c r="B192" s="7" t="s">
        <v>78</v>
      </c>
      <c r="C192" s="62">
        <v>0.96875</v>
      </c>
      <c r="D192" s="31" t="s">
        <v>344</v>
      </c>
      <c r="E192" s="7" t="s">
        <v>253</v>
      </c>
      <c r="F192" s="7" t="s">
        <v>342</v>
      </c>
      <c r="G192" s="7"/>
      <c r="H192" s="7"/>
      <c r="I192" s="47" t="s">
        <v>209</v>
      </c>
      <c r="J192" s="7" t="s">
        <v>34</v>
      </c>
      <c r="K192" s="52" t="s">
        <v>210</v>
      </c>
      <c r="L192" s="7">
        <v>344</v>
      </c>
      <c r="M192" s="7">
        <v>25</v>
      </c>
      <c r="N192" s="7">
        <v>14</v>
      </c>
      <c r="O192" s="7">
        <v>0</v>
      </c>
      <c r="P192" s="7">
        <v>0</v>
      </c>
      <c r="Q192" s="32">
        <f t="shared" si="35"/>
        <v>7.2674418604651167E-2</v>
      </c>
      <c r="R192" s="32">
        <f t="shared" si="36"/>
        <v>0.56000000000000005</v>
      </c>
      <c r="S192" s="7"/>
      <c r="T192" s="7"/>
      <c r="U192" s="7"/>
      <c r="V192" s="7"/>
      <c r="W192" s="7"/>
    </row>
    <row r="193" spans="1:23" ht="6.6" customHeight="1">
      <c r="A193" s="22"/>
      <c r="B193" s="23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5"/>
      <c r="R193" s="25"/>
      <c r="S193" s="24"/>
      <c r="T193" s="24"/>
      <c r="U193" s="24"/>
      <c r="V193" s="25"/>
      <c r="W193" s="26"/>
    </row>
    <row r="194" spans="1:23">
      <c r="A194" s="6">
        <v>46134</v>
      </c>
      <c r="B194" s="7" t="s">
        <v>124</v>
      </c>
      <c r="C194" s="18"/>
      <c r="D194" s="18" t="s">
        <v>185</v>
      </c>
      <c r="E194" s="18" t="s">
        <v>109</v>
      </c>
      <c r="F194" s="18" t="s">
        <v>110</v>
      </c>
      <c r="G194" s="18"/>
      <c r="H194" s="18" t="s">
        <v>106</v>
      </c>
      <c r="I194" s="30"/>
      <c r="J194" s="18" t="s">
        <v>34</v>
      </c>
      <c r="K194" s="18" t="s">
        <v>106</v>
      </c>
      <c r="L194" s="7">
        <v>104</v>
      </c>
      <c r="M194" s="7">
        <v>2</v>
      </c>
      <c r="N194" s="7">
        <v>1</v>
      </c>
      <c r="O194" s="7">
        <v>0</v>
      </c>
      <c r="P194" s="7">
        <v>3</v>
      </c>
      <c r="Q194" s="32">
        <f t="shared" ref="Q194:Q205" si="37">M194/L194</f>
        <v>1.9230769230769232E-2</v>
      </c>
      <c r="R194" s="32">
        <f t="shared" ref="R194:R205" si="38">N194/M194</f>
        <v>0.5</v>
      </c>
      <c r="S194" s="7"/>
      <c r="T194" s="7"/>
      <c r="U194" s="7"/>
      <c r="V194" s="7"/>
      <c r="W194" s="7"/>
    </row>
    <row r="195" spans="1:23">
      <c r="A195" s="6">
        <v>46134</v>
      </c>
      <c r="B195" s="7" t="s">
        <v>124</v>
      </c>
      <c r="C195" s="18"/>
      <c r="D195" s="18" t="s">
        <v>144</v>
      </c>
      <c r="E195" s="18" t="s">
        <v>252</v>
      </c>
      <c r="F195" s="18" t="s">
        <v>145</v>
      </c>
      <c r="G195" s="18"/>
      <c r="H195" s="18" t="s">
        <v>157</v>
      </c>
      <c r="I195" s="30"/>
      <c r="J195" s="18" t="s">
        <v>34</v>
      </c>
      <c r="K195" s="18" t="s">
        <v>157</v>
      </c>
      <c r="L195" s="7">
        <v>16</v>
      </c>
      <c r="M195" s="7">
        <v>3</v>
      </c>
      <c r="N195" s="7">
        <v>0</v>
      </c>
      <c r="O195" s="7">
        <v>1</v>
      </c>
      <c r="P195" s="7">
        <v>0</v>
      </c>
      <c r="Q195" s="32">
        <f t="shared" si="37"/>
        <v>0.1875</v>
      </c>
      <c r="R195" s="32">
        <f t="shared" si="38"/>
        <v>0</v>
      </c>
      <c r="S195" s="7"/>
      <c r="T195" s="7"/>
      <c r="U195" s="7"/>
      <c r="V195" s="7"/>
      <c r="W195" s="7"/>
    </row>
    <row r="196" spans="1:23">
      <c r="A196" s="6">
        <v>46134</v>
      </c>
      <c r="B196" s="7" t="s">
        <v>124</v>
      </c>
      <c r="C196" s="18"/>
      <c r="D196" s="18" t="s">
        <v>146</v>
      </c>
      <c r="E196" s="18" t="s">
        <v>109</v>
      </c>
      <c r="F196" s="18" t="s">
        <v>147</v>
      </c>
      <c r="G196" s="18"/>
      <c r="H196" s="18" t="s">
        <v>149</v>
      </c>
      <c r="I196" s="30"/>
      <c r="J196" s="18" t="s">
        <v>34</v>
      </c>
      <c r="K196" s="18" t="s">
        <v>149</v>
      </c>
      <c r="L196" s="7">
        <v>9</v>
      </c>
      <c r="M196" s="7">
        <v>5</v>
      </c>
      <c r="N196" s="7">
        <v>0</v>
      </c>
      <c r="O196" s="7">
        <v>0</v>
      </c>
      <c r="P196" s="7">
        <v>0</v>
      </c>
      <c r="Q196" s="32">
        <f t="shared" si="37"/>
        <v>0.55555555555555558</v>
      </c>
      <c r="R196" s="32">
        <f t="shared" si="38"/>
        <v>0</v>
      </c>
      <c r="S196" s="7"/>
      <c r="T196" s="7"/>
      <c r="U196" s="7"/>
      <c r="V196" s="7"/>
      <c r="W196" s="7"/>
    </row>
    <row r="197" spans="1:23">
      <c r="A197" s="6">
        <v>46134</v>
      </c>
      <c r="B197" s="7" t="s">
        <v>124</v>
      </c>
      <c r="C197" s="18"/>
      <c r="D197" s="18" t="s">
        <v>187</v>
      </c>
      <c r="E197" s="18" t="s">
        <v>109</v>
      </c>
      <c r="F197" s="18" t="s">
        <v>188</v>
      </c>
      <c r="G197" s="18"/>
      <c r="H197" s="18"/>
      <c r="I197" s="30"/>
      <c r="J197" s="18" t="s">
        <v>34</v>
      </c>
      <c r="K197" s="18" t="s">
        <v>186</v>
      </c>
      <c r="L197" s="7">
        <v>1248</v>
      </c>
      <c r="M197" s="7">
        <v>2</v>
      </c>
      <c r="N197" s="7">
        <v>1</v>
      </c>
      <c r="O197" s="7">
        <v>0</v>
      </c>
      <c r="P197" s="7">
        <v>1</v>
      </c>
      <c r="Q197" s="32">
        <f t="shared" si="37"/>
        <v>1.6025641025641025E-3</v>
      </c>
      <c r="R197" s="32">
        <f t="shared" si="38"/>
        <v>0.5</v>
      </c>
      <c r="S197" s="7"/>
      <c r="T197" s="7"/>
      <c r="U197" s="7"/>
      <c r="V197" s="7"/>
      <c r="W197" s="7"/>
    </row>
    <row r="198" spans="1:23">
      <c r="A198" s="6">
        <v>46134</v>
      </c>
      <c r="B198" s="7" t="s">
        <v>124</v>
      </c>
      <c r="C198" s="7"/>
      <c r="D198" s="7" t="s">
        <v>399</v>
      </c>
      <c r="E198" s="7" t="s">
        <v>252</v>
      </c>
      <c r="F198" s="7"/>
      <c r="G198" s="7"/>
      <c r="H198" s="7"/>
      <c r="I198" s="14" t="s">
        <v>67</v>
      </c>
      <c r="J198" s="7" t="s">
        <v>34</v>
      </c>
      <c r="K198" s="7" t="s">
        <v>170</v>
      </c>
      <c r="L198" s="7">
        <v>1497</v>
      </c>
      <c r="M198" s="7">
        <v>1455</v>
      </c>
      <c r="N198" s="7">
        <v>1067</v>
      </c>
      <c r="O198" s="7">
        <v>0</v>
      </c>
      <c r="P198" s="7">
        <v>3</v>
      </c>
      <c r="Q198" s="32">
        <f t="shared" si="37"/>
        <v>0.97194388777555107</v>
      </c>
      <c r="R198" s="32">
        <f t="shared" si="38"/>
        <v>0.73333333333333328</v>
      </c>
      <c r="S198" s="7"/>
      <c r="T198" s="7"/>
      <c r="U198" s="7"/>
      <c r="V198" s="7"/>
      <c r="W198" s="7"/>
    </row>
    <row r="199" spans="1:23">
      <c r="A199" s="6">
        <v>46134</v>
      </c>
      <c r="B199" s="7" t="s">
        <v>124</v>
      </c>
      <c r="C199" s="7"/>
      <c r="D199" s="65" t="s">
        <v>289</v>
      </c>
      <c r="E199" s="7" t="s">
        <v>252</v>
      </c>
      <c r="F199" s="7"/>
      <c r="G199" s="7"/>
      <c r="H199" s="7"/>
      <c r="I199" s="47"/>
      <c r="J199" s="7" t="s">
        <v>34</v>
      </c>
      <c r="K199" s="7" t="s">
        <v>170</v>
      </c>
      <c r="L199" s="7">
        <v>478</v>
      </c>
      <c r="M199" s="7">
        <v>464</v>
      </c>
      <c r="N199" s="7">
        <v>353</v>
      </c>
      <c r="O199" s="7">
        <v>0</v>
      </c>
      <c r="P199" s="7">
        <v>1</v>
      </c>
      <c r="Q199" s="32">
        <f t="shared" si="37"/>
        <v>0.97071129707112969</v>
      </c>
      <c r="R199" s="32">
        <f t="shared" si="38"/>
        <v>0.76077586206896552</v>
      </c>
      <c r="S199" s="7"/>
      <c r="T199" s="7"/>
      <c r="U199" s="7"/>
      <c r="V199" s="7"/>
      <c r="W199" s="7"/>
    </row>
    <row r="200" spans="1:23">
      <c r="A200" s="6">
        <v>46134</v>
      </c>
      <c r="B200" s="7" t="s">
        <v>124</v>
      </c>
      <c r="C200" s="7"/>
      <c r="D200" s="65" t="s">
        <v>328</v>
      </c>
      <c r="E200" s="7" t="s">
        <v>252</v>
      </c>
      <c r="F200" s="7"/>
      <c r="G200" s="7"/>
      <c r="H200" s="7"/>
      <c r="I200" s="47" t="s">
        <v>326</v>
      </c>
      <c r="J200" s="7" t="s">
        <v>34</v>
      </c>
      <c r="K200" s="7" t="s">
        <v>170</v>
      </c>
      <c r="L200" s="7">
        <v>469</v>
      </c>
      <c r="M200" s="7">
        <v>453</v>
      </c>
      <c r="N200" s="7">
        <v>329</v>
      </c>
      <c r="O200" s="7">
        <v>0</v>
      </c>
      <c r="P200" s="7">
        <v>1</v>
      </c>
      <c r="Q200" s="32">
        <f t="shared" si="37"/>
        <v>0.9658848614072495</v>
      </c>
      <c r="R200" s="32">
        <f t="shared" si="38"/>
        <v>0.72626931567328923</v>
      </c>
      <c r="S200" s="7"/>
      <c r="T200" s="7"/>
      <c r="U200" s="7"/>
      <c r="V200" s="7"/>
      <c r="W200" s="7"/>
    </row>
    <row r="201" spans="1:23">
      <c r="A201" s="6">
        <v>46134</v>
      </c>
      <c r="B201" s="7" t="s">
        <v>124</v>
      </c>
      <c r="C201" s="62">
        <v>0.9375</v>
      </c>
      <c r="D201" s="31" t="s">
        <v>401</v>
      </c>
      <c r="E201" s="7" t="s">
        <v>252</v>
      </c>
      <c r="F201" s="7" t="s">
        <v>150</v>
      </c>
      <c r="G201" s="7" t="s">
        <v>85</v>
      </c>
      <c r="H201" s="7"/>
      <c r="I201" s="47"/>
      <c r="J201" s="7" t="s">
        <v>34</v>
      </c>
      <c r="K201" s="7" t="s">
        <v>149</v>
      </c>
      <c r="L201" s="7">
        <v>151</v>
      </c>
      <c r="M201" s="7">
        <v>24</v>
      </c>
      <c r="N201" s="7">
        <v>6</v>
      </c>
      <c r="O201" s="7">
        <v>3</v>
      </c>
      <c r="P201" s="7">
        <v>0</v>
      </c>
      <c r="Q201" s="32">
        <f t="shared" si="37"/>
        <v>0.15894039735099338</v>
      </c>
      <c r="R201" s="32">
        <f t="shared" si="38"/>
        <v>0.25</v>
      </c>
      <c r="S201" s="7"/>
      <c r="T201" s="7"/>
      <c r="U201" s="7"/>
      <c r="V201" s="7"/>
      <c r="W201" s="7"/>
    </row>
    <row r="202" spans="1:23" ht="16.8">
      <c r="A202" s="6">
        <v>46134</v>
      </c>
      <c r="B202" s="7" t="s">
        <v>124</v>
      </c>
      <c r="C202" s="62">
        <v>0.95833333333333337</v>
      </c>
      <c r="D202" s="31" t="s">
        <v>402</v>
      </c>
      <c r="E202" s="7" t="s">
        <v>252</v>
      </c>
      <c r="F202" s="7" t="s">
        <v>248</v>
      </c>
      <c r="G202" s="7"/>
      <c r="H202" s="7"/>
      <c r="I202" s="47"/>
      <c r="J202" s="7" t="s">
        <v>34</v>
      </c>
      <c r="K202" s="52" t="s">
        <v>157</v>
      </c>
      <c r="L202" s="7">
        <v>204</v>
      </c>
      <c r="M202" s="7">
        <v>35</v>
      </c>
      <c r="N202" s="7">
        <v>5</v>
      </c>
      <c r="O202" s="7">
        <v>1</v>
      </c>
      <c r="P202" s="7">
        <v>0</v>
      </c>
      <c r="Q202" s="32">
        <f t="shared" si="37"/>
        <v>0.17156862745098039</v>
      </c>
      <c r="R202" s="32">
        <f t="shared" si="38"/>
        <v>0.14285714285714285</v>
      </c>
      <c r="S202" s="7"/>
      <c r="T202" s="7"/>
      <c r="U202" s="7"/>
      <c r="V202" s="7"/>
      <c r="W202" s="7"/>
    </row>
    <row r="203" spans="1:23" ht="16.8">
      <c r="A203" s="6">
        <v>46134</v>
      </c>
      <c r="B203" s="7" t="s">
        <v>124</v>
      </c>
      <c r="C203" s="62">
        <v>0.82291666666666663</v>
      </c>
      <c r="D203" s="31" t="s">
        <v>421</v>
      </c>
      <c r="E203" s="31" t="s">
        <v>252</v>
      </c>
      <c r="F203" s="31" t="s">
        <v>334</v>
      </c>
      <c r="G203" s="7"/>
      <c r="H203" s="7"/>
      <c r="I203" s="47" t="s">
        <v>419</v>
      </c>
      <c r="J203" s="7" t="s">
        <v>34</v>
      </c>
      <c r="K203" s="52" t="s">
        <v>420</v>
      </c>
      <c r="L203" s="7">
        <v>125</v>
      </c>
      <c r="M203" s="7">
        <v>29</v>
      </c>
      <c r="N203" s="7">
        <v>4</v>
      </c>
      <c r="O203" s="7">
        <v>0</v>
      </c>
      <c r="P203" s="7">
        <v>0</v>
      </c>
      <c r="Q203" s="32">
        <f t="shared" ref="Q203" si="39">M203/L203</f>
        <v>0.23200000000000001</v>
      </c>
      <c r="R203" s="32">
        <f t="shared" ref="R203" si="40">N203/M203</f>
        <v>0.13793103448275862</v>
      </c>
      <c r="S203" s="7"/>
      <c r="T203" s="7"/>
      <c r="U203" s="7"/>
      <c r="V203" s="7"/>
      <c r="W203" s="7"/>
    </row>
    <row r="204" spans="1:23">
      <c r="A204" s="6">
        <v>46134</v>
      </c>
      <c r="B204" s="7" t="s">
        <v>124</v>
      </c>
      <c r="C204" s="62">
        <v>0.79166666666666663</v>
      </c>
      <c r="D204" s="31" t="s">
        <v>403</v>
      </c>
      <c r="E204" s="7" t="s">
        <v>252</v>
      </c>
      <c r="F204" s="35" t="s">
        <v>150</v>
      </c>
      <c r="G204" s="7" t="s">
        <v>85</v>
      </c>
      <c r="H204" s="7"/>
      <c r="I204" s="47"/>
      <c r="J204" s="7" t="s">
        <v>34</v>
      </c>
      <c r="K204" s="7" t="s">
        <v>121</v>
      </c>
      <c r="L204" s="7">
        <v>214</v>
      </c>
      <c r="M204" s="7">
        <v>18</v>
      </c>
      <c r="N204" s="7">
        <v>11</v>
      </c>
      <c r="O204" s="7">
        <v>0</v>
      </c>
      <c r="P204" s="7">
        <v>0</v>
      </c>
      <c r="Q204" s="32">
        <f t="shared" si="37"/>
        <v>8.4112149532710276E-2</v>
      </c>
      <c r="R204" s="32">
        <f t="shared" si="38"/>
        <v>0.61111111111111116</v>
      </c>
      <c r="S204" s="7"/>
      <c r="T204" s="7"/>
      <c r="U204" s="7"/>
      <c r="V204" s="7"/>
      <c r="W204" s="7"/>
    </row>
    <row r="205" spans="1:23" ht="16.8">
      <c r="A205" s="6">
        <v>46134</v>
      </c>
      <c r="B205" s="35" t="s">
        <v>124</v>
      </c>
      <c r="C205" s="64">
        <v>0.85416666666666663</v>
      </c>
      <c r="D205" s="31" t="s">
        <v>404</v>
      </c>
      <c r="E205" s="7" t="s">
        <v>252</v>
      </c>
      <c r="F205" s="7" t="s">
        <v>248</v>
      </c>
      <c r="G205" s="35"/>
      <c r="H205" s="35"/>
      <c r="I205" s="47"/>
      <c r="J205" s="35" t="s">
        <v>34</v>
      </c>
      <c r="K205" s="53" t="s">
        <v>210</v>
      </c>
      <c r="L205" s="35">
        <v>449</v>
      </c>
      <c r="M205" s="35">
        <v>31</v>
      </c>
      <c r="N205" s="35">
        <v>20</v>
      </c>
      <c r="O205" s="35">
        <v>0</v>
      </c>
      <c r="P205" s="35">
        <v>0</v>
      </c>
      <c r="Q205" s="37">
        <f t="shared" si="37"/>
        <v>6.9042316258351888E-2</v>
      </c>
      <c r="R205" s="37">
        <f t="shared" si="38"/>
        <v>0.64516129032258063</v>
      </c>
      <c r="S205" s="35"/>
      <c r="T205" s="35"/>
      <c r="U205" s="35"/>
      <c r="V205" s="35"/>
      <c r="W205" s="35"/>
    </row>
    <row r="206" spans="1:23" ht="3.6" customHeight="1">
      <c r="A206" s="43">
        <v>46134</v>
      </c>
      <c r="B206" s="54" t="s">
        <v>124</v>
      </c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5"/>
      <c r="R206" s="55"/>
      <c r="S206" s="54"/>
      <c r="T206" s="54"/>
      <c r="U206" s="54"/>
      <c r="V206" s="54"/>
      <c r="W206" s="54"/>
    </row>
    <row r="207" spans="1:23">
      <c r="A207" s="6">
        <v>46134</v>
      </c>
      <c r="B207" s="39" t="s">
        <v>124</v>
      </c>
      <c r="C207" s="40"/>
      <c r="D207" s="40" t="s">
        <v>108</v>
      </c>
      <c r="E207" s="40" t="s">
        <v>116</v>
      </c>
      <c r="F207" s="40" t="s">
        <v>115</v>
      </c>
      <c r="G207" s="40"/>
      <c r="H207" s="40"/>
      <c r="I207" s="41"/>
      <c r="J207" s="40" t="s">
        <v>35</v>
      </c>
      <c r="K207" s="40" t="s">
        <v>106</v>
      </c>
      <c r="L207" s="39">
        <v>104</v>
      </c>
      <c r="M207" s="39">
        <v>4</v>
      </c>
      <c r="N207" s="39">
        <v>1</v>
      </c>
      <c r="O207" s="39">
        <v>0</v>
      </c>
      <c r="P207" s="39">
        <v>0</v>
      </c>
      <c r="Q207" s="42">
        <f t="shared" ref="Q207:Q218" si="41">M207/L207</f>
        <v>3.8461538461538464E-2</v>
      </c>
      <c r="R207" s="42">
        <f t="shared" ref="R207:R218" si="42">N207/M207</f>
        <v>0.25</v>
      </c>
      <c r="S207" s="39"/>
      <c r="T207" s="39"/>
      <c r="U207" s="39"/>
      <c r="V207" s="39"/>
      <c r="W207" s="39"/>
    </row>
    <row r="208" spans="1:23">
      <c r="A208" s="6">
        <v>46134</v>
      </c>
      <c r="B208" s="7" t="s">
        <v>124</v>
      </c>
      <c r="C208" s="18"/>
      <c r="D208" s="18" t="s">
        <v>155</v>
      </c>
      <c r="E208" s="18" t="s">
        <v>116</v>
      </c>
      <c r="F208" s="18" t="s">
        <v>156</v>
      </c>
      <c r="G208" s="18"/>
      <c r="H208" s="18"/>
      <c r="I208" s="30"/>
      <c r="J208" s="18" t="s">
        <v>35</v>
      </c>
      <c r="K208" s="18" t="s">
        <v>157</v>
      </c>
      <c r="L208" s="7">
        <v>16</v>
      </c>
      <c r="M208" s="7">
        <v>2</v>
      </c>
      <c r="N208" s="7">
        <v>1</v>
      </c>
      <c r="O208" s="7">
        <v>0</v>
      </c>
      <c r="P208" s="7">
        <v>0</v>
      </c>
      <c r="Q208" s="32">
        <f t="shared" si="41"/>
        <v>0.125</v>
      </c>
      <c r="R208" s="32">
        <f t="shared" si="42"/>
        <v>0.5</v>
      </c>
      <c r="S208" s="7"/>
      <c r="T208" s="7"/>
      <c r="U208" s="7"/>
      <c r="V208" s="7"/>
      <c r="W208" s="7"/>
    </row>
    <row r="209" spans="1:27">
      <c r="A209" s="6">
        <v>46134</v>
      </c>
      <c r="B209" s="7" t="s">
        <v>124</v>
      </c>
      <c r="C209" s="18"/>
      <c r="D209" s="18" t="s">
        <v>158</v>
      </c>
      <c r="E209" s="18" t="s">
        <v>116</v>
      </c>
      <c r="F209" s="18" t="s">
        <v>159</v>
      </c>
      <c r="G209" s="18"/>
      <c r="H209" s="18"/>
      <c r="I209" s="30"/>
      <c r="J209" s="18" t="s">
        <v>35</v>
      </c>
      <c r="K209" s="18" t="s">
        <v>149</v>
      </c>
      <c r="L209" s="7">
        <v>9</v>
      </c>
      <c r="M209" s="7">
        <v>3</v>
      </c>
      <c r="N209" s="7">
        <v>0</v>
      </c>
      <c r="O209" s="7">
        <v>0</v>
      </c>
      <c r="P209" s="7">
        <v>0</v>
      </c>
      <c r="Q209" s="32">
        <f t="shared" si="41"/>
        <v>0.33333333333333331</v>
      </c>
      <c r="R209" s="32">
        <f t="shared" si="42"/>
        <v>0</v>
      </c>
      <c r="S209" s="7"/>
      <c r="T209" s="7"/>
      <c r="U209" s="7"/>
      <c r="V209" s="7"/>
      <c r="W209" s="7"/>
    </row>
    <row r="210" spans="1:27">
      <c r="A210" s="6">
        <v>46134</v>
      </c>
      <c r="B210" s="7" t="s">
        <v>124</v>
      </c>
      <c r="C210" s="18"/>
      <c r="D210" s="18" t="s">
        <v>189</v>
      </c>
      <c r="E210" s="18" t="s">
        <v>116</v>
      </c>
      <c r="F210" s="18"/>
      <c r="G210" s="18"/>
      <c r="H210" s="18"/>
      <c r="I210" s="30"/>
      <c r="J210" s="18" t="s">
        <v>35</v>
      </c>
      <c r="K210" s="18" t="s">
        <v>186</v>
      </c>
      <c r="L210" s="7">
        <v>1247</v>
      </c>
      <c r="M210" s="7">
        <v>5</v>
      </c>
      <c r="N210" s="7">
        <v>0</v>
      </c>
      <c r="O210" s="7">
        <v>0</v>
      </c>
      <c r="P210" s="7">
        <v>1</v>
      </c>
      <c r="Q210" s="32">
        <f t="shared" si="41"/>
        <v>4.0096230954290296E-3</v>
      </c>
      <c r="R210" s="32">
        <f t="shared" si="42"/>
        <v>0</v>
      </c>
      <c r="S210" s="7"/>
      <c r="T210" s="7"/>
      <c r="U210" s="7"/>
      <c r="V210" s="7"/>
      <c r="W210" s="7"/>
    </row>
    <row r="211" spans="1:27">
      <c r="A211" s="6">
        <v>46134</v>
      </c>
      <c r="B211" s="7" t="s">
        <v>124</v>
      </c>
      <c r="C211" s="7"/>
      <c r="D211" s="7" t="s">
        <v>400</v>
      </c>
      <c r="E211" s="7" t="s">
        <v>253</v>
      </c>
      <c r="F211" s="7"/>
      <c r="G211" s="7"/>
      <c r="H211" s="7"/>
      <c r="I211" s="14" t="s">
        <v>67</v>
      </c>
      <c r="J211" s="7" t="s">
        <v>35</v>
      </c>
      <c r="K211" s="7" t="s">
        <v>170</v>
      </c>
      <c r="L211" s="7">
        <v>1499</v>
      </c>
      <c r="M211" s="7">
        <v>1388</v>
      </c>
      <c r="N211" s="7">
        <v>887</v>
      </c>
      <c r="O211" s="7">
        <v>0</v>
      </c>
      <c r="P211" s="7">
        <v>1</v>
      </c>
      <c r="Q211" s="32">
        <f t="shared" si="41"/>
        <v>0.92595063375583719</v>
      </c>
      <c r="R211" s="32">
        <f t="shared" si="42"/>
        <v>0.63904899135446691</v>
      </c>
      <c r="S211" s="7"/>
      <c r="T211" s="7"/>
      <c r="U211" s="7"/>
      <c r="V211" s="7"/>
      <c r="W211" s="7"/>
    </row>
    <row r="212" spans="1:27">
      <c r="A212" s="6">
        <v>46134</v>
      </c>
      <c r="B212" s="7" t="s">
        <v>124</v>
      </c>
      <c r="C212" s="7"/>
      <c r="D212" s="65" t="s">
        <v>291</v>
      </c>
      <c r="E212" s="7" t="s">
        <v>253</v>
      </c>
      <c r="F212" s="7"/>
      <c r="G212" s="7"/>
      <c r="H212" s="7"/>
      <c r="I212" s="47"/>
      <c r="J212" s="7" t="s">
        <v>35</v>
      </c>
      <c r="K212" s="7" t="s">
        <v>170</v>
      </c>
      <c r="L212" s="7">
        <v>462</v>
      </c>
      <c r="M212" s="7">
        <v>421</v>
      </c>
      <c r="N212" s="7">
        <v>275</v>
      </c>
      <c r="O212" s="7">
        <v>0</v>
      </c>
      <c r="P212" s="7">
        <v>0</v>
      </c>
      <c r="Q212" s="32">
        <f t="shared" si="41"/>
        <v>0.91125541125541121</v>
      </c>
      <c r="R212" s="32">
        <f t="shared" si="42"/>
        <v>0.65320665083135387</v>
      </c>
      <c r="S212" s="7"/>
      <c r="T212" s="7"/>
      <c r="U212" s="7"/>
      <c r="V212" s="7"/>
      <c r="W212" s="7"/>
    </row>
    <row r="213" spans="1:27">
      <c r="A213" s="6">
        <v>46134</v>
      </c>
      <c r="B213" s="7" t="s">
        <v>124</v>
      </c>
      <c r="C213" s="7"/>
      <c r="D213" s="65" t="s">
        <v>332</v>
      </c>
      <c r="E213" s="7" t="s">
        <v>253</v>
      </c>
      <c r="F213" s="7"/>
      <c r="G213" s="7"/>
      <c r="H213" s="7"/>
      <c r="I213" s="47" t="s">
        <v>326</v>
      </c>
      <c r="J213" s="7" t="s">
        <v>35</v>
      </c>
      <c r="K213" s="7" t="s">
        <v>170</v>
      </c>
      <c r="L213" s="7">
        <v>475</v>
      </c>
      <c r="M213" s="7">
        <v>430</v>
      </c>
      <c r="N213" s="7">
        <v>279</v>
      </c>
      <c r="O213" s="7">
        <v>0</v>
      </c>
      <c r="P213" s="7">
        <v>1</v>
      </c>
      <c r="Q213" s="32">
        <f t="shared" si="41"/>
        <v>0.90526315789473688</v>
      </c>
      <c r="R213" s="32">
        <f t="shared" si="42"/>
        <v>0.64883720930232558</v>
      </c>
      <c r="S213" s="7"/>
      <c r="T213" s="7"/>
      <c r="U213" s="7"/>
      <c r="V213" s="7"/>
      <c r="W213" s="7"/>
    </row>
    <row r="214" spans="1:27">
      <c r="A214" s="6">
        <v>46134</v>
      </c>
      <c r="B214" s="7" t="s">
        <v>124</v>
      </c>
      <c r="C214" s="62">
        <v>0.85416666666666663</v>
      </c>
      <c r="D214" s="31" t="s">
        <v>405</v>
      </c>
      <c r="E214" s="7" t="s">
        <v>253</v>
      </c>
      <c r="F214" s="7" t="s">
        <v>161</v>
      </c>
      <c r="G214" s="7" t="s">
        <v>85</v>
      </c>
      <c r="H214" s="7"/>
      <c r="I214" s="47"/>
      <c r="J214" s="7" t="s">
        <v>35</v>
      </c>
      <c r="K214" s="7" t="s">
        <v>149</v>
      </c>
      <c r="L214" s="7">
        <v>150</v>
      </c>
      <c r="M214" s="7">
        <v>28</v>
      </c>
      <c r="N214" s="7">
        <v>5</v>
      </c>
      <c r="O214" s="7">
        <v>1</v>
      </c>
      <c r="P214" s="7">
        <v>0</v>
      </c>
      <c r="Q214" s="32">
        <f t="shared" si="41"/>
        <v>0.18666666666666668</v>
      </c>
      <c r="R214" s="32">
        <f t="shared" si="42"/>
        <v>0.17857142857142858</v>
      </c>
      <c r="S214" s="7"/>
      <c r="T214" s="7"/>
      <c r="U214" s="7"/>
      <c r="V214" s="7"/>
      <c r="W214" s="7"/>
    </row>
    <row r="215" spans="1:27" ht="16.8">
      <c r="A215" s="6">
        <v>46134</v>
      </c>
      <c r="B215" s="7" t="s">
        <v>124</v>
      </c>
      <c r="C215" s="62">
        <v>0.875</v>
      </c>
      <c r="D215" s="31" t="s">
        <v>406</v>
      </c>
      <c r="E215" s="7" t="s">
        <v>253</v>
      </c>
      <c r="F215" s="7" t="s">
        <v>247</v>
      </c>
      <c r="G215" s="7"/>
      <c r="H215" s="7"/>
      <c r="I215" s="47"/>
      <c r="J215" s="7" t="s">
        <v>35</v>
      </c>
      <c r="K215" s="52" t="s">
        <v>157</v>
      </c>
      <c r="L215" s="7">
        <v>202</v>
      </c>
      <c r="M215" s="7">
        <v>40</v>
      </c>
      <c r="N215" s="7">
        <v>10</v>
      </c>
      <c r="O215" s="7">
        <v>1</v>
      </c>
      <c r="P215" s="7">
        <v>0</v>
      </c>
      <c r="Q215" s="32">
        <f t="shared" si="41"/>
        <v>0.19801980198019803</v>
      </c>
      <c r="R215" s="32">
        <f t="shared" si="42"/>
        <v>0.25</v>
      </c>
      <c r="S215" s="7"/>
      <c r="T215" s="7"/>
      <c r="U215" s="7"/>
      <c r="V215" s="7"/>
      <c r="W215" s="7"/>
    </row>
    <row r="216" spans="1:27" ht="16.8">
      <c r="A216" s="6">
        <v>46134</v>
      </c>
      <c r="B216" s="7" t="s">
        <v>124</v>
      </c>
      <c r="C216" s="62">
        <v>0.97916666666666663</v>
      </c>
      <c r="D216" s="31" t="s">
        <v>422</v>
      </c>
      <c r="E216" s="31" t="s">
        <v>253</v>
      </c>
      <c r="F216" s="31" t="s">
        <v>342</v>
      </c>
      <c r="G216" s="7"/>
      <c r="H216" s="7"/>
      <c r="I216" s="47" t="s">
        <v>419</v>
      </c>
      <c r="J216" s="7" t="s">
        <v>35</v>
      </c>
      <c r="K216" s="52" t="s">
        <v>420</v>
      </c>
      <c r="L216" s="7">
        <v>126</v>
      </c>
      <c r="M216" s="7">
        <v>20</v>
      </c>
      <c r="N216" s="7">
        <v>5</v>
      </c>
      <c r="O216" s="7">
        <v>0</v>
      </c>
      <c r="P216" s="7">
        <v>0</v>
      </c>
      <c r="Q216" s="32">
        <f t="shared" ref="Q216" si="43">M216/L216</f>
        <v>0.15873015873015872</v>
      </c>
      <c r="R216" s="32">
        <f t="shared" ref="R216" si="44">N216/M216</f>
        <v>0.25</v>
      </c>
      <c r="S216" s="7"/>
      <c r="T216" s="7"/>
      <c r="U216" s="7"/>
      <c r="V216" s="7"/>
      <c r="W216" s="7"/>
    </row>
    <row r="217" spans="1:27">
      <c r="A217" s="6">
        <v>46134</v>
      </c>
      <c r="B217" s="7" t="s">
        <v>124</v>
      </c>
      <c r="C217" s="62">
        <v>0.91666666666666663</v>
      </c>
      <c r="D217" s="31" t="s">
        <v>407</v>
      </c>
      <c r="E217" s="7" t="s">
        <v>253</v>
      </c>
      <c r="F217" s="7" t="s">
        <v>161</v>
      </c>
      <c r="G217" s="7" t="s">
        <v>85</v>
      </c>
      <c r="H217" s="7"/>
      <c r="I217" s="47"/>
      <c r="J217" s="7" t="s">
        <v>35</v>
      </c>
      <c r="K217" s="7" t="s">
        <v>121</v>
      </c>
      <c r="L217" s="7">
        <v>227</v>
      </c>
      <c r="M217" s="7">
        <v>23</v>
      </c>
      <c r="N217" s="7">
        <v>15</v>
      </c>
      <c r="O217" s="7">
        <v>0</v>
      </c>
      <c r="P217" s="7">
        <v>0</v>
      </c>
      <c r="Q217" s="32">
        <f t="shared" si="41"/>
        <v>0.1013215859030837</v>
      </c>
      <c r="R217" s="32">
        <f t="shared" si="42"/>
        <v>0.65217391304347827</v>
      </c>
      <c r="S217" s="7"/>
      <c r="T217" s="7"/>
      <c r="U217" s="7"/>
      <c r="V217" s="7"/>
      <c r="W217" s="7"/>
    </row>
    <row r="218" spans="1:27" ht="16.8">
      <c r="A218" s="6">
        <v>46134</v>
      </c>
      <c r="B218" s="7" t="s">
        <v>124</v>
      </c>
      <c r="C218" s="62">
        <v>0.96875</v>
      </c>
      <c r="D218" s="31" t="s">
        <v>408</v>
      </c>
      <c r="E218" s="7" t="s">
        <v>253</v>
      </c>
      <c r="F218" s="7" t="s">
        <v>247</v>
      </c>
      <c r="G218" s="7"/>
      <c r="H218" s="7"/>
      <c r="I218" s="47"/>
      <c r="J218" s="7" t="s">
        <v>34</v>
      </c>
      <c r="K218" s="52" t="s">
        <v>210</v>
      </c>
      <c r="L218" s="7">
        <v>479</v>
      </c>
      <c r="M218" s="7">
        <v>30</v>
      </c>
      <c r="N218" s="7">
        <v>21</v>
      </c>
      <c r="O218" s="7">
        <v>1</v>
      </c>
      <c r="P218" s="7">
        <v>0</v>
      </c>
      <c r="Q218" s="32">
        <f t="shared" si="41"/>
        <v>6.2630480167014613E-2</v>
      </c>
      <c r="R218" s="32">
        <f t="shared" si="42"/>
        <v>0.7</v>
      </c>
      <c r="S218" s="7"/>
      <c r="T218" s="7"/>
      <c r="U218" s="7"/>
      <c r="V218" s="7"/>
      <c r="W218" s="7"/>
    </row>
    <row r="219" spans="1:27" ht="6.6" customHeight="1">
      <c r="A219" s="22"/>
      <c r="B219" s="23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5"/>
      <c r="R219" s="25"/>
      <c r="S219" s="24"/>
      <c r="T219" s="24"/>
      <c r="U219" s="24"/>
      <c r="V219" s="25"/>
      <c r="W219" s="26"/>
    </row>
    <row r="220" spans="1:27">
      <c r="A220" s="6">
        <v>46135</v>
      </c>
      <c r="B220" s="7" t="s">
        <v>166</v>
      </c>
      <c r="C220" s="18"/>
      <c r="D220" s="18" t="s">
        <v>185</v>
      </c>
      <c r="E220" s="18" t="s">
        <v>109</v>
      </c>
      <c r="F220" s="18" t="s">
        <v>110</v>
      </c>
      <c r="G220" s="18"/>
      <c r="H220" s="18" t="s">
        <v>106</v>
      </c>
      <c r="I220" s="30"/>
      <c r="J220" s="18" t="s">
        <v>34</v>
      </c>
      <c r="K220" s="18" t="s">
        <v>106</v>
      </c>
      <c r="L220" s="7">
        <v>340</v>
      </c>
      <c r="M220" s="7">
        <v>9</v>
      </c>
      <c r="N220" s="7">
        <v>2</v>
      </c>
      <c r="O220" s="7">
        <v>0</v>
      </c>
      <c r="P220" s="7">
        <v>1</v>
      </c>
      <c r="Q220" s="69">
        <f t="shared" ref="Q220:Q232" si="45">M220/L220</f>
        <v>2.6470588235294117E-2</v>
      </c>
      <c r="R220" s="69">
        <f t="shared" ref="R220:R232" si="46">N220/M220</f>
        <v>0.22222222222222221</v>
      </c>
      <c r="S220" s="7"/>
      <c r="T220" s="7"/>
      <c r="U220" s="7"/>
      <c r="V220" s="7"/>
      <c r="W220" s="7"/>
    </row>
    <row r="221" spans="1:27">
      <c r="A221" s="6">
        <v>46135</v>
      </c>
      <c r="B221" s="7" t="s">
        <v>166</v>
      </c>
      <c r="C221" s="18"/>
      <c r="D221" s="18" t="s">
        <v>144</v>
      </c>
      <c r="E221" s="18" t="s">
        <v>252</v>
      </c>
      <c r="F221" s="18" t="s">
        <v>145</v>
      </c>
      <c r="G221" s="18"/>
      <c r="H221" s="18" t="s">
        <v>157</v>
      </c>
      <c r="I221" s="30"/>
      <c r="J221" s="18" t="s">
        <v>34</v>
      </c>
      <c r="K221" s="18" t="s">
        <v>157</v>
      </c>
      <c r="L221" s="7">
        <v>131</v>
      </c>
      <c r="M221" s="7">
        <v>55</v>
      </c>
      <c r="N221" s="7">
        <v>13</v>
      </c>
      <c r="O221" s="7">
        <v>9</v>
      </c>
      <c r="P221" s="7">
        <v>0</v>
      </c>
      <c r="Q221" s="69">
        <f t="shared" si="45"/>
        <v>0.41984732824427479</v>
      </c>
      <c r="R221" s="69">
        <f t="shared" si="46"/>
        <v>0.23636363636363636</v>
      </c>
      <c r="S221" s="7"/>
      <c r="T221" s="7"/>
      <c r="U221" s="7"/>
      <c r="V221" s="7"/>
      <c r="W221" s="7"/>
    </row>
    <row r="222" spans="1:27">
      <c r="A222" s="6">
        <v>46135</v>
      </c>
      <c r="B222" s="7" t="s">
        <v>166</v>
      </c>
      <c r="C222" s="18"/>
      <c r="D222" s="18" t="s">
        <v>146</v>
      </c>
      <c r="E222" s="18" t="s">
        <v>109</v>
      </c>
      <c r="F222" s="18" t="s">
        <v>147</v>
      </c>
      <c r="G222" s="18"/>
      <c r="H222" s="18" t="s">
        <v>149</v>
      </c>
      <c r="I222" s="30"/>
      <c r="J222" s="18" t="s">
        <v>34</v>
      </c>
      <c r="K222" s="18" t="s">
        <v>149</v>
      </c>
      <c r="L222" s="7">
        <v>48</v>
      </c>
      <c r="M222" s="7">
        <v>26</v>
      </c>
      <c r="N222" s="7">
        <v>13</v>
      </c>
      <c r="O222" s="7">
        <v>5</v>
      </c>
      <c r="P222" s="7">
        <v>0</v>
      </c>
      <c r="Q222" s="69">
        <f t="shared" si="45"/>
        <v>0.54166666666666663</v>
      </c>
      <c r="R222" s="69">
        <f t="shared" si="46"/>
        <v>0.5</v>
      </c>
      <c r="S222" s="7"/>
      <c r="T222" s="7"/>
      <c r="U222" s="7"/>
      <c r="V222" s="7"/>
      <c r="W222" s="7"/>
    </row>
    <row r="223" spans="1:27">
      <c r="A223" s="6">
        <v>46135</v>
      </c>
      <c r="B223" s="7" t="s">
        <v>166</v>
      </c>
      <c r="C223" s="18"/>
      <c r="D223" s="18" t="s">
        <v>187</v>
      </c>
      <c r="E223" s="18" t="s">
        <v>109</v>
      </c>
      <c r="F223" s="18" t="s">
        <v>188</v>
      </c>
      <c r="G223" s="18"/>
      <c r="H223" s="18" t="s">
        <v>186</v>
      </c>
      <c r="I223" s="30"/>
      <c r="J223" s="18" t="s">
        <v>34</v>
      </c>
      <c r="K223" s="18" t="s">
        <v>186</v>
      </c>
      <c r="L223" s="7">
        <v>1277</v>
      </c>
      <c r="M223" s="7">
        <v>4</v>
      </c>
      <c r="N223" s="7">
        <v>2</v>
      </c>
      <c r="O223" s="7">
        <v>0</v>
      </c>
      <c r="P223" s="7">
        <v>1</v>
      </c>
      <c r="Q223" s="69">
        <f t="shared" si="45"/>
        <v>3.1323414252153485E-3</v>
      </c>
      <c r="R223" s="69">
        <f t="shared" si="46"/>
        <v>0.5</v>
      </c>
      <c r="S223" s="7"/>
      <c r="T223" s="7"/>
      <c r="U223" s="7"/>
      <c r="V223" s="7"/>
      <c r="W223" s="7"/>
      <c r="Y223">
        <v>1277</v>
      </c>
      <c r="Z223">
        <v>4</v>
      </c>
      <c r="AA223">
        <v>2</v>
      </c>
    </row>
    <row r="224" spans="1:27">
      <c r="A224" s="6">
        <v>46135</v>
      </c>
      <c r="B224" s="7" t="s">
        <v>166</v>
      </c>
      <c r="C224" s="7"/>
      <c r="D224" s="51" t="s">
        <v>399</v>
      </c>
      <c r="E224" s="7" t="s">
        <v>252</v>
      </c>
      <c r="F224" s="7"/>
      <c r="G224" s="7"/>
      <c r="H224" s="7" t="s">
        <v>170</v>
      </c>
      <c r="I224" s="14" t="s">
        <v>67</v>
      </c>
      <c r="J224" s="7" t="s">
        <v>34</v>
      </c>
      <c r="K224" s="7" t="s">
        <v>170</v>
      </c>
      <c r="L224" s="7"/>
      <c r="M224" s="7"/>
      <c r="N224" s="7"/>
      <c r="O224" s="7"/>
      <c r="P224" s="7"/>
      <c r="Q224" s="69" t="e">
        <f t="shared" si="45"/>
        <v>#DIV/0!</v>
      </c>
      <c r="R224" s="69" t="e">
        <f t="shared" si="46"/>
        <v>#DIV/0!</v>
      </c>
      <c r="S224" s="7"/>
      <c r="T224" s="7"/>
      <c r="U224" s="7"/>
      <c r="V224" s="7"/>
      <c r="W224" s="7"/>
      <c r="Y224">
        <v>760</v>
      </c>
      <c r="Z224">
        <v>57</v>
      </c>
      <c r="AA224">
        <v>32</v>
      </c>
    </row>
    <row r="225" spans="1:27">
      <c r="A225" s="6">
        <v>46135</v>
      </c>
      <c r="B225" s="7" t="s">
        <v>166</v>
      </c>
      <c r="C225" s="7"/>
      <c r="D225" s="90" t="s">
        <v>289</v>
      </c>
      <c r="E225" s="7" t="s">
        <v>252</v>
      </c>
      <c r="F225" s="7"/>
      <c r="G225" s="7"/>
      <c r="H225" s="7" t="s">
        <v>170</v>
      </c>
      <c r="I225" s="84" t="s">
        <v>452</v>
      </c>
      <c r="J225" s="7" t="s">
        <v>34</v>
      </c>
      <c r="K225" s="7" t="s">
        <v>170</v>
      </c>
      <c r="L225" s="7"/>
      <c r="M225" s="7"/>
      <c r="N225" s="7"/>
      <c r="O225" s="7"/>
      <c r="P225" s="7"/>
      <c r="Q225" s="69" t="e">
        <f t="shared" si="45"/>
        <v>#DIV/0!</v>
      </c>
      <c r="R225" s="69" t="e">
        <f t="shared" si="46"/>
        <v>#DIV/0!</v>
      </c>
      <c r="S225" s="7"/>
      <c r="T225" s="7"/>
      <c r="U225" s="7"/>
      <c r="V225" s="7"/>
      <c r="W225" s="7"/>
      <c r="Y225">
        <v>1272</v>
      </c>
      <c r="Z225">
        <v>9</v>
      </c>
      <c r="AA225">
        <v>1</v>
      </c>
    </row>
    <row r="226" spans="1:27">
      <c r="A226" s="6">
        <v>46135</v>
      </c>
      <c r="B226" s="7" t="s">
        <v>166</v>
      </c>
      <c r="C226" s="7"/>
      <c r="D226" s="90" t="s">
        <v>289</v>
      </c>
      <c r="E226" s="7" t="s">
        <v>252</v>
      </c>
      <c r="F226" s="7"/>
      <c r="G226" s="7"/>
      <c r="H226" s="7" t="s">
        <v>170</v>
      </c>
      <c r="I226" s="84" t="s">
        <v>453</v>
      </c>
      <c r="J226" s="7" t="s">
        <v>34</v>
      </c>
      <c r="K226" s="7" t="s">
        <v>170</v>
      </c>
      <c r="L226" s="7"/>
      <c r="M226" s="7"/>
      <c r="N226" s="7"/>
      <c r="O226" s="7"/>
      <c r="P226" s="7"/>
      <c r="Q226" s="69" t="e">
        <f t="shared" ref="Q226" si="47">M226/L226</f>
        <v>#DIV/0!</v>
      </c>
      <c r="R226" s="69" t="e">
        <f t="shared" ref="R226" si="48">N226/M226</f>
        <v>#DIV/0!</v>
      </c>
      <c r="S226" s="7"/>
      <c r="T226" s="7"/>
      <c r="U226" s="7"/>
      <c r="V226" s="7"/>
      <c r="W226" s="7"/>
      <c r="Y226">
        <v>803</v>
      </c>
      <c r="Z226">
        <v>57</v>
      </c>
      <c r="AA226">
        <v>31</v>
      </c>
    </row>
    <row r="227" spans="1:27">
      <c r="A227" s="6">
        <v>46135</v>
      </c>
      <c r="B227" s="7" t="s">
        <v>166</v>
      </c>
      <c r="C227" s="7"/>
      <c r="D227" s="65" t="s">
        <v>328</v>
      </c>
      <c r="E227" s="7" t="s">
        <v>252</v>
      </c>
      <c r="F227" s="7"/>
      <c r="G227" s="7"/>
      <c r="H227" s="7" t="s">
        <v>170</v>
      </c>
      <c r="I227" s="47"/>
      <c r="J227" s="7" t="s">
        <v>34</v>
      </c>
      <c r="K227" s="7" t="s">
        <v>170</v>
      </c>
      <c r="L227" s="7">
        <v>468</v>
      </c>
      <c r="M227" s="7">
        <v>444</v>
      </c>
      <c r="N227" s="7">
        <v>334</v>
      </c>
      <c r="O227" s="7">
        <v>0</v>
      </c>
      <c r="P227" s="7">
        <v>1</v>
      </c>
      <c r="Q227" s="69">
        <f t="shared" si="45"/>
        <v>0.94871794871794868</v>
      </c>
      <c r="R227" s="69">
        <f t="shared" si="46"/>
        <v>0.75225225225225223</v>
      </c>
      <c r="S227" s="7"/>
      <c r="T227" s="7"/>
      <c r="U227" s="7"/>
      <c r="V227" s="7"/>
      <c r="W227" s="7"/>
      <c r="Y227">
        <f>SUM(Y223:Y226)</f>
        <v>4112</v>
      </c>
      <c r="Z227">
        <f>SUM(Z223:Z226)</f>
        <v>127</v>
      </c>
      <c r="AA227">
        <f>SUM(AA223:AA226)</f>
        <v>66</v>
      </c>
    </row>
    <row r="228" spans="1:27">
      <c r="A228" s="6">
        <v>46135</v>
      </c>
      <c r="B228" s="7" t="s">
        <v>166</v>
      </c>
      <c r="C228" s="62">
        <v>0.9375</v>
      </c>
      <c r="D228" s="77" t="s">
        <v>481</v>
      </c>
      <c r="E228" s="7" t="s">
        <v>252</v>
      </c>
      <c r="F228" s="77" t="s">
        <v>428</v>
      </c>
      <c r="G228" s="7"/>
      <c r="H228" s="7" t="s">
        <v>149</v>
      </c>
      <c r="I228" s="47"/>
      <c r="J228" s="7" t="s">
        <v>34</v>
      </c>
      <c r="K228" s="7" t="s">
        <v>149</v>
      </c>
      <c r="L228" s="7">
        <v>155</v>
      </c>
      <c r="M228" s="7">
        <v>23</v>
      </c>
      <c r="N228" s="7">
        <v>4</v>
      </c>
      <c r="O228" s="7">
        <v>0</v>
      </c>
      <c r="P228" s="7">
        <v>0</v>
      </c>
      <c r="Q228" s="69">
        <f t="shared" si="45"/>
        <v>0.14838709677419354</v>
      </c>
      <c r="R228" s="69">
        <f t="shared" si="46"/>
        <v>0.17391304347826086</v>
      </c>
      <c r="S228" s="7"/>
      <c r="T228" s="7"/>
      <c r="U228" s="7"/>
      <c r="V228" s="7"/>
      <c r="W228" s="7"/>
    </row>
    <row r="229" spans="1:27" ht="16.8">
      <c r="A229" s="6">
        <v>46135</v>
      </c>
      <c r="B229" s="7" t="s">
        <v>166</v>
      </c>
      <c r="C229" s="62">
        <v>0.95833333333333337</v>
      </c>
      <c r="D229" s="77" t="s">
        <v>491</v>
      </c>
      <c r="E229" s="7" t="s">
        <v>252</v>
      </c>
      <c r="F229" s="77" t="s">
        <v>430</v>
      </c>
      <c r="G229" s="7"/>
      <c r="H229" s="52" t="s">
        <v>157</v>
      </c>
      <c r="I229" s="47"/>
      <c r="J229" s="7" t="s">
        <v>34</v>
      </c>
      <c r="K229" s="52" t="s">
        <v>157</v>
      </c>
      <c r="L229" s="7">
        <v>230</v>
      </c>
      <c r="M229" s="7">
        <v>46</v>
      </c>
      <c r="N229" s="7">
        <v>5</v>
      </c>
      <c r="O229" s="7">
        <v>2</v>
      </c>
      <c r="P229" s="7">
        <v>0</v>
      </c>
      <c r="Q229" s="69">
        <f t="shared" si="45"/>
        <v>0.2</v>
      </c>
      <c r="R229" s="69">
        <f t="shared" si="46"/>
        <v>0.10869565217391304</v>
      </c>
      <c r="S229" s="7"/>
      <c r="T229" s="7"/>
      <c r="U229" s="7"/>
      <c r="V229" s="7"/>
      <c r="W229" s="7"/>
    </row>
    <row r="230" spans="1:27" ht="16.8">
      <c r="A230" s="6">
        <v>46135</v>
      </c>
      <c r="B230" s="7" t="s">
        <v>166</v>
      </c>
      <c r="C230" s="62">
        <v>0.82291666666666663</v>
      </c>
      <c r="D230" s="77" t="s">
        <v>492</v>
      </c>
      <c r="E230" s="7" t="s">
        <v>252</v>
      </c>
      <c r="F230" s="77" t="s">
        <v>432</v>
      </c>
      <c r="G230" s="7"/>
      <c r="H230" s="52" t="s">
        <v>420</v>
      </c>
      <c r="I230" s="47"/>
      <c r="J230" s="7" t="s">
        <v>34</v>
      </c>
      <c r="K230" s="52" t="s">
        <v>420</v>
      </c>
      <c r="L230" s="7">
        <v>131</v>
      </c>
      <c r="M230" s="7">
        <v>25</v>
      </c>
      <c r="N230" s="7">
        <v>3</v>
      </c>
      <c r="O230" s="7">
        <v>0</v>
      </c>
      <c r="P230" s="7">
        <v>0</v>
      </c>
      <c r="Q230" s="69">
        <f t="shared" si="45"/>
        <v>0.19083969465648856</v>
      </c>
      <c r="R230" s="69">
        <f t="shared" si="46"/>
        <v>0.12</v>
      </c>
      <c r="S230" s="7"/>
      <c r="T230" s="7"/>
      <c r="U230" s="7"/>
      <c r="V230" s="7"/>
      <c r="W230" s="7"/>
    </row>
    <row r="231" spans="1:27">
      <c r="A231" s="6">
        <v>46135</v>
      </c>
      <c r="B231" s="7" t="s">
        <v>166</v>
      </c>
      <c r="C231" s="62">
        <v>0.79166666666666663</v>
      </c>
      <c r="D231" s="77" t="s">
        <v>493</v>
      </c>
      <c r="E231" s="7" t="s">
        <v>252</v>
      </c>
      <c r="F231" s="77" t="s">
        <v>434</v>
      </c>
      <c r="G231" s="7"/>
      <c r="H231" s="7" t="s">
        <v>121</v>
      </c>
      <c r="I231" s="47"/>
      <c r="J231" s="7" t="s">
        <v>34</v>
      </c>
      <c r="K231" s="7" t="s">
        <v>121</v>
      </c>
      <c r="L231" s="7">
        <v>237</v>
      </c>
      <c r="M231" s="7">
        <v>25</v>
      </c>
      <c r="N231" s="7">
        <v>12</v>
      </c>
      <c r="O231" s="7">
        <v>0</v>
      </c>
      <c r="P231" s="7">
        <v>0</v>
      </c>
      <c r="Q231" s="69">
        <f t="shared" si="45"/>
        <v>0.10548523206751055</v>
      </c>
      <c r="R231" s="69">
        <f t="shared" si="46"/>
        <v>0.48</v>
      </c>
      <c r="S231" s="7"/>
      <c r="T231" s="7"/>
      <c r="U231" s="7"/>
      <c r="V231" s="7"/>
      <c r="W231" s="7"/>
    </row>
    <row r="232" spans="1:27" ht="16.8">
      <c r="A232" s="6">
        <v>46135</v>
      </c>
      <c r="B232" s="7" t="s">
        <v>166</v>
      </c>
      <c r="C232" s="64">
        <v>0.85416666666666663</v>
      </c>
      <c r="D232" s="7" t="s">
        <v>494</v>
      </c>
      <c r="E232" s="7" t="s">
        <v>252</v>
      </c>
      <c r="F232" s="7" t="s">
        <v>410</v>
      </c>
      <c r="G232" s="35"/>
      <c r="H232" s="53" t="s">
        <v>210</v>
      </c>
      <c r="I232" s="47"/>
      <c r="J232" s="35" t="s">
        <v>34</v>
      </c>
      <c r="K232" s="53" t="s">
        <v>210</v>
      </c>
      <c r="L232" s="35">
        <v>523</v>
      </c>
      <c r="M232" s="35">
        <v>32</v>
      </c>
      <c r="N232" s="35">
        <v>20</v>
      </c>
      <c r="O232" s="35">
        <v>0</v>
      </c>
      <c r="P232" s="35">
        <v>0</v>
      </c>
      <c r="Q232" s="94">
        <f t="shared" si="45"/>
        <v>6.1185468451242828E-2</v>
      </c>
      <c r="R232" s="94">
        <f t="shared" si="46"/>
        <v>0.625</v>
      </c>
      <c r="S232" s="35"/>
      <c r="T232" s="35"/>
      <c r="U232" s="35"/>
      <c r="V232" s="35"/>
      <c r="W232" s="35"/>
    </row>
    <row r="233" spans="1:27" ht="16.8">
      <c r="A233" s="85"/>
      <c r="B233" s="86"/>
      <c r="C233" s="91"/>
      <c r="D233" s="92"/>
      <c r="E233" s="86"/>
      <c r="F233" s="86"/>
      <c r="G233" s="86"/>
      <c r="H233" s="86"/>
      <c r="I233" s="86"/>
      <c r="J233" s="86"/>
      <c r="K233" s="93"/>
      <c r="L233" s="86"/>
      <c r="M233" s="86"/>
      <c r="N233" s="86"/>
      <c r="O233" s="86"/>
      <c r="P233" s="86"/>
      <c r="Q233" s="89"/>
      <c r="R233" s="89"/>
      <c r="S233" s="86"/>
      <c r="T233" s="86"/>
      <c r="U233" s="86"/>
      <c r="V233" s="86"/>
      <c r="W233" s="87"/>
    </row>
    <row r="234" spans="1:27">
      <c r="A234" s="6">
        <v>46135</v>
      </c>
      <c r="B234" s="7" t="s">
        <v>166</v>
      </c>
      <c r="C234" s="18"/>
      <c r="D234" s="18" t="s">
        <v>108</v>
      </c>
      <c r="E234" s="18" t="s">
        <v>116</v>
      </c>
      <c r="F234" s="18" t="s">
        <v>115</v>
      </c>
      <c r="G234" s="18"/>
      <c r="H234" s="18" t="s">
        <v>106</v>
      </c>
      <c r="I234" s="14"/>
      <c r="J234" s="18" t="s">
        <v>35</v>
      </c>
      <c r="K234" s="18" t="s">
        <v>106</v>
      </c>
      <c r="L234" s="7">
        <v>341</v>
      </c>
      <c r="M234" s="7">
        <v>8</v>
      </c>
      <c r="N234" s="7">
        <v>2</v>
      </c>
      <c r="O234" s="7">
        <v>1</v>
      </c>
      <c r="P234" s="7">
        <v>1</v>
      </c>
      <c r="Q234" s="69">
        <f t="shared" ref="Q234:Q246" si="49">M234/L234</f>
        <v>2.3460410557184751E-2</v>
      </c>
      <c r="R234" s="69">
        <f t="shared" ref="R234:R246" si="50">N234/M234</f>
        <v>0.25</v>
      </c>
      <c r="S234" s="7"/>
      <c r="T234" s="7"/>
      <c r="U234" s="7"/>
      <c r="V234" s="7"/>
      <c r="W234" s="7"/>
    </row>
    <row r="235" spans="1:27">
      <c r="A235" s="6">
        <v>46135</v>
      </c>
      <c r="B235" s="7" t="s">
        <v>166</v>
      </c>
      <c r="C235" s="18"/>
      <c r="D235" s="18" t="s">
        <v>155</v>
      </c>
      <c r="E235" s="18" t="s">
        <v>116</v>
      </c>
      <c r="F235" s="18" t="s">
        <v>156</v>
      </c>
      <c r="G235" s="18"/>
      <c r="H235" s="18" t="s">
        <v>157</v>
      </c>
      <c r="I235" s="30"/>
      <c r="J235" s="18" t="s">
        <v>35</v>
      </c>
      <c r="K235" s="18" t="s">
        <v>157</v>
      </c>
      <c r="L235" s="7">
        <v>122</v>
      </c>
      <c r="M235" s="7">
        <v>7</v>
      </c>
      <c r="N235" s="7">
        <v>4</v>
      </c>
      <c r="O235" s="7">
        <v>0</v>
      </c>
      <c r="P235" s="7">
        <v>0</v>
      </c>
      <c r="Q235" s="69">
        <f t="shared" si="49"/>
        <v>5.737704918032787E-2</v>
      </c>
      <c r="R235" s="69">
        <f t="shared" si="50"/>
        <v>0.5714285714285714</v>
      </c>
      <c r="S235" s="7"/>
      <c r="T235" s="7"/>
      <c r="U235" s="7"/>
      <c r="V235" s="7"/>
      <c r="W235" s="7"/>
    </row>
    <row r="236" spans="1:27">
      <c r="A236" s="6">
        <v>46135</v>
      </c>
      <c r="B236" s="7" t="s">
        <v>166</v>
      </c>
      <c r="C236" s="18"/>
      <c r="D236" s="18" t="s">
        <v>158</v>
      </c>
      <c r="E236" s="18" t="s">
        <v>116</v>
      </c>
      <c r="F236" s="18" t="s">
        <v>159</v>
      </c>
      <c r="G236" s="18"/>
      <c r="H236" s="18" t="s">
        <v>149</v>
      </c>
      <c r="I236" s="30"/>
      <c r="J236" s="18" t="s">
        <v>35</v>
      </c>
      <c r="K236" s="18" t="s">
        <v>149</v>
      </c>
      <c r="L236" s="7">
        <v>46</v>
      </c>
      <c r="M236" s="7">
        <v>6</v>
      </c>
      <c r="N236" s="7">
        <v>3</v>
      </c>
      <c r="O236" s="7">
        <v>1</v>
      </c>
      <c r="P236" s="7">
        <v>0</v>
      </c>
      <c r="Q236" s="69">
        <f t="shared" si="49"/>
        <v>0.13043478260869565</v>
      </c>
      <c r="R236" s="69">
        <f t="shared" si="50"/>
        <v>0.5</v>
      </c>
      <c r="S236" s="7"/>
      <c r="T236" s="7"/>
      <c r="U236" s="7"/>
      <c r="V236" s="7"/>
      <c r="W236" s="7"/>
    </row>
    <row r="237" spans="1:27">
      <c r="A237" s="6">
        <v>46135</v>
      </c>
      <c r="B237" s="7" t="s">
        <v>166</v>
      </c>
      <c r="C237" s="18"/>
      <c r="D237" s="18" t="s">
        <v>189</v>
      </c>
      <c r="E237" s="18" t="s">
        <v>116</v>
      </c>
      <c r="F237" s="18"/>
      <c r="G237" s="18"/>
      <c r="H237" s="18" t="s">
        <v>186</v>
      </c>
      <c r="I237" s="30"/>
      <c r="J237" s="18" t="s">
        <v>35</v>
      </c>
      <c r="K237" s="18" t="s">
        <v>186</v>
      </c>
      <c r="L237" s="7">
        <v>1272</v>
      </c>
      <c r="M237" s="7">
        <v>9</v>
      </c>
      <c r="N237" s="7">
        <v>1</v>
      </c>
      <c r="O237" s="7">
        <v>0</v>
      </c>
      <c r="P237" s="7">
        <v>1</v>
      </c>
      <c r="Q237" s="69">
        <f t="shared" si="49"/>
        <v>7.0754716981132077E-3</v>
      </c>
      <c r="R237" s="69">
        <f t="shared" si="50"/>
        <v>0.1111111111111111</v>
      </c>
      <c r="S237" s="7"/>
      <c r="T237" s="7"/>
      <c r="U237" s="7"/>
      <c r="V237" s="7"/>
      <c r="W237" s="7"/>
    </row>
    <row r="238" spans="1:27">
      <c r="A238" s="6">
        <v>46135</v>
      </c>
      <c r="B238" s="7" t="s">
        <v>166</v>
      </c>
      <c r="C238" s="7"/>
      <c r="D238" s="51" t="s">
        <v>400</v>
      </c>
      <c r="E238" s="7" t="s">
        <v>253</v>
      </c>
      <c r="F238" s="7"/>
      <c r="G238" s="7"/>
      <c r="H238" s="7" t="s">
        <v>170</v>
      </c>
      <c r="I238" s="14" t="s">
        <v>67</v>
      </c>
      <c r="J238" s="7" t="s">
        <v>35</v>
      </c>
      <c r="K238" s="7" t="s">
        <v>170</v>
      </c>
      <c r="L238" s="7"/>
      <c r="M238" s="7"/>
      <c r="N238" s="7"/>
      <c r="O238" s="7"/>
      <c r="P238" s="7"/>
      <c r="Q238" s="69" t="e">
        <f t="shared" si="49"/>
        <v>#DIV/0!</v>
      </c>
      <c r="R238" s="69" t="e">
        <f t="shared" si="50"/>
        <v>#DIV/0!</v>
      </c>
      <c r="S238" s="7"/>
      <c r="T238" s="7"/>
      <c r="U238" s="7"/>
      <c r="V238" s="7"/>
      <c r="W238" s="7"/>
    </row>
    <row r="239" spans="1:27">
      <c r="A239" s="6">
        <v>46135</v>
      </c>
      <c r="B239" s="7" t="s">
        <v>166</v>
      </c>
      <c r="C239" s="7"/>
      <c r="D239" s="90" t="s">
        <v>291</v>
      </c>
      <c r="E239" s="7" t="s">
        <v>253</v>
      </c>
      <c r="F239" s="7"/>
      <c r="G239" s="7"/>
      <c r="H239" s="7" t="s">
        <v>170</v>
      </c>
      <c r="I239" s="84" t="s">
        <v>454</v>
      </c>
      <c r="J239" s="7" t="s">
        <v>35</v>
      </c>
      <c r="K239" s="7" t="s">
        <v>170</v>
      </c>
      <c r="L239" s="7"/>
      <c r="M239" s="7"/>
      <c r="N239" s="7"/>
      <c r="O239" s="7"/>
      <c r="P239" s="7"/>
      <c r="Q239" s="69" t="e">
        <f t="shared" si="49"/>
        <v>#DIV/0!</v>
      </c>
      <c r="R239" s="69" t="e">
        <f t="shared" si="50"/>
        <v>#DIV/0!</v>
      </c>
      <c r="S239" s="7"/>
      <c r="T239" s="7"/>
      <c r="U239" s="7"/>
      <c r="V239" s="7"/>
      <c r="W239" s="7"/>
    </row>
    <row r="240" spans="1:27">
      <c r="A240" s="6">
        <v>46135</v>
      </c>
      <c r="B240" s="7" t="s">
        <v>166</v>
      </c>
      <c r="C240" s="7"/>
      <c r="D240" s="90" t="s">
        <v>291</v>
      </c>
      <c r="E240" s="7" t="s">
        <v>253</v>
      </c>
      <c r="F240" s="7"/>
      <c r="G240" s="7"/>
      <c r="H240" s="7" t="s">
        <v>170</v>
      </c>
      <c r="I240" s="84" t="s">
        <v>455</v>
      </c>
      <c r="J240" s="7" t="s">
        <v>35</v>
      </c>
      <c r="K240" s="7" t="s">
        <v>170</v>
      </c>
      <c r="L240" s="7"/>
      <c r="M240" s="7"/>
      <c r="N240" s="7"/>
      <c r="O240" s="7"/>
      <c r="P240" s="7"/>
      <c r="Q240" s="69" t="e">
        <f t="shared" si="49"/>
        <v>#DIV/0!</v>
      </c>
      <c r="R240" s="69" t="e">
        <f t="shared" si="50"/>
        <v>#DIV/0!</v>
      </c>
      <c r="S240" s="7"/>
      <c r="T240" s="7"/>
      <c r="U240" s="7"/>
      <c r="V240" s="7"/>
      <c r="W240" s="7"/>
    </row>
    <row r="241" spans="1:23">
      <c r="A241" s="6">
        <v>46135</v>
      </c>
      <c r="B241" s="7" t="s">
        <v>166</v>
      </c>
      <c r="C241" s="7"/>
      <c r="D241" s="65" t="s">
        <v>332</v>
      </c>
      <c r="E241" s="7" t="s">
        <v>253</v>
      </c>
      <c r="F241" s="7"/>
      <c r="G241" s="7"/>
      <c r="H241" s="7" t="s">
        <v>170</v>
      </c>
      <c r="I241" s="47" t="s">
        <v>326</v>
      </c>
      <c r="J241" s="7" t="s">
        <v>35</v>
      </c>
      <c r="K241" s="7" t="s">
        <v>170</v>
      </c>
      <c r="L241" s="7">
        <v>457</v>
      </c>
      <c r="M241" s="7">
        <v>412</v>
      </c>
      <c r="N241" s="7">
        <v>269</v>
      </c>
      <c r="O241" s="7">
        <v>0</v>
      </c>
      <c r="P241" s="7">
        <v>0</v>
      </c>
      <c r="Q241" s="69">
        <f t="shared" si="49"/>
        <v>0.90153172866520792</v>
      </c>
      <c r="R241" s="69">
        <f t="shared" si="50"/>
        <v>0.65291262135922334</v>
      </c>
      <c r="S241" s="7"/>
      <c r="T241" s="7"/>
      <c r="U241" s="7"/>
      <c r="V241" s="7"/>
      <c r="W241" s="7"/>
    </row>
    <row r="242" spans="1:23">
      <c r="A242" s="6">
        <v>46135</v>
      </c>
      <c r="B242" s="7" t="s">
        <v>166</v>
      </c>
      <c r="C242" s="62">
        <v>0.85416666666666663</v>
      </c>
      <c r="D242" s="77" t="s">
        <v>495</v>
      </c>
      <c r="E242" s="7" t="s">
        <v>253</v>
      </c>
      <c r="F242" s="77" t="s">
        <v>436</v>
      </c>
      <c r="G242" s="7"/>
      <c r="H242" s="7" t="s">
        <v>149</v>
      </c>
      <c r="I242" s="47"/>
      <c r="J242" s="7" t="s">
        <v>35</v>
      </c>
      <c r="K242" s="7" t="s">
        <v>149</v>
      </c>
      <c r="L242" s="7">
        <v>153</v>
      </c>
      <c r="M242" s="7">
        <v>14</v>
      </c>
      <c r="N242" s="7">
        <v>1</v>
      </c>
      <c r="O242" s="7">
        <v>0</v>
      </c>
      <c r="P242" s="7">
        <v>0</v>
      </c>
      <c r="Q242" s="69">
        <f t="shared" si="49"/>
        <v>9.1503267973856203E-2</v>
      </c>
      <c r="R242" s="69">
        <f t="shared" si="50"/>
        <v>7.1428571428571425E-2</v>
      </c>
      <c r="S242" s="7"/>
      <c r="T242" s="7"/>
      <c r="U242" s="7"/>
      <c r="V242" s="7"/>
      <c r="W242" s="7"/>
    </row>
    <row r="243" spans="1:23" ht="16.8">
      <c r="A243" s="6">
        <v>46135</v>
      </c>
      <c r="B243" s="7" t="s">
        <v>166</v>
      </c>
      <c r="C243" s="62">
        <v>0.875</v>
      </c>
      <c r="D243" s="77" t="s">
        <v>496</v>
      </c>
      <c r="E243" s="7" t="s">
        <v>253</v>
      </c>
      <c r="F243" s="77" t="s">
        <v>438</v>
      </c>
      <c r="G243" s="7"/>
      <c r="H243" s="52" t="s">
        <v>157</v>
      </c>
      <c r="I243" s="47"/>
      <c r="J243" s="7" t="s">
        <v>35</v>
      </c>
      <c r="K243" s="52" t="s">
        <v>157</v>
      </c>
      <c r="L243" s="7">
        <v>219</v>
      </c>
      <c r="M243" s="7">
        <v>28</v>
      </c>
      <c r="N243" s="7">
        <v>4</v>
      </c>
      <c r="O243" s="7">
        <v>1</v>
      </c>
      <c r="P243" s="7">
        <v>0</v>
      </c>
      <c r="Q243" s="69">
        <f t="shared" si="49"/>
        <v>0.12785388127853881</v>
      </c>
      <c r="R243" s="69">
        <f t="shared" si="50"/>
        <v>0.14285714285714285</v>
      </c>
      <c r="S243" s="7"/>
      <c r="T243" s="7"/>
      <c r="U243" s="7"/>
      <c r="V243" s="7"/>
      <c r="W243" s="7"/>
    </row>
    <row r="244" spans="1:23" ht="16.8">
      <c r="A244" s="6">
        <v>46135</v>
      </c>
      <c r="B244" s="7" t="s">
        <v>166</v>
      </c>
      <c r="C244" s="62">
        <v>0.97916666666666663</v>
      </c>
      <c r="D244" s="77" t="s">
        <v>497</v>
      </c>
      <c r="E244" s="7" t="s">
        <v>253</v>
      </c>
      <c r="F244" s="77" t="s">
        <v>440</v>
      </c>
      <c r="G244" s="7"/>
      <c r="H244" s="52" t="s">
        <v>420</v>
      </c>
      <c r="I244" s="47"/>
      <c r="J244" s="7" t="s">
        <v>35</v>
      </c>
      <c r="K244" s="52" t="s">
        <v>420</v>
      </c>
      <c r="L244" s="7">
        <v>133</v>
      </c>
      <c r="M244" s="7">
        <v>12</v>
      </c>
      <c r="N244" s="7">
        <v>4</v>
      </c>
      <c r="O244" s="7">
        <v>0</v>
      </c>
      <c r="P244" s="7">
        <v>0</v>
      </c>
      <c r="Q244" s="69">
        <f t="shared" si="49"/>
        <v>9.0225563909774431E-2</v>
      </c>
      <c r="R244" s="69">
        <f t="shared" si="50"/>
        <v>0.33333333333333331</v>
      </c>
      <c r="S244" s="7"/>
      <c r="T244" s="7"/>
      <c r="U244" s="7"/>
      <c r="V244" s="7"/>
      <c r="W244" s="7"/>
    </row>
    <row r="245" spans="1:23">
      <c r="A245" s="6">
        <v>46135</v>
      </c>
      <c r="B245" s="7" t="s">
        <v>166</v>
      </c>
      <c r="C245" s="62">
        <v>0.91666666666666663</v>
      </c>
      <c r="D245" s="77" t="s">
        <v>498</v>
      </c>
      <c r="E245" s="7" t="s">
        <v>253</v>
      </c>
      <c r="F245" s="77" t="s">
        <v>442</v>
      </c>
      <c r="G245" s="7"/>
      <c r="H245" s="7" t="s">
        <v>121</v>
      </c>
      <c r="I245" s="47"/>
      <c r="J245" s="7" t="s">
        <v>35</v>
      </c>
      <c r="K245" s="7" t="s">
        <v>121</v>
      </c>
      <c r="L245" s="7">
        <v>242</v>
      </c>
      <c r="M245" s="7">
        <v>23</v>
      </c>
      <c r="N245" s="7">
        <v>17</v>
      </c>
      <c r="O245" s="7">
        <v>0</v>
      </c>
      <c r="P245" s="7">
        <v>0</v>
      </c>
      <c r="Q245" s="69">
        <f t="shared" si="49"/>
        <v>9.5041322314049589E-2</v>
      </c>
      <c r="R245" s="69">
        <f t="shared" si="50"/>
        <v>0.73913043478260865</v>
      </c>
      <c r="S245" s="7"/>
      <c r="T245" s="7"/>
      <c r="U245" s="7"/>
      <c r="V245" s="7"/>
      <c r="W245" s="7"/>
    </row>
    <row r="246" spans="1:23" ht="16.8">
      <c r="A246" s="6">
        <v>46135</v>
      </c>
      <c r="B246" s="7" t="s">
        <v>166</v>
      </c>
      <c r="C246" s="62">
        <v>0.96875</v>
      </c>
      <c r="D246" s="7" t="s">
        <v>499</v>
      </c>
      <c r="E246" s="7" t="s">
        <v>253</v>
      </c>
      <c r="F246" s="7" t="s">
        <v>412</v>
      </c>
      <c r="G246" s="7"/>
      <c r="H246" s="52" t="s">
        <v>210</v>
      </c>
      <c r="I246" s="47"/>
      <c r="J246" s="7" t="s">
        <v>35</v>
      </c>
      <c r="K246" s="52" t="s">
        <v>210</v>
      </c>
      <c r="L246" s="7">
        <v>561</v>
      </c>
      <c r="M246" s="7">
        <v>34</v>
      </c>
      <c r="N246" s="7">
        <v>14</v>
      </c>
      <c r="O246" s="7">
        <v>0</v>
      </c>
      <c r="P246" s="7">
        <v>0</v>
      </c>
      <c r="Q246" s="69">
        <f t="shared" si="49"/>
        <v>6.0606060606060608E-2</v>
      </c>
      <c r="R246" s="69">
        <f t="shared" si="50"/>
        <v>0.41176470588235292</v>
      </c>
      <c r="S246" s="7"/>
      <c r="T246" s="7"/>
      <c r="U246" s="7"/>
      <c r="V246" s="7"/>
      <c r="W246" s="7"/>
    </row>
    <row r="247" spans="1:23" ht="16.8">
      <c r="A247" s="85"/>
      <c r="B247" s="86"/>
      <c r="C247" s="91"/>
      <c r="D247" s="92"/>
      <c r="E247" s="86"/>
      <c r="F247" s="86"/>
      <c r="G247" s="86"/>
      <c r="H247" s="86"/>
      <c r="I247" s="86"/>
      <c r="J247" s="86"/>
      <c r="K247" s="93"/>
      <c r="L247" s="86"/>
      <c r="M247" s="86"/>
      <c r="N247" s="86"/>
      <c r="O247" s="86"/>
      <c r="P247" s="86"/>
      <c r="Q247" s="89"/>
      <c r="R247" s="89"/>
      <c r="S247" s="86"/>
      <c r="T247" s="86"/>
      <c r="U247" s="86"/>
      <c r="V247" s="86"/>
      <c r="W247" s="87"/>
    </row>
    <row r="248" spans="1:23">
      <c r="A248" s="6">
        <v>46135</v>
      </c>
      <c r="B248" s="7" t="s">
        <v>552</v>
      </c>
      <c r="C248" s="18" t="s">
        <v>304</v>
      </c>
      <c r="D248" s="18" t="s">
        <v>302</v>
      </c>
      <c r="E248" s="18" t="s">
        <v>27</v>
      </c>
      <c r="F248" s="18" t="s">
        <v>303</v>
      </c>
      <c r="G248" s="18" t="s">
        <v>85</v>
      </c>
      <c r="H248" s="18" t="s">
        <v>186</v>
      </c>
      <c r="I248" s="47"/>
      <c r="J248" s="18" t="s">
        <v>27</v>
      </c>
      <c r="K248" s="18" t="s">
        <v>186</v>
      </c>
      <c r="L248" s="7">
        <v>1285</v>
      </c>
      <c r="M248" s="7">
        <v>5</v>
      </c>
      <c r="N248" s="7">
        <v>1</v>
      </c>
      <c r="O248" s="7">
        <v>0</v>
      </c>
      <c r="P248" s="7">
        <v>1</v>
      </c>
      <c r="Q248" s="69">
        <f t="shared" ref="Q248:Q255" si="51">M248/L248</f>
        <v>3.8910505836575876E-3</v>
      </c>
      <c r="R248" s="69">
        <f t="shared" ref="R248:R255" si="52">N248/M248</f>
        <v>0.2</v>
      </c>
      <c r="S248" s="7"/>
      <c r="T248" s="7"/>
      <c r="U248" s="7"/>
      <c r="V248" s="7"/>
      <c r="W248" s="7"/>
    </row>
    <row r="249" spans="1:23">
      <c r="A249" s="6">
        <v>46135</v>
      </c>
      <c r="B249" s="7" t="s">
        <v>552</v>
      </c>
      <c r="C249" s="18" t="s">
        <v>347</v>
      </c>
      <c r="D249" s="18" t="s">
        <v>345</v>
      </c>
      <c r="E249" s="18" t="s">
        <v>27</v>
      </c>
      <c r="F249" s="18" t="s">
        <v>346</v>
      </c>
      <c r="G249" s="18" t="s">
        <v>85</v>
      </c>
      <c r="H249" s="18" t="s">
        <v>313</v>
      </c>
      <c r="I249" s="47"/>
      <c r="J249" s="18" t="s">
        <v>27</v>
      </c>
      <c r="K249" s="18" t="s">
        <v>313</v>
      </c>
      <c r="L249" s="7"/>
      <c r="M249" s="7"/>
      <c r="N249" s="7"/>
      <c r="O249" s="7"/>
      <c r="P249" s="7"/>
      <c r="Q249" s="69" t="e">
        <f t="shared" si="51"/>
        <v>#DIV/0!</v>
      </c>
      <c r="R249" s="69" t="e">
        <f t="shared" si="52"/>
        <v>#DIV/0!</v>
      </c>
      <c r="S249" s="7"/>
      <c r="T249" s="7"/>
      <c r="U249" s="7"/>
      <c r="V249" s="7"/>
      <c r="W249" s="7"/>
    </row>
    <row r="250" spans="1:23">
      <c r="A250" s="6">
        <v>46135</v>
      </c>
      <c r="B250" s="7" t="s">
        <v>552</v>
      </c>
      <c r="C250" s="18" t="s">
        <v>304</v>
      </c>
      <c r="D250" s="18" t="s">
        <v>503</v>
      </c>
      <c r="E250" s="18" t="s">
        <v>27</v>
      </c>
      <c r="F250" s="18" t="s">
        <v>502</v>
      </c>
      <c r="G250" s="18" t="s">
        <v>85</v>
      </c>
      <c r="H250" s="18" t="s">
        <v>106</v>
      </c>
      <c r="I250" s="47" t="s">
        <v>501</v>
      </c>
      <c r="J250" s="18" t="s">
        <v>27</v>
      </c>
      <c r="K250" s="18" t="s">
        <v>106</v>
      </c>
      <c r="L250" s="7">
        <v>298</v>
      </c>
      <c r="M250" s="7">
        <v>13</v>
      </c>
      <c r="N250" s="7">
        <v>3</v>
      </c>
      <c r="O250" s="7">
        <v>0</v>
      </c>
      <c r="P250" s="7">
        <v>1</v>
      </c>
      <c r="Q250" s="69">
        <f t="shared" ref="Q250" si="53">M250/L250</f>
        <v>4.3624161073825503E-2</v>
      </c>
      <c r="R250" s="69">
        <f t="shared" ref="R250" si="54">N250/M250</f>
        <v>0.23076923076923078</v>
      </c>
      <c r="S250" s="7"/>
      <c r="T250" s="7"/>
      <c r="U250" s="7"/>
      <c r="V250" s="7"/>
      <c r="W250" s="7"/>
    </row>
    <row r="251" spans="1:23">
      <c r="A251" s="6">
        <v>46135</v>
      </c>
      <c r="B251" s="7" t="s">
        <v>552</v>
      </c>
      <c r="C251" s="62">
        <v>0.75</v>
      </c>
      <c r="D251" s="77" t="s">
        <v>514</v>
      </c>
      <c r="E251" s="77" t="s">
        <v>27</v>
      </c>
      <c r="F251" s="77" t="s">
        <v>515</v>
      </c>
      <c r="G251" s="77" t="s">
        <v>85</v>
      </c>
      <c r="H251" s="77" t="s">
        <v>348</v>
      </c>
      <c r="I251" s="47" t="s">
        <v>209</v>
      </c>
      <c r="J251" s="77" t="s">
        <v>27</v>
      </c>
      <c r="K251" s="77" t="s">
        <v>348</v>
      </c>
      <c r="L251" s="7">
        <v>3097</v>
      </c>
      <c r="M251" s="7">
        <v>33</v>
      </c>
      <c r="N251" s="7">
        <v>5</v>
      </c>
      <c r="O251" s="7">
        <v>0</v>
      </c>
      <c r="P251" s="7">
        <v>2</v>
      </c>
      <c r="Q251" s="69">
        <f t="shared" si="51"/>
        <v>1.0655473038424281E-2</v>
      </c>
      <c r="R251" s="69">
        <f t="shared" si="52"/>
        <v>0.15151515151515152</v>
      </c>
      <c r="S251" s="7"/>
      <c r="T251" s="7"/>
      <c r="U251" s="7"/>
      <c r="V251" s="7"/>
      <c r="W251" s="7"/>
    </row>
    <row r="252" spans="1:23">
      <c r="A252" s="6">
        <v>46135</v>
      </c>
      <c r="B252" s="7" t="s">
        <v>552</v>
      </c>
      <c r="C252" s="62">
        <v>0.76041666666666663</v>
      </c>
      <c r="D252" s="77" t="s">
        <v>516</v>
      </c>
      <c r="E252" s="77" t="s">
        <v>27</v>
      </c>
      <c r="F252" s="77" t="s">
        <v>428</v>
      </c>
      <c r="G252" s="77" t="s">
        <v>85</v>
      </c>
      <c r="H252" s="77" t="s">
        <v>349</v>
      </c>
      <c r="I252" s="47" t="s">
        <v>209</v>
      </c>
      <c r="J252" s="77" t="s">
        <v>27</v>
      </c>
      <c r="K252" s="77" t="s">
        <v>349</v>
      </c>
      <c r="L252" s="7">
        <v>1278</v>
      </c>
      <c r="M252" s="7">
        <v>14</v>
      </c>
      <c r="N252" s="7">
        <v>5</v>
      </c>
      <c r="O252" s="7">
        <v>0</v>
      </c>
      <c r="P252" s="7">
        <v>1</v>
      </c>
      <c r="Q252" s="69">
        <f t="shared" si="51"/>
        <v>1.0954616588419406E-2</v>
      </c>
      <c r="R252" s="69">
        <f t="shared" si="52"/>
        <v>0.35714285714285715</v>
      </c>
      <c r="S252" s="7"/>
      <c r="T252" s="7"/>
      <c r="U252" s="7"/>
      <c r="V252" s="7"/>
      <c r="W252" s="7"/>
    </row>
    <row r="253" spans="1:23">
      <c r="A253" s="6">
        <v>46135</v>
      </c>
      <c r="B253" s="7" t="s">
        <v>552</v>
      </c>
      <c r="C253" s="62">
        <v>0.70833333333333337</v>
      </c>
      <c r="D253" s="77" t="s">
        <v>517</v>
      </c>
      <c r="E253" s="77" t="s">
        <v>27</v>
      </c>
      <c r="F253" s="77" t="s">
        <v>505</v>
      </c>
      <c r="G253" s="77" t="s">
        <v>85</v>
      </c>
      <c r="H253" s="77" t="s">
        <v>350</v>
      </c>
      <c r="I253" s="47" t="s">
        <v>209</v>
      </c>
      <c r="J253" s="77" t="s">
        <v>27</v>
      </c>
      <c r="K253" s="77" t="s">
        <v>350</v>
      </c>
      <c r="L253" s="7">
        <v>5671</v>
      </c>
      <c r="M253" s="7">
        <v>49</v>
      </c>
      <c r="N253" s="7">
        <v>9</v>
      </c>
      <c r="O253" s="7">
        <v>3</v>
      </c>
      <c r="P253" s="7">
        <v>6</v>
      </c>
      <c r="Q253" s="69">
        <f t="shared" si="51"/>
        <v>8.6404514195027333E-3</v>
      </c>
      <c r="R253" s="69">
        <f t="shared" si="52"/>
        <v>0.18367346938775511</v>
      </c>
      <c r="S253" s="7"/>
      <c r="T253" s="7"/>
      <c r="U253" s="7"/>
      <c r="V253" s="7"/>
      <c r="W253" s="7"/>
    </row>
    <row r="254" spans="1:23">
      <c r="A254" s="6">
        <v>46135</v>
      </c>
      <c r="B254" s="7" t="s">
        <v>552</v>
      </c>
      <c r="C254" s="62">
        <v>0.78125</v>
      </c>
      <c r="D254" s="77" t="s">
        <v>518</v>
      </c>
      <c r="E254" s="77" t="s">
        <v>27</v>
      </c>
      <c r="F254" s="77" t="s">
        <v>519</v>
      </c>
      <c r="G254" s="77" t="s">
        <v>85</v>
      </c>
      <c r="H254" s="77" t="s">
        <v>351</v>
      </c>
      <c r="I254" s="47" t="s">
        <v>209</v>
      </c>
      <c r="J254" s="77" t="s">
        <v>27</v>
      </c>
      <c r="K254" s="77" t="s">
        <v>351</v>
      </c>
      <c r="L254" s="7">
        <v>3358</v>
      </c>
      <c r="M254" s="7">
        <v>25</v>
      </c>
      <c r="N254" s="7">
        <v>4</v>
      </c>
      <c r="O254" s="7">
        <v>1</v>
      </c>
      <c r="P254" s="7">
        <v>2</v>
      </c>
      <c r="Q254" s="69">
        <f t="shared" si="51"/>
        <v>7.4449076831447289E-3</v>
      </c>
      <c r="R254" s="69">
        <f t="shared" si="52"/>
        <v>0.16</v>
      </c>
      <c r="S254" s="7"/>
      <c r="T254" s="7"/>
      <c r="U254" s="7"/>
      <c r="V254" s="7"/>
      <c r="W254" s="7"/>
    </row>
    <row r="255" spans="1:23">
      <c r="A255" s="6">
        <v>46135</v>
      </c>
      <c r="B255" s="7" t="s">
        <v>552</v>
      </c>
      <c r="C255" s="62">
        <v>0.80208333333333337</v>
      </c>
      <c r="D255" s="88" t="s">
        <v>534</v>
      </c>
      <c r="E255" s="88" t="s">
        <v>27</v>
      </c>
      <c r="F255" s="88" t="s">
        <v>535</v>
      </c>
      <c r="G255" s="77" t="s">
        <v>85</v>
      </c>
      <c r="H255" s="7" t="s">
        <v>210</v>
      </c>
      <c r="I255" s="47" t="s">
        <v>209</v>
      </c>
      <c r="J255" s="77" t="s">
        <v>27</v>
      </c>
      <c r="K255" s="7" t="s">
        <v>210</v>
      </c>
      <c r="L255" s="7">
        <v>514</v>
      </c>
      <c r="M255" s="7">
        <v>31</v>
      </c>
      <c r="N255" s="7">
        <v>18</v>
      </c>
      <c r="O255" s="7">
        <v>1</v>
      </c>
      <c r="P255" s="7">
        <v>0</v>
      </c>
      <c r="Q255" s="69">
        <f t="shared" si="51"/>
        <v>6.0311284046692608E-2</v>
      </c>
      <c r="R255" s="69">
        <f t="shared" si="52"/>
        <v>0.58064516129032262</v>
      </c>
      <c r="S255" s="7"/>
      <c r="T255" s="7"/>
      <c r="U255" s="7"/>
      <c r="V255" s="7"/>
      <c r="W255" s="7"/>
    </row>
    <row r="256" spans="1:23" ht="16.8">
      <c r="A256" s="6">
        <v>46135</v>
      </c>
      <c r="B256" s="7" t="s">
        <v>552</v>
      </c>
      <c r="C256" s="62">
        <v>0.83333333333333337</v>
      </c>
      <c r="D256" s="97" t="s">
        <v>504</v>
      </c>
      <c r="E256" s="7" t="s">
        <v>27</v>
      </c>
      <c r="F256" s="97" t="s">
        <v>505</v>
      </c>
      <c r="G256" s="77" t="s">
        <v>85</v>
      </c>
      <c r="H256" s="52" t="s">
        <v>157</v>
      </c>
      <c r="I256" s="98" t="s">
        <v>500</v>
      </c>
      <c r="J256" s="77" t="s">
        <v>27</v>
      </c>
      <c r="K256" s="52" t="s">
        <v>157</v>
      </c>
      <c r="L256" s="86">
        <v>217</v>
      </c>
      <c r="M256" s="86">
        <v>13</v>
      </c>
      <c r="N256" s="86">
        <v>0</v>
      </c>
      <c r="O256" s="86">
        <v>0</v>
      </c>
      <c r="P256" s="86">
        <v>0</v>
      </c>
      <c r="Q256" s="69">
        <f t="shared" ref="Q256" si="55">M256/L256</f>
        <v>5.9907834101382486E-2</v>
      </c>
      <c r="R256" s="69">
        <f t="shared" ref="R256" si="56">N256/M256</f>
        <v>0</v>
      </c>
      <c r="S256" s="86"/>
      <c r="T256" s="86"/>
      <c r="U256" s="86"/>
      <c r="V256" s="86"/>
      <c r="W256" s="87"/>
    </row>
    <row r="257" spans="1:27" ht="16.8">
      <c r="A257" s="85"/>
      <c r="B257" s="86"/>
      <c r="C257" s="91"/>
      <c r="D257" s="92"/>
      <c r="E257" s="86"/>
      <c r="F257" s="86"/>
      <c r="G257" s="86"/>
      <c r="H257" s="86"/>
      <c r="I257" s="86"/>
      <c r="J257" s="86"/>
      <c r="K257" s="93"/>
      <c r="L257" s="86"/>
      <c r="M257" s="86"/>
      <c r="N257" s="86"/>
      <c r="O257" s="86"/>
      <c r="P257" s="86"/>
      <c r="Q257" s="89"/>
      <c r="R257" s="89"/>
      <c r="S257" s="86"/>
      <c r="T257" s="86"/>
      <c r="U257" s="86"/>
      <c r="V257" s="86"/>
      <c r="W257" s="87"/>
    </row>
    <row r="258" spans="1:27">
      <c r="A258" s="6">
        <v>46135</v>
      </c>
      <c r="B258" s="7" t="s">
        <v>552</v>
      </c>
      <c r="C258" s="18" t="s">
        <v>305</v>
      </c>
      <c r="D258" s="18" t="s">
        <v>306</v>
      </c>
      <c r="E258" s="18" t="s">
        <v>28</v>
      </c>
      <c r="F258" s="18" t="s">
        <v>307</v>
      </c>
      <c r="G258" s="18" t="s">
        <v>85</v>
      </c>
      <c r="H258" s="18" t="s">
        <v>186</v>
      </c>
      <c r="I258" s="47"/>
      <c r="J258" s="18" t="s">
        <v>28</v>
      </c>
      <c r="K258" s="18" t="s">
        <v>186</v>
      </c>
      <c r="L258" s="7">
        <v>1286</v>
      </c>
      <c r="M258" s="7">
        <v>6</v>
      </c>
      <c r="N258" s="7">
        <v>0</v>
      </c>
      <c r="O258" s="7">
        <v>0</v>
      </c>
      <c r="P258" s="7">
        <v>1</v>
      </c>
      <c r="Q258" s="69">
        <f t="shared" ref="Q258:Q266" si="57">M258/L258</f>
        <v>4.6656298600311046E-3</v>
      </c>
      <c r="R258" s="69">
        <f t="shared" ref="R258:R266" si="58">N258/M258</f>
        <v>0</v>
      </c>
      <c r="S258" s="7"/>
      <c r="T258" s="7"/>
      <c r="U258" s="7"/>
      <c r="V258" s="7"/>
      <c r="W258" s="7"/>
    </row>
    <row r="259" spans="1:27">
      <c r="A259" s="6">
        <v>46135</v>
      </c>
      <c r="B259" s="7" t="s">
        <v>552</v>
      </c>
      <c r="C259" s="18" t="s">
        <v>347</v>
      </c>
      <c r="D259" s="18" t="s">
        <v>352</v>
      </c>
      <c r="E259" s="18" t="s">
        <v>28</v>
      </c>
      <c r="F259" s="18" t="s">
        <v>353</v>
      </c>
      <c r="G259" s="18" t="s">
        <v>85</v>
      </c>
      <c r="H259" s="18" t="s">
        <v>186</v>
      </c>
      <c r="I259" s="47"/>
      <c r="J259" s="18" t="s">
        <v>28</v>
      </c>
      <c r="K259" s="18" t="s">
        <v>186</v>
      </c>
      <c r="L259" s="7"/>
      <c r="M259" s="7"/>
      <c r="N259" s="7"/>
      <c r="O259" s="7"/>
      <c r="P259" s="7"/>
      <c r="Q259" s="69" t="e">
        <f t="shared" si="57"/>
        <v>#DIV/0!</v>
      </c>
      <c r="R259" s="69" t="e">
        <f t="shared" si="58"/>
        <v>#DIV/0!</v>
      </c>
      <c r="S259" s="7"/>
      <c r="T259" s="7"/>
      <c r="U259" s="7"/>
      <c r="V259" s="7"/>
      <c r="W259" s="7"/>
    </row>
    <row r="260" spans="1:27">
      <c r="A260" s="6">
        <v>46135</v>
      </c>
      <c r="B260" s="7" t="s">
        <v>552</v>
      </c>
      <c r="C260" s="18" t="s">
        <v>305</v>
      </c>
      <c r="D260" s="18" t="s">
        <v>507</v>
      </c>
      <c r="E260" s="18" t="s">
        <v>28</v>
      </c>
      <c r="F260" s="18" t="s">
        <v>506</v>
      </c>
      <c r="G260" s="18" t="s">
        <v>85</v>
      </c>
      <c r="H260" s="18" t="s">
        <v>106</v>
      </c>
      <c r="I260" s="47" t="s">
        <v>501</v>
      </c>
      <c r="J260" s="18" t="s">
        <v>28</v>
      </c>
      <c r="K260" s="18" t="s">
        <v>106</v>
      </c>
      <c r="L260" s="7">
        <v>293</v>
      </c>
      <c r="M260" s="7">
        <v>5</v>
      </c>
      <c r="N260" s="7">
        <v>2</v>
      </c>
      <c r="O260" s="7">
        <v>0</v>
      </c>
      <c r="P260" s="7">
        <v>1</v>
      </c>
      <c r="Q260" s="69">
        <f t="shared" si="57"/>
        <v>1.7064846416382253E-2</v>
      </c>
      <c r="R260" s="69">
        <f t="shared" si="58"/>
        <v>0.4</v>
      </c>
      <c r="S260" s="7"/>
      <c r="T260" s="7"/>
      <c r="U260" s="7"/>
      <c r="V260" s="7"/>
      <c r="W260" s="7"/>
    </row>
    <row r="261" spans="1:27">
      <c r="A261" s="6">
        <v>46135</v>
      </c>
      <c r="B261" s="7" t="s">
        <v>552</v>
      </c>
      <c r="C261" s="62">
        <v>0.79166666666666663</v>
      </c>
      <c r="D261" s="77" t="s">
        <v>520</v>
      </c>
      <c r="E261" s="77" t="s">
        <v>28</v>
      </c>
      <c r="F261" s="77" t="s">
        <v>438</v>
      </c>
      <c r="G261" s="77" t="s">
        <v>85</v>
      </c>
      <c r="H261" s="77" t="s">
        <v>359</v>
      </c>
      <c r="I261" s="47" t="s">
        <v>209</v>
      </c>
      <c r="J261" s="77" t="s">
        <v>28</v>
      </c>
      <c r="K261" s="77" t="s">
        <v>359</v>
      </c>
      <c r="L261" s="7">
        <v>1316</v>
      </c>
      <c r="M261" s="7">
        <v>19</v>
      </c>
      <c r="N261" s="7">
        <v>7</v>
      </c>
      <c r="O261" s="7">
        <v>1</v>
      </c>
      <c r="P261" s="7">
        <v>4</v>
      </c>
      <c r="Q261" s="69">
        <f t="shared" si="57"/>
        <v>1.4437689969604863E-2</v>
      </c>
      <c r="R261" s="69">
        <f t="shared" si="58"/>
        <v>0.36842105263157893</v>
      </c>
      <c r="S261" s="7"/>
      <c r="T261" s="7"/>
      <c r="U261" s="7"/>
      <c r="V261" s="7"/>
      <c r="W261" s="7"/>
    </row>
    <row r="262" spans="1:27">
      <c r="A262" s="6">
        <v>46135</v>
      </c>
      <c r="B262" s="7" t="s">
        <v>552</v>
      </c>
      <c r="C262" s="62">
        <v>0.80208333333333337</v>
      </c>
      <c r="D262" s="77" t="s">
        <v>521</v>
      </c>
      <c r="E262" s="77" t="s">
        <v>28</v>
      </c>
      <c r="F262" s="77" t="s">
        <v>522</v>
      </c>
      <c r="G262" s="77" t="s">
        <v>85</v>
      </c>
      <c r="H262" s="77" t="s">
        <v>358</v>
      </c>
      <c r="I262" s="47" t="s">
        <v>209</v>
      </c>
      <c r="J262" s="77" t="s">
        <v>28</v>
      </c>
      <c r="K262" s="77" t="s">
        <v>358</v>
      </c>
      <c r="L262" s="7">
        <v>2987</v>
      </c>
      <c r="M262" s="7">
        <v>32</v>
      </c>
      <c r="N262" s="7">
        <v>7</v>
      </c>
      <c r="O262" s="7">
        <v>0</v>
      </c>
      <c r="P262" s="7">
        <v>4</v>
      </c>
      <c r="Q262" s="69">
        <f t="shared" si="57"/>
        <v>1.0713090056913292E-2</v>
      </c>
      <c r="R262" s="69">
        <f t="shared" si="58"/>
        <v>0.21875</v>
      </c>
      <c r="S262" s="7"/>
      <c r="T262" s="7"/>
      <c r="U262" s="7"/>
      <c r="V262" s="7"/>
      <c r="W262" s="7"/>
    </row>
    <row r="263" spans="1:27">
      <c r="A263" s="6">
        <v>46135</v>
      </c>
      <c r="B263" s="7" t="s">
        <v>552</v>
      </c>
      <c r="C263" s="62">
        <v>0.77083333333333337</v>
      </c>
      <c r="D263" s="77" t="s">
        <v>523</v>
      </c>
      <c r="E263" s="77" t="s">
        <v>28</v>
      </c>
      <c r="F263" s="77" t="s">
        <v>524</v>
      </c>
      <c r="G263" s="77" t="s">
        <v>85</v>
      </c>
      <c r="H263" s="77" t="s">
        <v>350</v>
      </c>
      <c r="I263" s="47" t="s">
        <v>209</v>
      </c>
      <c r="J263" s="77" t="s">
        <v>28</v>
      </c>
      <c r="K263" s="77" t="s">
        <v>350</v>
      </c>
      <c r="L263" s="7">
        <v>5668</v>
      </c>
      <c r="M263" s="7">
        <v>46</v>
      </c>
      <c r="N263" s="7">
        <v>6</v>
      </c>
      <c r="O263" s="7">
        <v>1</v>
      </c>
      <c r="P263" s="7">
        <v>7</v>
      </c>
      <c r="Q263" s="69">
        <f t="shared" si="57"/>
        <v>8.1157374735356391E-3</v>
      </c>
      <c r="R263" s="69">
        <f t="shared" si="58"/>
        <v>0.13043478260869565</v>
      </c>
      <c r="S263" s="7"/>
      <c r="T263" s="7"/>
      <c r="U263" s="7"/>
      <c r="V263" s="7"/>
      <c r="W263" s="7"/>
    </row>
    <row r="264" spans="1:27">
      <c r="A264" s="6">
        <v>46135</v>
      </c>
      <c r="B264" s="7" t="s">
        <v>552</v>
      </c>
      <c r="C264" s="62">
        <v>0.8125</v>
      </c>
      <c r="D264" s="77" t="s">
        <v>525</v>
      </c>
      <c r="E264" s="77" t="s">
        <v>28</v>
      </c>
      <c r="F264" s="77" t="s">
        <v>440</v>
      </c>
      <c r="G264" s="77" t="s">
        <v>85</v>
      </c>
      <c r="H264" s="77" t="s">
        <v>351</v>
      </c>
      <c r="I264" s="47" t="s">
        <v>209</v>
      </c>
      <c r="J264" s="77" t="s">
        <v>28</v>
      </c>
      <c r="K264" s="77" t="s">
        <v>351</v>
      </c>
      <c r="L264" s="7">
        <v>3358</v>
      </c>
      <c r="M264" s="7">
        <v>24</v>
      </c>
      <c r="N264" s="7">
        <v>6</v>
      </c>
      <c r="O264" s="7">
        <v>0</v>
      </c>
      <c r="P264" s="7">
        <v>2</v>
      </c>
      <c r="Q264" s="69">
        <f t="shared" si="57"/>
        <v>7.1471113758189396E-3</v>
      </c>
      <c r="R264" s="69">
        <f t="shared" si="58"/>
        <v>0.25</v>
      </c>
      <c r="S264" s="7"/>
      <c r="T264" s="7"/>
      <c r="U264" s="7"/>
      <c r="V264" s="7"/>
      <c r="W264" s="7"/>
    </row>
    <row r="265" spans="1:27">
      <c r="A265" s="6">
        <v>46135</v>
      </c>
      <c r="B265" s="7" t="s">
        <v>552</v>
      </c>
      <c r="C265" s="62">
        <v>0.85416666666666663</v>
      </c>
      <c r="D265" s="88" t="s">
        <v>536</v>
      </c>
      <c r="E265" s="88" t="s">
        <v>28</v>
      </c>
      <c r="F265" s="88" t="s">
        <v>537</v>
      </c>
      <c r="G265" s="7" t="s">
        <v>85</v>
      </c>
      <c r="H265" s="7" t="s">
        <v>210</v>
      </c>
      <c r="I265" s="47" t="s">
        <v>209</v>
      </c>
      <c r="J265" s="7" t="s">
        <v>28</v>
      </c>
      <c r="K265" s="7" t="s">
        <v>210</v>
      </c>
      <c r="L265" s="7">
        <v>523</v>
      </c>
      <c r="M265" s="7">
        <v>29</v>
      </c>
      <c r="N265" s="7">
        <v>15</v>
      </c>
      <c r="O265" s="7">
        <v>1</v>
      </c>
      <c r="P265" s="7">
        <v>0</v>
      </c>
      <c r="Q265" s="69">
        <f t="shared" si="57"/>
        <v>5.5449330783938815E-2</v>
      </c>
      <c r="R265" s="69">
        <f t="shared" si="58"/>
        <v>0.51724137931034486</v>
      </c>
      <c r="S265" s="7"/>
      <c r="T265" s="7"/>
      <c r="U265" s="7"/>
      <c r="V265" s="7"/>
      <c r="W265" s="7"/>
    </row>
    <row r="266" spans="1:27" ht="16.8">
      <c r="A266" s="6">
        <v>46135</v>
      </c>
      <c r="B266" s="7" t="s">
        <v>552</v>
      </c>
      <c r="C266" s="91">
        <v>0.89583333333333337</v>
      </c>
      <c r="D266" s="86" t="s">
        <v>508</v>
      </c>
      <c r="E266" s="7" t="s">
        <v>28</v>
      </c>
      <c r="F266" s="86" t="s">
        <v>511</v>
      </c>
      <c r="G266" s="7" t="s">
        <v>85</v>
      </c>
      <c r="H266" s="52" t="s">
        <v>157</v>
      </c>
      <c r="I266" s="98" t="s">
        <v>500</v>
      </c>
      <c r="J266" s="7" t="s">
        <v>28</v>
      </c>
      <c r="K266" s="52" t="s">
        <v>157</v>
      </c>
      <c r="L266" s="86"/>
      <c r="M266" s="86"/>
      <c r="N266" s="86"/>
      <c r="O266" s="86"/>
      <c r="P266" s="86"/>
      <c r="Q266" s="69" t="e">
        <f t="shared" si="57"/>
        <v>#DIV/0!</v>
      </c>
      <c r="R266" s="69" t="e">
        <f t="shared" si="58"/>
        <v>#DIV/0!</v>
      </c>
      <c r="S266" s="86"/>
      <c r="T266" s="86"/>
      <c r="U266" s="86"/>
      <c r="V266" s="86"/>
      <c r="W266" s="87"/>
    </row>
    <row r="267" spans="1:27" ht="16.8">
      <c r="A267" s="85"/>
      <c r="B267" s="86"/>
      <c r="C267" s="91"/>
      <c r="D267" s="92"/>
      <c r="E267" s="86"/>
      <c r="F267" s="86"/>
      <c r="G267" s="86"/>
      <c r="H267" s="86"/>
      <c r="I267" s="86"/>
      <c r="J267" s="86"/>
      <c r="K267" s="93"/>
      <c r="L267" s="86"/>
      <c r="M267" s="86"/>
      <c r="N267" s="86"/>
      <c r="O267" s="86"/>
      <c r="P267" s="86"/>
      <c r="Q267" s="89"/>
      <c r="R267" s="89"/>
      <c r="S267" s="86"/>
      <c r="T267" s="86"/>
      <c r="U267" s="86"/>
      <c r="V267" s="86"/>
      <c r="W267" s="87"/>
    </row>
    <row r="268" spans="1:27">
      <c r="A268" s="6">
        <v>46135</v>
      </c>
      <c r="B268" s="7" t="s">
        <v>552</v>
      </c>
      <c r="C268" s="18" t="s">
        <v>305</v>
      </c>
      <c r="D268" s="18" t="s">
        <v>310</v>
      </c>
      <c r="E268" s="18" t="s">
        <v>309</v>
      </c>
      <c r="F268" s="18" t="s">
        <v>311</v>
      </c>
      <c r="G268" s="18" t="s">
        <v>85</v>
      </c>
      <c r="H268" s="18" t="s">
        <v>186</v>
      </c>
      <c r="I268" s="47"/>
      <c r="J268" s="18" t="s">
        <v>309</v>
      </c>
      <c r="K268" s="18" t="s">
        <v>186</v>
      </c>
      <c r="L268" s="7">
        <v>1282</v>
      </c>
      <c r="M268" s="7">
        <v>8</v>
      </c>
      <c r="N268" s="7">
        <v>1</v>
      </c>
      <c r="O268" s="7">
        <v>0</v>
      </c>
      <c r="P268" s="7">
        <v>1</v>
      </c>
      <c r="Q268" s="69">
        <f t="shared" ref="Q268:Q275" si="59">M268/L268</f>
        <v>6.2402496099843996E-3</v>
      </c>
      <c r="R268" s="69">
        <f t="shared" ref="R268:R275" si="60">N268/M268</f>
        <v>0.125</v>
      </c>
      <c r="S268" s="7"/>
      <c r="T268" s="7"/>
      <c r="U268" s="7"/>
      <c r="V268" s="7"/>
      <c r="W268" s="7"/>
    </row>
    <row r="269" spans="1:27">
      <c r="A269" s="6">
        <v>46135</v>
      </c>
      <c r="B269" s="7" t="s">
        <v>552</v>
      </c>
      <c r="C269" s="18" t="s">
        <v>347</v>
      </c>
      <c r="D269" s="18" t="s">
        <v>354</v>
      </c>
      <c r="E269" s="18" t="s">
        <v>309</v>
      </c>
      <c r="F269" s="18" t="s">
        <v>355</v>
      </c>
      <c r="G269" s="18" t="s">
        <v>85</v>
      </c>
      <c r="H269" s="18" t="s">
        <v>313</v>
      </c>
      <c r="I269" s="47"/>
      <c r="J269" s="18" t="s">
        <v>309</v>
      </c>
      <c r="K269" s="18" t="s">
        <v>313</v>
      </c>
      <c r="L269" s="7"/>
      <c r="M269" s="7"/>
      <c r="N269" s="7"/>
      <c r="O269" s="7"/>
      <c r="P269" s="7"/>
      <c r="Q269" s="69" t="e">
        <f t="shared" si="59"/>
        <v>#DIV/0!</v>
      </c>
      <c r="R269" s="69" t="e">
        <f t="shared" si="60"/>
        <v>#DIV/0!</v>
      </c>
      <c r="S269" s="7"/>
      <c r="T269" s="7"/>
      <c r="U269" s="7"/>
      <c r="V269" s="7"/>
      <c r="W269" s="7"/>
      <c r="Y269" s="7"/>
      <c r="Z269" s="7"/>
      <c r="AA269" s="7"/>
    </row>
    <row r="270" spans="1:27">
      <c r="A270" s="6">
        <v>46135</v>
      </c>
      <c r="B270" s="7" t="s">
        <v>552</v>
      </c>
      <c r="C270" s="18" t="s">
        <v>308</v>
      </c>
      <c r="D270" s="18" t="s">
        <v>510</v>
      </c>
      <c r="E270" s="18" t="s">
        <v>309</v>
      </c>
      <c r="F270" s="18" t="s">
        <v>509</v>
      </c>
      <c r="G270" s="18" t="s">
        <v>85</v>
      </c>
      <c r="H270" s="18" t="s">
        <v>106</v>
      </c>
      <c r="I270" s="47" t="s">
        <v>501</v>
      </c>
      <c r="J270" s="18" t="s">
        <v>309</v>
      </c>
      <c r="K270" s="18" t="s">
        <v>106</v>
      </c>
      <c r="L270" s="7">
        <v>284</v>
      </c>
      <c r="M270" s="7">
        <v>54</v>
      </c>
      <c r="N270" s="7">
        <v>14</v>
      </c>
      <c r="O270" s="7">
        <v>2</v>
      </c>
      <c r="P270" s="7">
        <v>1</v>
      </c>
      <c r="Q270" s="69">
        <f t="shared" ref="Q270" si="61">M270/L270</f>
        <v>0.19014084507042253</v>
      </c>
      <c r="R270" s="69">
        <f t="shared" ref="R270" si="62">N270/M270</f>
        <v>0.25925925925925924</v>
      </c>
      <c r="S270" s="7"/>
      <c r="T270" s="7"/>
      <c r="U270" s="7"/>
      <c r="V270" s="7"/>
      <c r="W270" s="7"/>
      <c r="Y270" s="86"/>
      <c r="Z270" s="86"/>
      <c r="AA270" s="86"/>
    </row>
    <row r="271" spans="1:27">
      <c r="A271" s="6">
        <v>46135</v>
      </c>
      <c r="B271" s="7" t="s">
        <v>552</v>
      </c>
      <c r="C271" s="62">
        <v>0.79166666666666663</v>
      </c>
      <c r="D271" s="77" t="s">
        <v>526</v>
      </c>
      <c r="E271" s="77" t="s">
        <v>309</v>
      </c>
      <c r="F271" s="77" t="s">
        <v>527</v>
      </c>
      <c r="G271" s="77" t="s">
        <v>85</v>
      </c>
      <c r="H271" s="77" t="s">
        <v>380</v>
      </c>
      <c r="I271" s="47" t="s">
        <v>209</v>
      </c>
      <c r="J271" s="77" t="s">
        <v>309</v>
      </c>
      <c r="K271" s="77" t="s">
        <v>380</v>
      </c>
      <c r="L271" s="7">
        <v>3794</v>
      </c>
      <c r="M271" s="7">
        <v>40</v>
      </c>
      <c r="N271" s="7">
        <v>7</v>
      </c>
      <c r="O271" s="7">
        <v>0</v>
      </c>
      <c r="P271" s="7">
        <v>5</v>
      </c>
      <c r="Q271" s="69">
        <f t="shared" si="59"/>
        <v>1.0542962572482868E-2</v>
      </c>
      <c r="R271" s="69">
        <f t="shared" si="60"/>
        <v>0.17499999999999999</v>
      </c>
      <c r="S271" s="7"/>
      <c r="T271" s="7"/>
      <c r="U271" s="7"/>
      <c r="V271" s="7"/>
      <c r="W271" s="7"/>
    </row>
    <row r="272" spans="1:27">
      <c r="A272" s="6">
        <v>46135</v>
      </c>
      <c r="B272" s="7" t="s">
        <v>552</v>
      </c>
      <c r="C272" s="62">
        <v>0.80208333333333337</v>
      </c>
      <c r="D272" s="77" t="s">
        <v>528</v>
      </c>
      <c r="E272" s="77" t="s">
        <v>309</v>
      </c>
      <c r="F272" s="77" t="s">
        <v>529</v>
      </c>
      <c r="G272" s="77" t="s">
        <v>85</v>
      </c>
      <c r="H272" s="77" t="s">
        <v>383</v>
      </c>
      <c r="I272" s="47" t="s">
        <v>209</v>
      </c>
      <c r="J272" s="77" t="s">
        <v>309</v>
      </c>
      <c r="K272" s="77" t="s">
        <v>383</v>
      </c>
      <c r="L272" s="7">
        <v>1700</v>
      </c>
      <c r="M272" s="7">
        <v>17</v>
      </c>
      <c r="N272" s="7">
        <v>4</v>
      </c>
      <c r="O272" s="7">
        <v>0</v>
      </c>
      <c r="P272" s="7">
        <v>1</v>
      </c>
      <c r="Q272" s="69">
        <f t="shared" si="59"/>
        <v>0.01</v>
      </c>
      <c r="R272" s="69">
        <f t="shared" si="60"/>
        <v>0.23529411764705882</v>
      </c>
      <c r="S272" s="7"/>
      <c r="T272" s="7"/>
      <c r="U272" s="7"/>
      <c r="V272" s="7"/>
      <c r="W272" s="7"/>
    </row>
    <row r="273" spans="1:23">
      <c r="A273" s="6">
        <v>46135</v>
      </c>
      <c r="B273" s="7" t="s">
        <v>552</v>
      </c>
      <c r="C273" s="62">
        <v>0.77083333333333337</v>
      </c>
      <c r="D273" s="77" t="s">
        <v>530</v>
      </c>
      <c r="E273" s="77" t="s">
        <v>309</v>
      </c>
      <c r="F273" s="77" t="s">
        <v>531</v>
      </c>
      <c r="G273" s="77" t="s">
        <v>85</v>
      </c>
      <c r="H273" s="7" t="s">
        <v>350</v>
      </c>
      <c r="I273" s="47" t="s">
        <v>209</v>
      </c>
      <c r="J273" s="77" t="s">
        <v>309</v>
      </c>
      <c r="K273" s="7" t="s">
        <v>350</v>
      </c>
      <c r="L273" s="7">
        <v>5668</v>
      </c>
      <c r="M273" s="7">
        <v>34</v>
      </c>
      <c r="N273" s="7">
        <v>11</v>
      </c>
      <c r="O273" s="7">
        <v>1</v>
      </c>
      <c r="P273" s="7">
        <v>7</v>
      </c>
      <c r="Q273" s="69">
        <f t="shared" si="59"/>
        <v>5.9985885673959072E-3</v>
      </c>
      <c r="R273" s="69">
        <f t="shared" si="60"/>
        <v>0.3235294117647059</v>
      </c>
      <c r="S273" s="7"/>
      <c r="T273" s="7"/>
      <c r="U273" s="7"/>
      <c r="V273" s="7"/>
      <c r="W273" s="7"/>
    </row>
    <row r="274" spans="1:23">
      <c r="A274" s="6">
        <v>46135</v>
      </c>
      <c r="B274" s="7" t="s">
        <v>552</v>
      </c>
      <c r="C274" s="62">
        <v>0.8125</v>
      </c>
      <c r="D274" s="77" t="s">
        <v>532</v>
      </c>
      <c r="E274" s="77" t="s">
        <v>309</v>
      </c>
      <c r="F274" s="77" t="s">
        <v>533</v>
      </c>
      <c r="G274" s="77" t="s">
        <v>85</v>
      </c>
      <c r="H274" s="7" t="s">
        <v>351</v>
      </c>
      <c r="I274" s="47" t="s">
        <v>209</v>
      </c>
      <c r="J274" s="77" t="s">
        <v>309</v>
      </c>
      <c r="K274" s="7" t="s">
        <v>351</v>
      </c>
      <c r="L274" s="7">
        <v>3356</v>
      </c>
      <c r="M274" s="7">
        <v>34</v>
      </c>
      <c r="N274" s="7">
        <v>9</v>
      </c>
      <c r="O274" s="7">
        <v>0</v>
      </c>
      <c r="P274" s="7">
        <v>2</v>
      </c>
      <c r="Q274" s="69">
        <f t="shared" si="59"/>
        <v>1.0131108462455305E-2</v>
      </c>
      <c r="R274" s="69">
        <f t="shared" si="60"/>
        <v>0.26470588235294118</v>
      </c>
      <c r="S274" s="7"/>
      <c r="T274" s="7"/>
      <c r="U274" s="7"/>
      <c r="V274" s="7"/>
      <c r="W274" s="7"/>
    </row>
    <row r="275" spans="1:23">
      <c r="A275" s="6">
        <v>46135</v>
      </c>
      <c r="B275" s="7" t="s">
        <v>552</v>
      </c>
      <c r="C275" s="62">
        <v>0.85416666666666663</v>
      </c>
      <c r="D275" s="88" t="s">
        <v>538</v>
      </c>
      <c r="E275" s="88" t="s">
        <v>309</v>
      </c>
      <c r="F275" s="88" t="s">
        <v>539</v>
      </c>
      <c r="G275" s="7" t="s">
        <v>85</v>
      </c>
      <c r="H275" s="7" t="s">
        <v>210</v>
      </c>
      <c r="I275" s="47" t="s">
        <v>209</v>
      </c>
      <c r="J275" s="7" t="s">
        <v>309</v>
      </c>
      <c r="K275" s="7" t="s">
        <v>210</v>
      </c>
      <c r="L275" s="7">
        <v>535</v>
      </c>
      <c r="M275" s="7">
        <v>33</v>
      </c>
      <c r="N275" s="7">
        <v>20</v>
      </c>
      <c r="O275" s="7">
        <v>0</v>
      </c>
      <c r="P275" s="7">
        <v>0</v>
      </c>
      <c r="Q275" s="69">
        <f t="shared" si="59"/>
        <v>6.1682242990654203E-2</v>
      </c>
      <c r="R275" s="69">
        <f t="shared" si="60"/>
        <v>0.60606060606060608</v>
      </c>
      <c r="S275" s="7"/>
      <c r="T275" s="7"/>
      <c r="U275" s="7"/>
      <c r="V275" s="7"/>
      <c r="W275" s="7"/>
    </row>
    <row r="276" spans="1:23" ht="16.8">
      <c r="A276" s="6">
        <v>46135</v>
      </c>
      <c r="B276" s="7" t="s">
        <v>552</v>
      </c>
      <c r="C276" s="91">
        <v>0.96875</v>
      </c>
      <c r="D276" s="86" t="s">
        <v>513</v>
      </c>
      <c r="E276" s="7" t="s">
        <v>309</v>
      </c>
      <c r="F276" s="86" t="s">
        <v>512</v>
      </c>
      <c r="G276" s="7" t="s">
        <v>85</v>
      </c>
      <c r="H276" s="52" t="s">
        <v>157</v>
      </c>
      <c r="I276" s="98" t="s">
        <v>500</v>
      </c>
      <c r="J276" s="7" t="s">
        <v>309</v>
      </c>
      <c r="K276" s="52" t="s">
        <v>157</v>
      </c>
      <c r="L276" s="86">
        <v>230</v>
      </c>
      <c r="M276" s="86">
        <v>46</v>
      </c>
      <c r="N276" s="86">
        <v>12</v>
      </c>
      <c r="O276" s="86">
        <v>1</v>
      </c>
      <c r="P276" s="86">
        <v>0</v>
      </c>
      <c r="Q276" s="69">
        <f t="shared" ref="Q276" si="63">M276/L276</f>
        <v>0.2</v>
      </c>
      <c r="R276" s="69">
        <f t="shared" ref="R276" si="64">N276/M276</f>
        <v>0.2608695652173913</v>
      </c>
      <c r="S276" s="86"/>
      <c r="T276" s="86"/>
      <c r="U276" s="86"/>
      <c r="V276" s="86"/>
      <c r="W276" s="87"/>
    </row>
    <row r="277" spans="1:23" ht="6.6" customHeight="1">
      <c r="A277" s="22"/>
      <c r="B277" s="23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5"/>
      <c r="R277" s="25"/>
      <c r="S277" s="24"/>
      <c r="T277" s="24"/>
      <c r="U277" s="24"/>
      <c r="V277" s="25"/>
      <c r="W277" s="26"/>
    </row>
    <row r="278" spans="1:23">
      <c r="A278" s="6">
        <v>46136</v>
      </c>
      <c r="B278" s="7" t="s">
        <v>553</v>
      </c>
      <c r="C278" s="18" t="s">
        <v>589</v>
      </c>
      <c r="D278" s="18" t="s">
        <v>185</v>
      </c>
      <c r="E278" s="18" t="s">
        <v>252</v>
      </c>
      <c r="F278" s="18" t="s">
        <v>110</v>
      </c>
      <c r="G278" s="18"/>
      <c r="H278" s="18" t="s">
        <v>106</v>
      </c>
      <c r="I278" s="30"/>
      <c r="J278" s="18" t="s">
        <v>34</v>
      </c>
      <c r="K278" s="18" t="s">
        <v>106</v>
      </c>
      <c r="L278" s="7">
        <v>749</v>
      </c>
      <c r="M278" s="7">
        <v>111</v>
      </c>
      <c r="N278" s="7">
        <v>36</v>
      </c>
      <c r="O278" s="7">
        <v>11</v>
      </c>
      <c r="P278" s="7">
        <v>0</v>
      </c>
      <c r="Q278" s="69">
        <f t="shared" ref="Q278:Q291" si="65">M278/L278</f>
        <v>0.14819759679572764</v>
      </c>
      <c r="R278" s="69">
        <f t="shared" ref="R278:R291" si="66">N278/M278</f>
        <v>0.32432432432432434</v>
      </c>
      <c r="S278" s="7"/>
      <c r="T278" s="7"/>
      <c r="U278" s="7"/>
      <c r="V278" s="7"/>
      <c r="W278" s="7"/>
    </row>
    <row r="279" spans="1:23">
      <c r="A279" s="6">
        <v>46136</v>
      </c>
      <c r="B279" s="7" t="s">
        <v>553</v>
      </c>
      <c r="C279" s="18" t="s">
        <v>590</v>
      </c>
      <c r="D279" s="18" t="s">
        <v>580</v>
      </c>
      <c r="E279" s="18" t="s">
        <v>252</v>
      </c>
      <c r="F279" s="18" t="s">
        <v>579</v>
      </c>
      <c r="G279" s="18"/>
      <c r="H279" s="18" t="s">
        <v>106</v>
      </c>
      <c r="I279" s="47" t="s">
        <v>554</v>
      </c>
      <c r="J279" s="18" t="s">
        <v>34</v>
      </c>
      <c r="K279" s="18" t="s">
        <v>106</v>
      </c>
      <c r="L279" s="7"/>
      <c r="M279" s="7"/>
      <c r="N279" s="7"/>
      <c r="O279" s="7"/>
      <c r="P279" s="7"/>
      <c r="Q279" s="69"/>
      <c r="R279" s="69"/>
      <c r="S279" s="7"/>
      <c r="T279" s="7"/>
      <c r="U279" s="7"/>
      <c r="V279" s="7"/>
      <c r="W279" s="7"/>
    </row>
    <row r="280" spans="1:23">
      <c r="A280" s="6">
        <v>46136</v>
      </c>
      <c r="B280" s="7" t="s">
        <v>553</v>
      </c>
      <c r="C280" s="18"/>
      <c r="D280" s="18" t="s">
        <v>144</v>
      </c>
      <c r="E280" s="18" t="s">
        <v>252</v>
      </c>
      <c r="F280" s="18" t="s">
        <v>145</v>
      </c>
      <c r="G280" s="18"/>
      <c r="H280" s="18" t="s">
        <v>157</v>
      </c>
      <c r="I280" s="47"/>
      <c r="J280" s="18" t="s">
        <v>34</v>
      </c>
      <c r="K280" s="18" t="s">
        <v>157</v>
      </c>
      <c r="L280" s="7">
        <v>336</v>
      </c>
      <c r="M280" s="7">
        <v>152</v>
      </c>
      <c r="N280" s="7">
        <v>27</v>
      </c>
      <c r="O280" s="7">
        <v>18</v>
      </c>
      <c r="P280" s="7">
        <v>0</v>
      </c>
      <c r="Q280" s="69">
        <f t="shared" si="65"/>
        <v>0.45238095238095238</v>
      </c>
      <c r="R280" s="69">
        <f t="shared" si="66"/>
        <v>0.17763157894736842</v>
      </c>
      <c r="S280" s="7"/>
      <c r="T280" s="7"/>
      <c r="U280" s="7"/>
      <c r="V280" s="7"/>
      <c r="W280" s="7"/>
    </row>
    <row r="281" spans="1:23">
      <c r="A281" s="6">
        <v>46136</v>
      </c>
      <c r="B281" s="7" t="s">
        <v>553</v>
      </c>
      <c r="C281" s="18"/>
      <c r="D281" s="18" t="s">
        <v>146</v>
      </c>
      <c r="E281" s="18" t="s">
        <v>252</v>
      </c>
      <c r="F281" s="18" t="s">
        <v>147</v>
      </c>
      <c r="G281" s="18"/>
      <c r="H281" s="18" t="s">
        <v>149</v>
      </c>
      <c r="I281" s="47"/>
      <c r="J281" s="18" t="s">
        <v>34</v>
      </c>
      <c r="K281" s="18" t="s">
        <v>149</v>
      </c>
      <c r="L281" s="7">
        <v>147</v>
      </c>
      <c r="M281" s="7">
        <v>84</v>
      </c>
      <c r="N281" s="7">
        <v>29</v>
      </c>
      <c r="O281" s="7">
        <v>12</v>
      </c>
      <c r="P281" s="7">
        <v>0</v>
      </c>
      <c r="Q281" s="69">
        <f t="shared" si="65"/>
        <v>0.5714285714285714</v>
      </c>
      <c r="R281" s="69">
        <f t="shared" si="66"/>
        <v>0.34523809523809523</v>
      </c>
      <c r="S281" s="7"/>
      <c r="T281" s="7"/>
      <c r="U281" s="7"/>
      <c r="V281" s="7"/>
      <c r="W281" s="7"/>
    </row>
    <row r="282" spans="1:23">
      <c r="A282" s="6">
        <v>46136</v>
      </c>
      <c r="B282" s="7" t="s">
        <v>553</v>
      </c>
      <c r="C282" s="18" t="s">
        <v>589</v>
      </c>
      <c r="D282" s="18" t="s">
        <v>187</v>
      </c>
      <c r="E282" s="18" t="s">
        <v>252</v>
      </c>
      <c r="F282" s="18" t="s">
        <v>188</v>
      </c>
      <c r="G282" s="18"/>
      <c r="H282" s="18" t="s">
        <v>186</v>
      </c>
      <c r="I282" s="47"/>
      <c r="J282" s="18" t="s">
        <v>34</v>
      </c>
      <c r="K282" s="18" t="s">
        <v>186</v>
      </c>
      <c r="L282" s="7">
        <v>2177</v>
      </c>
      <c r="M282" s="7">
        <v>12</v>
      </c>
      <c r="N282" s="7">
        <v>1</v>
      </c>
      <c r="O282" s="7">
        <v>0</v>
      </c>
      <c r="P282" s="7">
        <v>0</v>
      </c>
      <c r="Q282" s="69">
        <f t="shared" si="65"/>
        <v>5.5121727147450618E-3</v>
      </c>
      <c r="R282" s="69">
        <f t="shared" si="66"/>
        <v>8.3333333333333329E-2</v>
      </c>
      <c r="S282" s="7"/>
      <c r="T282" s="7"/>
      <c r="U282" s="7"/>
      <c r="V282" s="7"/>
      <c r="W282" s="7"/>
    </row>
    <row r="283" spans="1:23">
      <c r="A283" s="6">
        <v>46136</v>
      </c>
      <c r="B283" s="7" t="s">
        <v>553</v>
      </c>
      <c r="C283" s="18" t="s">
        <v>590</v>
      </c>
      <c r="D283" s="18" t="s">
        <v>580</v>
      </c>
      <c r="E283" s="18" t="s">
        <v>252</v>
      </c>
      <c r="F283" s="18" t="s">
        <v>579</v>
      </c>
      <c r="G283" s="18"/>
      <c r="H283" s="18" t="s">
        <v>186</v>
      </c>
      <c r="I283" s="14" t="s">
        <v>554</v>
      </c>
      <c r="J283" s="18" t="s">
        <v>34</v>
      </c>
      <c r="K283" s="18" t="s">
        <v>186</v>
      </c>
      <c r="L283" s="7"/>
      <c r="M283" s="7"/>
      <c r="N283" s="7"/>
      <c r="O283" s="7"/>
      <c r="P283" s="7"/>
      <c r="Q283" s="69"/>
      <c r="R283" s="69"/>
      <c r="S283" s="7"/>
      <c r="T283" s="7"/>
      <c r="U283" s="7"/>
      <c r="V283" s="7"/>
      <c r="W283" s="7"/>
    </row>
    <row r="284" spans="1:23">
      <c r="A284" s="6">
        <v>46136</v>
      </c>
      <c r="B284" s="7" t="s">
        <v>553</v>
      </c>
      <c r="C284" s="7"/>
      <c r="D284" s="7" t="s">
        <v>665</v>
      </c>
      <c r="E284" s="7" t="s">
        <v>252</v>
      </c>
      <c r="F284" s="7"/>
      <c r="G284" s="7"/>
      <c r="H284" s="7" t="s">
        <v>170</v>
      </c>
      <c r="I284" s="14" t="s">
        <v>67</v>
      </c>
      <c r="J284" s="7" t="s">
        <v>34</v>
      </c>
      <c r="K284" s="7" t="s">
        <v>170</v>
      </c>
      <c r="L284" s="7">
        <v>1497</v>
      </c>
      <c r="M284" s="7">
        <v>1415</v>
      </c>
      <c r="N284" s="7">
        <v>1018</v>
      </c>
      <c r="O284" s="7">
        <v>0</v>
      </c>
      <c r="P284" s="7">
        <v>3</v>
      </c>
      <c r="Q284" s="69">
        <f t="shared" si="65"/>
        <v>0.9452237808951236</v>
      </c>
      <c r="R284" s="69">
        <f t="shared" si="66"/>
        <v>0.719434628975265</v>
      </c>
      <c r="S284" s="7"/>
      <c r="T284" s="7"/>
      <c r="U284" s="7"/>
      <c r="V284" s="7"/>
      <c r="W284" s="7"/>
    </row>
    <row r="285" spans="1:23">
      <c r="A285" s="6">
        <v>46136</v>
      </c>
      <c r="B285" s="7" t="s">
        <v>553</v>
      </c>
      <c r="C285" s="7"/>
      <c r="D285" s="100" t="s">
        <v>666</v>
      </c>
      <c r="E285" s="7" t="s">
        <v>252</v>
      </c>
      <c r="F285" s="7"/>
      <c r="G285" s="7"/>
      <c r="H285" s="7" t="s">
        <v>170</v>
      </c>
      <c r="I285" s="84"/>
      <c r="J285" s="7" t="s">
        <v>34</v>
      </c>
      <c r="K285" s="7" t="s">
        <v>170</v>
      </c>
      <c r="L285" s="7">
        <v>236</v>
      </c>
      <c r="M285" s="7">
        <v>224</v>
      </c>
      <c r="N285" s="7">
        <v>172</v>
      </c>
      <c r="O285" s="7">
        <v>0</v>
      </c>
      <c r="P285" s="7">
        <v>0</v>
      </c>
      <c r="Q285" s="69">
        <f t="shared" si="65"/>
        <v>0.94915254237288138</v>
      </c>
      <c r="R285" s="69">
        <f t="shared" si="66"/>
        <v>0.7678571428571429</v>
      </c>
      <c r="S285" s="7"/>
      <c r="T285" s="7"/>
      <c r="U285" s="7"/>
      <c r="V285" s="7"/>
      <c r="W285" s="7"/>
    </row>
    <row r="286" spans="1:23">
      <c r="A286" s="6">
        <v>46136</v>
      </c>
      <c r="B286" s="7" t="s">
        <v>553</v>
      </c>
      <c r="C286" s="7"/>
      <c r="D286" s="100" t="s">
        <v>666</v>
      </c>
      <c r="E286" s="7" t="s">
        <v>252</v>
      </c>
      <c r="F286" s="7"/>
      <c r="G286" s="7"/>
      <c r="H286" s="7" t="s">
        <v>170</v>
      </c>
      <c r="I286" s="84"/>
      <c r="J286" s="7" t="s">
        <v>34</v>
      </c>
      <c r="K286" s="7" t="s">
        <v>170</v>
      </c>
      <c r="L286" s="7">
        <v>236</v>
      </c>
      <c r="M286" s="7">
        <v>224</v>
      </c>
      <c r="N286" s="7">
        <v>172</v>
      </c>
      <c r="O286" s="7">
        <v>0</v>
      </c>
      <c r="P286" s="7">
        <v>0</v>
      </c>
      <c r="Q286" s="69">
        <f t="shared" si="65"/>
        <v>0.94915254237288138</v>
      </c>
      <c r="R286" s="69">
        <f t="shared" si="66"/>
        <v>0.7678571428571429</v>
      </c>
      <c r="S286" s="7"/>
      <c r="T286" s="7"/>
      <c r="U286" s="7"/>
      <c r="V286" s="7"/>
      <c r="W286" s="7"/>
    </row>
    <row r="287" spans="1:23">
      <c r="A287" s="6">
        <v>46136</v>
      </c>
      <c r="B287" s="7" t="s">
        <v>553</v>
      </c>
      <c r="C287" s="62">
        <v>0.9375</v>
      </c>
      <c r="D287" s="7" t="s">
        <v>555</v>
      </c>
      <c r="E287" s="7" t="s">
        <v>252</v>
      </c>
      <c r="F287" s="7" t="s">
        <v>150</v>
      </c>
      <c r="G287" s="7"/>
      <c r="H287" s="7" t="s">
        <v>149</v>
      </c>
      <c r="I287" s="47"/>
      <c r="J287" s="7" t="s">
        <v>34</v>
      </c>
      <c r="K287" s="7" t="s">
        <v>149</v>
      </c>
      <c r="L287" s="7">
        <v>249</v>
      </c>
      <c r="M287" s="7">
        <v>66</v>
      </c>
      <c r="N287" s="7">
        <v>15</v>
      </c>
      <c r="O287" s="7">
        <v>2</v>
      </c>
      <c r="P287" s="7">
        <v>0</v>
      </c>
      <c r="Q287" s="69">
        <f t="shared" si="65"/>
        <v>0.26506024096385544</v>
      </c>
      <c r="R287" s="69">
        <f t="shared" si="66"/>
        <v>0.22727272727272727</v>
      </c>
      <c r="S287" s="7"/>
      <c r="T287" s="7"/>
      <c r="U287" s="7"/>
      <c r="V287" s="7"/>
      <c r="W287" s="7"/>
    </row>
    <row r="288" spans="1:23" ht="16.8">
      <c r="A288" s="6">
        <v>46136</v>
      </c>
      <c r="B288" s="7" t="s">
        <v>553</v>
      </c>
      <c r="C288" s="62">
        <v>0.95833333333333337</v>
      </c>
      <c r="D288" s="7" t="s">
        <v>556</v>
      </c>
      <c r="E288" s="7" t="s">
        <v>252</v>
      </c>
      <c r="F288" s="7" t="s">
        <v>248</v>
      </c>
      <c r="G288" s="7"/>
      <c r="H288" s="52" t="s">
        <v>157</v>
      </c>
      <c r="I288" s="47"/>
      <c r="J288" s="7" t="s">
        <v>34</v>
      </c>
      <c r="K288" s="52" t="s">
        <v>157</v>
      </c>
      <c r="L288" s="7">
        <v>515</v>
      </c>
      <c r="M288" s="7">
        <v>118</v>
      </c>
      <c r="N288" s="7">
        <v>18</v>
      </c>
      <c r="O288" s="7">
        <v>8</v>
      </c>
      <c r="P288" s="7">
        <v>0</v>
      </c>
      <c r="Q288" s="69">
        <f t="shared" si="65"/>
        <v>0.22912621359223301</v>
      </c>
      <c r="R288" s="69">
        <f t="shared" si="66"/>
        <v>0.15254237288135594</v>
      </c>
      <c r="S288" s="7"/>
      <c r="T288" s="7"/>
      <c r="U288" s="7"/>
      <c r="V288" s="7"/>
      <c r="W288" s="7"/>
    </row>
    <row r="289" spans="1:23" ht="16.8">
      <c r="A289" s="6">
        <v>46136</v>
      </c>
      <c r="B289" s="7" t="s">
        <v>553</v>
      </c>
      <c r="C289" s="62">
        <v>0.82291666666666663</v>
      </c>
      <c r="D289" s="7" t="s">
        <v>557</v>
      </c>
      <c r="E289" s="31" t="s">
        <v>252</v>
      </c>
      <c r="F289" s="31" t="s">
        <v>334</v>
      </c>
      <c r="G289" s="7"/>
      <c r="H289" s="52" t="s">
        <v>420</v>
      </c>
      <c r="I289" s="47"/>
      <c r="J289" s="7" t="s">
        <v>34</v>
      </c>
      <c r="K289" s="52" t="s">
        <v>420</v>
      </c>
      <c r="L289" s="7">
        <v>274</v>
      </c>
      <c r="M289" s="7">
        <v>72</v>
      </c>
      <c r="N289" s="7">
        <v>15</v>
      </c>
      <c r="O289" s="7">
        <v>4</v>
      </c>
      <c r="P289" s="7">
        <v>0</v>
      </c>
      <c r="Q289" s="69">
        <f t="shared" si="65"/>
        <v>0.26277372262773724</v>
      </c>
      <c r="R289" s="69">
        <f t="shared" si="66"/>
        <v>0.20833333333333334</v>
      </c>
      <c r="S289" s="7"/>
      <c r="T289" s="7"/>
      <c r="U289" s="7"/>
      <c r="V289" s="7"/>
      <c r="W289" s="7"/>
    </row>
    <row r="290" spans="1:23">
      <c r="A290" s="6">
        <v>46136</v>
      </c>
      <c r="B290" s="7" t="s">
        <v>553</v>
      </c>
      <c r="C290" s="62">
        <v>0.79166666666666663</v>
      </c>
      <c r="D290" s="7" t="s">
        <v>558</v>
      </c>
      <c r="E290" s="7" t="s">
        <v>252</v>
      </c>
      <c r="F290" s="35" t="s">
        <v>150</v>
      </c>
      <c r="G290" s="7"/>
      <c r="H290" s="7" t="s">
        <v>121</v>
      </c>
      <c r="I290" s="47"/>
      <c r="J290" s="7" t="s">
        <v>34</v>
      </c>
      <c r="K290" s="7" t="s">
        <v>121</v>
      </c>
      <c r="L290" s="7">
        <v>262</v>
      </c>
      <c r="M290" s="7">
        <v>19</v>
      </c>
      <c r="N290" s="7">
        <v>13</v>
      </c>
      <c r="O290" s="7">
        <v>0</v>
      </c>
      <c r="P290" s="7">
        <v>0</v>
      </c>
      <c r="Q290" s="69">
        <f t="shared" si="65"/>
        <v>7.2519083969465645E-2</v>
      </c>
      <c r="R290" s="69">
        <f t="shared" si="66"/>
        <v>0.68421052631578949</v>
      </c>
      <c r="S290" s="7"/>
      <c r="T290" s="7"/>
      <c r="U290" s="7"/>
      <c r="V290" s="7"/>
      <c r="W290" s="7"/>
    </row>
    <row r="291" spans="1:23" ht="16.8">
      <c r="A291" s="6">
        <v>46136</v>
      </c>
      <c r="B291" s="7" t="s">
        <v>553</v>
      </c>
      <c r="C291" s="64">
        <v>0.85416666666666663</v>
      </c>
      <c r="D291" s="7" t="s">
        <v>559</v>
      </c>
      <c r="E291" s="7" t="s">
        <v>252</v>
      </c>
      <c r="F291" s="7" t="s">
        <v>248</v>
      </c>
      <c r="G291" s="35"/>
      <c r="H291" s="53" t="s">
        <v>210</v>
      </c>
      <c r="I291" s="47"/>
      <c r="J291" s="35" t="s">
        <v>34</v>
      </c>
      <c r="K291" s="53" t="s">
        <v>210</v>
      </c>
      <c r="L291" s="35">
        <v>625</v>
      </c>
      <c r="M291" s="35">
        <v>37</v>
      </c>
      <c r="N291" s="35">
        <v>18</v>
      </c>
      <c r="O291" s="35">
        <v>0</v>
      </c>
      <c r="P291" s="35">
        <v>0</v>
      </c>
      <c r="Q291" s="94">
        <f t="shared" si="65"/>
        <v>5.9200000000000003E-2</v>
      </c>
      <c r="R291" s="94">
        <f t="shared" si="66"/>
        <v>0.48648648648648651</v>
      </c>
      <c r="S291" s="35"/>
      <c r="T291" s="35"/>
      <c r="U291" s="35"/>
      <c r="V291" s="35"/>
      <c r="W291" s="35"/>
    </row>
    <row r="292" spans="1:23" ht="16.8">
      <c r="A292" s="85"/>
      <c r="B292" s="86"/>
      <c r="C292" s="91"/>
      <c r="D292" s="92"/>
      <c r="E292" s="86"/>
      <c r="F292" s="86"/>
      <c r="G292" s="86"/>
      <c r="H292" s="86"/>
      <c r="I292" s="86"/>
      <c r="J292" s="86"/>
      <c r="K292" s="93"/>
      <c r="L292" s="86"/>
      <c r="M292" s="86"/>
      <c r="N292" s="86"/>
      <c r="O292" s="86"/>
      <c r="P292" s="86"/>
      <c r="Q292" s="89"/>
      <c r="R292" s="89"/>
      <c r="S292" s="86"/>
      <c r="T292" s="86"/>
      <c r="U292" s="86"/>
      <c r="V292" s="86"/>
      <c r="W292" s="87"/>
    </row>
    <row r="293" spans="1:23">
      <c r="A293" s="6">
        <v>46136</v>
      </c>
      <c r="B293" s="7" t="s">
        <v>553</v>
      </c>
      <c r="C293" s="18" t="s">
        <v>591</v>
      </c>
      <c r="D293" s="18" t="s">
        <v>108</v>
      </c>
      <c r="E293" s="18" t="s">
        <v>35</v>
      </c>
      <c r="F293" s="18" t="s">
        <v>115</v>
      </c>
      <c r="G293" s="18"/>
      <c r="H293" s="18" t="s">
        <v>106</v>
      </c>
      <c r="I293" s="14"/>
      <c r="J293" s="18" t="s">
        <v>35</v>
      </c>
      <c r="K293" s="18" t="s">
        <v>106</v>
      </c>
      <c r="L293" s="7">
        <v>735</v>
      </c>
      <c r="M293" s="7">
        <v>57</v>
      </c>
      <c r="N293" s="7">
        <v>16</v>
      </c>
      <c r="O293" s="7">
        <v>5</v>
      </c>
      <c r="P293" s="7">
        <v>0</v>
      </c>
      <c r="Q293" s="69">
        <f t="shared" ref="Q293:Q306" si="67">M293/L293</f>
        <v>7.7551020408163265E-2</v>
      </c>
      <c r="R293" s="69">
        <f t="shared" ref="R293:R306" si="68">N293/M293</f>
        <v>0.2807017543859649</v>
      </c>
      <c r="S293" s="7"/>
      <c r="T293" s="7"/>
      <c r="U293" s="7"/>
      <c r="V293" s="7"/>
      <c r="W293" s="7"/>
    </row>
    <row r="294" spans="1:23">
      <c r="A294" s="6">
        <v>46136</v>
      </c>
      <c r="B294" s="7" t="s">
        <v>553</v>
      </c>
      <c r="C294" s="18" t="s">
        <v>592</v>
      </c>
      <c r="D294" s="18" t="s">
        <v>587</v>
      </c>
      <c r="E294" s="18" t="s">
        <v>35</v>
      </c>
      <c r="F294" s="18" t="s">
        <v>588</v>
      </c>
      <c r="G294" s="18"/>
      <c r="H294" s="18" t="s">
        <v>106</v>
      </c>
      <c r="I294" s="14" t="s">
        <v>554</v>
      </c>
      <c r="J294" s="18" t="s">
        <v>35</v>
      </c>
      <c r="K294" s="18" t="s">
        <v>106</v>
      </c>
      <c r="L294" s="7"/>
      <c r="M294" s="7"/>
      <c r="N294" s="7"/>
      <c r="O294" s="7"/>
      <c r="P294" s="7"/>
      <c r="Q294" s="69"/>
      <c r="R294" s="69"/>
      <c r="S294" s="7"/>
      <c r="T294" s="7"/>
      <c r="U294" s="7"/>
      <c r="V294" s="7"/>
      <c r="W294" s="7"/>
    </row>
    <row r="295" spans="1:23">
      <c r="A295" s="6">
        <v>46136</v>
      </c>
      <c r="B295" s="7" t="s">
        <v>553</v>
      </c>
      <c r="C295" s="18"/>
      <c r="D295" s="18" t="s">
        <v>155</v>
      </c>
      <c r="E295" s="18" t="s">
        <v>35</v>
      </c>
      <c r="F295" s="18" t="s">
        <v>156</v>
      </c>
      <c r="G295" s="18"/>
      <c r="H295" s="18" t="s">
        <v>157</v>
      </c>
      <c r="I295" s="30"/>
      <c r="J295" s="18" t="s">
        <v>35</v>
      </c>
      <c r="K295" s="18" t="s">
        <v>157</v>
      </c>
      <c r="L295" s="7">
        <v>323</v>
      </c>
      <c r="M295" s="7">
        <v>54</v>
      </c>
      <c r="N295" s="7">
        <v>15</v>
      </c>
      <c r="O295" s="7">
        <v>3</v>
      </c>
      <c r="P295" s="7">
        <v>0</v>
      </c>
      <c r="Q295" s="69">
        <f t="shared" si="67"/>
        <v>0.16718266253869968</v>
      </c>
      <c r="R295" s="69">
        <f t="shared" si="68"/>
        <v>0.27777777777777779</v>
      </c>
      <c r="S295" s="7"/>
      <c r="T295" s="7"/>
      <c r="U295" s="7"/>
      <c r="V295" s="7"/>
      <c r="W295" s="7"/>
    </row>
    <row r="296" spans="1:23">
      <c r="A296" s="6">
        <v>46136</v>
      </c>
      <c r="B296" s="7" t="s">
        <v>553</v>
      </c>
      <c r="C296" s="18"/>
      <c r="D296" s="18" t="s">
        <v>158</v>
      </c>
      <c r="E296" s="18" t="s">
        <v>35</v>
      </c>
      <c r="F296" s="18" t="s">
        <v>159</v>
      </c>
      <c r="G296" s="18"/>
      <c r="H296" s="18" t="s">
        <v>149</v>
      </c>
      <c r="I296" s="30"/>
      <c r="J296" s="18" t="s">
        <v>35</v>
      </c>
      <c r="K296" s="18" t="s">
        <v>149</v>
      </c>
      <c r="L296" s="7">
        <v>142</v>
      </c>
      <c r="M296" s="7">
        <v>38</v>
      </c>
      <c r="N296" s="7">
        <v>15</v>
      </c>
      <c r="O296" s="7">
        <v>3</v>
      </c>
      <c r="P296" s="7">
        <v>0</v>
      </c>
      <c r="Q296" s="69">
        <f t="shared" si="67"/>
        <v>0.26760563380281688</v>
      </c>
      <c r="R296" s="69">
        <f t="shared" si="68"/>
        <v>0.39473684210526316</v>
      </c>
      <c r="S296" s="7"/>
      <c r="T296" s="7"/>
      <c r="U296" s="7"/>
      <c r="V296" s="7"/>
      <c r="W296" s="7"/>
    </row>
    <row r="297" spans="1:23">
      <c r="A297" s="6">
        <v>46136</v>
      </c>
      <c r="B297" s="7" t="s">
        <v>553</v>
      </c>
      <c r="C297" s="18" t="s">
        <v>591</v>
      </c>
      <c r="D297" s="18" t="s">
        <v>189</v>
      </c>
      <c r="E297" s="18" t="s">
        <v>35</v>
      </c>
      <c r="F297" s="18"/>
      <c r="G297" s="18"/>
      <c r="H297" s="18" t="s">
        <v>186</v>
      </c>
      <c r="I297" s="30"/>
      <c r="J297" s="18" t="s">
        <v>35</v>
      </c>
      <c r="K297" s="18" t="s">
        <v>186</v>
      </c>
      <c r="L297" s="7">
        <v>2183</v>
      </c>
      <c r="M297" s="7">
        <v>9</v>
      </c>
      <c r="N297" s="7">
        <v>1</v>
      </c>
      <c r="O297" s="7">
        <v>1</v>
      </c>
      <c r="P297" s="7">
        <v>0</v>
      </c>
      <c r="Q297" s="69">
        <f t="shared" si="67"/>
        <v>4.1227668346312417E-3</v>
      </c>
      <c r="R297" s="69">
        <f t="shared" si="68"/>
        <v>0.1111111111111111</v>
      </c>
      <c r="S297" s="7"/>
      <c r="T297" s="7"/>
      <c r="U297" s="7"/>
      <c r="V297" s="7"/>
      <c r="W297" s="7"/>
    </row>
    <row r="298" spans="1:23">
      <c r="A298" s="6">
        <v>46136</v>
      </c>
      <c r="B298" s="7" t="s">
        <v>553</v>
      </c>
      <c r="C298" s="18" t="s">
        <v>592</v>
      </c>
      <c r="D298" s="18" t="s">
        <v>587</v>
      </c>
      <c r="E298" s="18" t="s">
        <v>35</v>
      </c>
      <c r="F298" s="18" t="s">
        <v>588</v>
      </c>
      <c r="G298" s="18"/>
      <c r="H298" s="18"/>
      <c r="I298" s="14" t="s">
        <v>554</v>
      </c>
      <c r="J298" s="18"/>
      <c r="K298" s="18"/>
      <c r="L298" s="7"/>
      <c r="M298" s="7"/>
      <c r="N298" s="7"/>
      <c r="O298" s="7"/>
      <c r="P298" s="7"/>
      <c r="Q298" s="69"/>
      <c r="R298" s="69"/>
      <c r="S298" s="7"/>
      <c r="T298" s="7"/>
      <c r="U298" s="7"/>
      <c r="V298" s="7"/>
      <c r="W298" s="7"/>
    </row>
    <row r="299" spans="1:23">
      <c r="A299" s="6">
        <v>46136</v>
      </c>
      <c r="B299" s="7" t="s">
        <v>553</v>
      </c>
      <c r="C299" s="7"/>
      <c r="D299" s="7" t="s">
        <v>667</v>
      </c>
      <c r="E299" s="7" t="s">
        <v>253</v>
      </c>
      <c r="F299" s="7"/>
      <c r="G299" s="7"/>
      <c r="H299" s="7" t="s">
        <v>170</v>
      </c>
      <c r="I299" s="14" t="s">
        <v>67</v>
      </c>
      <c r="J299" s="7" t="s">
        <v>35</v>
      </c>
      <c r="K299" s="7" t="s">
        <v>170</v>
      </c>
      <c r="L299" s="7">
        <v>1499</v>
      </c>
      <c r="M299" s="7">
        <v>1387</v>
      </c>
      <c r="N299" s="7">
        <v>922</v>
      </c>
      <c r="O299" s="7">
        <v>0</v>
      </c>
      <c r="P299" s="7">
        <v>1</v>
      </c>
      <c r="Q299" s="69">
        <f t="shared" si="67"/>
        <v>0.92528352234823219</v>
      </c>
      <c r="R299" s="69">
        <f t="shared" si="68"/>
        <v>0.66474405191059838</v>
      </c>
      <c r="S299" s="7"/>
      <c r="T299" s="7"/>
      <c r="U299" s="7"/>
      <c r="V299" s="7"/>
      <c r="W299" s="7"/>
    </row>
    <row r="300" spans="1:23">
      <c r="A300" s="6">
        <v>46136</v>
      </c>
      <c r="B300" s="7" t="s">
        <v>553</v>
      </c>
      <c r="C300" s="7"/>
      <c r="D300" s="100" t="s">
        <v>668</v>
      </c>
      <c r="E300" s="7" t="s">
        <v>253</v>
      </c>
      <c r="F300" s="7"/>
      <c r="G300" s="7"/>
      <c r="H300" s="7" t="s">
        <v>170</v>
      </c>
      <c r="I300" s="84"/>
      <c r="J300" s="7" t="s">
        <v>35</v>
      </c>
      <c r="K300" s="7" t="s">
        <v>170</v>
      </c>
      <c r="L300" s="7">
        <v>239</v>
      </c>
      <c r="M300" s="7">
        <v>222</v>
      </c>
      <c r="N300" s="7">
        <v>141</v>
      </c>
      <c r="O300" s="7">
        <v>0</v>
      </c>
      <c r="P300" s="7">
        <v>0</v>
      </c>
      <c r="Q300" s="69">
        <f t="shared" si="67"/>
        <v>0.92887029288702927</v>
      </c>
      <c r="R300" s="69">
        <f t="shared" si="68"/>
        <v>0.63513513513513509</v>
      </c>
      <c r="S300" s="7"/>
      <c r="T300" s="7"/>
      <c r="U300" s="7"/>
      <c r="V300" s="7"/>
      <c r="W300" s="7"/>
    </row>
    <row r="301" spans="1:23">
      <c r="A301" s="6">
        <v>46136</v>
      </c>
      <c r="B301" s="7" t="s">
        <v>553</v>
      </c>
      <c r="C301" s="7"/>
      <c r="D301" s="100" t="s">
        <v>668</v>
      </c>
      <c r="E301" s="7" t="s">
        <v>253</v>
      </c>
      <c r="F301" s="7"/>
      <c r="G301" s="7"/>
      <c r="H301" s="7" t="s">
        <v>170</v>
      </c>
      <c r="I301" s="84"/>
      <c r="J301" s="7" t="s">
        <v>35</v>
      </c>
      <c r="K301" s="7" t="s">
        <v>170</v>
      </c>
      <c r="L301" s="7">
        <v>239</v>
      </c>
      <c r="M301" s="7">
        <v>222</v>
      </c>
      <c r="N301" s="7">
        <v>141</v>
      </c>
      <c r="O301" s="7">
        <v>0</v>
      </c>
      <c r="P301" s="7">
        <v>0</v>
      </c>
      <c r="Q301" s="69">
        <f t="shared" si="67"/>
        <v>0.92887029288702927</v>
      </c>
      <c r="R301" s="69">
        <f t="shared" si="68"/>
        <v>0.63513513513513509</v>
      </c>
      <c r="S301" s="7"/>
      <c r="T301" s="7"/>
      <c r="U301" s="7"/>
      <c r="V301" s="7"/>
      <c r="W301" s="7"/>
    </row>
    <row r="302" spans="1:23">
      <c r="A302" s="6">
        <v>46136</v>
      </c>
      <c r="B302" s="7" t="s">
        <v>553</v>
      </c>
      <c r="C302" s="62">
        <v>0.85416666666666663</v>
      </c>
      <c r="D302" s="7" t="s">
        <v>560</v>
      </c>
      <c r="E302" s="7" t="s">
        <v>253</v>
      </c>
      <c r="F302" s="7" t="s">
        <v>161</v>
      </c>
      <c r="G302" s="7"/>
      <c r="H302" s="7" t="s">
        <v>149</v>
      </c>
      <c r="I302" s="47"/>
      <c r="J302" s="7" t="s">
        <v>35</v>
      </c>
      <c r="K302" s="7" t="s">
        <v>149</v>
      </c>
      <c r="L302" s="7">
        <v>246</v>
      </c>
      <c r="M302" s="7">
        <v>74</v>
      </c>
      <c r="N302" s="7">
        <v>15</v>
      </c>
      <c r="O302" s="7">
        <v>1</v>
      </c>
      <c r="P302" s="7">
        <v>0</v>
      </c>
      <c r="Q302" s="69">
        <f t="shared" si="67"/>
        <v>0.30081300813008133</v>
      </c>
      <c r="R302" s="69">
        <f t="shared" si="68"/>
        <v>0.20270270270270271</v>
      </c>
      <c r="S302" s="7"/>
      <c r="T302" s="7"/>
      <c r="U302" s="7"/>
      <c r="V302" s="7"/>
      <c r="W302" s="7"/>
    </row>
    <row r="303" spans="1:23" ht="16.8">
      <c r="A303" s="6">
        <v>46136</v>
      </c>
      <c r="B303" s="7" t="s">
        <v>553</v>
      </c>
      <c r="C303" s="62">
        <v>0.875</v>
      </c>
      <c r="D303" s="7" t="s">
        <v>561</v>
      </c>
      <c r="E303" s="7" t="s">
        <v>253</v>
      </c>
      <c r="F303" s="7" t="s">
        <v>247</v>
      </c>
      <c r="G303" s="7"/>
      <c r="H303" s="52" t="s">
        <v>157</v>
      </c>
      <c r="I303" s="47"/>
      <c r="J303" s="7" t="s">
        <v>35</v>
      </c>
      <c r="K303" s="52" t="s">
        <v>157</v>
      </c>
      <c r="L303" s="7">
        <v>481</v>
      </c>
      <c r="M303" s="7">
        <v>88</v>
      </c>
      <c r="N303" s="7">
        <v>15</v>
      </c>
      <c r="O303" s="7">
        <v>2</v>
      </c>
      <c r="P303" s="7">
        <v>0</v>
      </c>
      <c r="Q303" s="69">
        <f t="shared" si="67"/>
        <v>0.18295218295218296</v>
      </c>
      <c r="R303" s="69">
        <f t="shared" si="68"/>
        <v>0.17045454545454544</v>
      </c>
      <c r="S303" s="7"/>
      <c r="T303" s="7"/>
      <c r="U303" s="7"/>
      <c r="V303" s="7"/>
      <c r="W303" s="7"/>
    </row>
    <row r="304" spans="1:23" ht="16.8">
      <c r="A304" s="6">
        <v>46136</v>
      </c>
      <c r="B304" s="7" t="s">
        <v>553</v>
      </c>
      <c r="C304" s="62">
        <v>0.97916666666666663</v>
      </c>
      <c r="D304" s="7" t="s">
        <v>562</v>
      </c>
      <c r="E304" s="31" t="s">
        <v>253</v>
      </c>
      <c r="F304" s="31" t="s">
        <v>342</v>
      </c>
      <c r="G304" s="7"/>
      <c r="H304" s="52" t="s">
        <v>420</v>
      </c>
      <c r="I304" s="47"/>
      <c r="J304" s="7" t="s">
        <v>35</v>
      </c>
      <c r="K304" s="52" t="s">
        <v>420</v>
      </c>
      <c r="L304" s="7">
        <v>277</v>
      </c>
      <c r="M304" s="7">
        <v>59</v>
      </c>
      <c r="N304" s="7">
        <v>7</v>
      </c>
      <c r="O304" s="7">
        <v>0</v>
      </c>
      <c r="P304" s="7">
        <v>0</v>
      </c>
      <c r="Q304" s="69">
        <f t="shared" si="67"/>
        <v>0.21299638989169675</v>
      </c>
      <c r="R304" s="69">
        <f t="shared" si="68"/>
        <v>0.11864406779661017</v>
      </c>
      <c r="S304" s="7"/>
      <c r="T304" s="7"/>
      <c r="U304" s="7"/>
      <c r="V304" s="7"/>
      <c r="W304" s="7"/>
    </row>
    <row r="305" spans="1:23">
      <c r="A305" s="6">
        <v>46136</v>
      </c>
      <c r="B305" s="7" t="s">
        <v>553</v>
      </c>
      <c r="C305" s="62">
        <v>0.91666666666666663</v>
      </c>
      <c r="D305" s="7" t="s">
        <v>563</v>
      </c>
      <c r="E305" s="7" t="s">
        <v>253</v>
      </c>
      <c r="F305" s="7" t="s">
        <v>161</v>
      </c>
      <c r="G305" s="7"/>
      <c r="H305" s="7" t="s">
        <v>121</v>
      </c>
      <c r="I305" s="47"/>
      <c r="J305" s="7" t="s">
        <v>35</v>
      </c>
      <c r="K305" s="7" t="s">
        <v>121</v>
      </c>
      <c r="L305" s="7">
        <v>273</v>
      </c>
      <c r="M305" s="7">
        <v>21</v>
      </c>
      <c r="N305" s="7">
        <v>13</v>
      </c>
      <c r="O305" s="7">
        <v>0</v>
      </c>
      <c r="P305" s="7">
        <v>0</v>
      </c>
      <c r="Q305" s="69">
        <f t="shared" si="67"/>
        <v>7.6923076923076927E-2</v>
      </c>
      <c r="R305" s="69">
        <f t="shared" si="68"/>
        <v>0.61904761904761907</v>
      </c>
      <c r="S305" s="7"/>
      <c r="T305" s="7"/>
      <c r="U305" s="7"/>
      <c r="V305" s="7"/>
      <c r="W305" s="7"/>
    </row>
    <row r="306" spans="1:23" ht="16.8">
      <c r="A306" s="6">
        <v>46136</v>
      </c>
      <c r="B306" s="7" t="s">
        <v>553</v>
      </c>
      <c r="C306" s="62">
        <v>0.96875</v>
      </c>
      <c r="D306" s="7" t="s">
        <v>564</v>
      </c>
      <c r="E306" s="7" t="s">
        <v>253</v>
      </c>
      <c r="F306" s="7" t="s">
        <v>247</v>
      </c>
      <c r="G306" s="7"/>
      <c r="H306" s="52" t="s">
        <v>210</v>
      </c>
      <c r="I306" s="47"/>
      <c r="J306" s="7" t="s">
        <v>35</v>
      </c>
      <c r="K306" s="52" t="s">
        <v>210</v>
      </c>
      <c r="L306" s="7">
        <v>657</v>
      </c>
      <c r="M306" s="7">
        <v>42</v>
      </c>
      <c r="N306" s="7">
        <v>20</v>
      </c>
      <c r="O306" s="7">
        <v>0</v>
      </c>
      <c r="P306" s="7">
        <v>0</v>
      </c>
      <c r="Q306" s="69">
        <f t="shared" si="67"/>
        <v>6.3926940639269403E-2</v>
      </c>
      <c r="R306" s="69">
        <f t="shared" si="68"/>
        <v>0.47619047619047616</v>
      </c>
      <c r="S306" s="7"/>
      <c r="T306" s="7"/>
      <c r="U306" s="7"/>
      <c r="V306" s="7"/>
      <c r="W306" s="7"/>
    </row>
    <row r="307" spans="1:23" ht="16.8">
      <c r="A307" s="85"/>
      <c r="B307" s="86"/>
      <c r="C307" s="91"/>
      <c r="D307" s="92"/>
      <c r="E307" s="86"/>
      <c r="F307" s="86"/>
      <c r="G307" s="86"/>
      <c r="H307" s="86"/>
      <c r="I307" s="86"/>
      <c r="J307" s="86"/>
      <c r="K307" s="93"/>
      <c r="L307" s="86"/>
      <c r="M307" s="86"/>
      <c r="N307" s="86"/>
      <c r="O307" s="86"/>
      <c r="P307" s="86"/>
      <c r="Q307" s="89"/>
      <c r="R307" s="89"/>
      <c r="S307" s="86"/>
      <c r="T307" s="86"/>
      <c r="U307" s="86"/>
      <c r="V307" s="86"/>
      <c r="W307" s="87"/>
    </row>
    <row r="308" spans="1:23">
      <c r="A308" s="6">
        <v>46136</v>
      </c>
      <c r="B308" s="7" t="s">
        <v>553</v>
      </c>
      <c r="C308" s="18" t="s">
        <v>596</v>
      </c>
      <c r="D308" s="18" t="s">
        <v>595</v>
      </c>
      <c r="E308" s="18" t="s">
        <v>27</v>
      </c>
      <c r="F308" s="18" t="s">
        <v>303</v>
      </c>
      <c r="G308" s="18" t="s">
        <v>85</v>
      </c>
      <c r="H308" s="18" t="s">
        <v>186</v>
      </c>
      <c r="I308" s="47"/>
      <c r="J308" s="18" t="s">
        <v>27</v>
      </c>
      <c r="K308" s="18" t="s">
        <v>186</v>
      </c>
      <c r="L308" s="7">
        <v>2187</v>
      </c>
      <c r="M308" s="7">
        <v>8</v>
      </c>
      <c r="N308" s="7">
        <v>1</v>
      </c>
      <c r="O308" s="7">
        <v>1</v>
      </c>
      <c r="P308" s="7">
        <v>1</v>
      </c>
      <c r="Q308" s="69">
        <f t="shared" ref="Q308:Q318" si="69">M308/L308</f>
        <v>3.6579789666209418E-3</v>
      </c>
      <c r="R308" s="69">
        <f t="shared" ref="R308:R318" si="70">N308/M308</f>
        <v>0.125</v>
      </c>
      <c r="S308" s="7"/>
      <c r="T308" s="7"/>
      <c r="U308" s="7"/>
      <c r="V308" s="7"/>
      <c r="W308" s="7"/>
    </row>
    <row r="309" spans="1:23">
      <c r="A309" s="6">
        <v>46136</v>
      </c>
      <c r="B309" s="7" t="s">
        <v>553</v>
      </c>
      <c r="C309" s="18" t="s">
        <v>597</v>
      </c>
      <c r="D309" s="18" t="s">
        <v>594</v>
      </c>
      <c r="E309" s="18" t="s">
        <v>27</v>
      </c>
      <c r="F309" s="18" t="s">
        <v>593</v>
      </c>
      <c r="G309" s="18" t="s">
        <v>85</v>
      </c>
      <c r="H309" s="18" t="s">
        <v>186</v>
      </c>
      <c r="I309" s="14" t="s">
        <v>554</v>
      </c>
      <c r="J309" s="18" t="s">
        <v>27</v>
      </c>
      <c r="K309" s="18" t="s">
        <v>186</v>
      </c>
      <c r="L309" s="7"/>
      <c r="M309" s="7"/>
      <c r="N309" s="7"/>
      <c r="O309" s="7"/>
      <c r="P309" s="7"/>
      <c r="Q309" s="69" t="e">
        <f t="shared" ref="Q309:Q313" si="71">M309/L309</f>
        <v>#DIV/0!</v>
      </c>
      <c r="R309" s="69" t="e">
        <f t="shared" ref="R309:R313" si="72">N309/M309</f>
        <v>#DIV/0!</v>
      </c>
      <c r="S309" s="7"/>
      <c r="T309" s="7"/>
      <c r="U309" s="7"/>
      <c r="V309" s="7"/>
      <c r="W309" s="7"/>
    </row>
    <row r="310" spans="1:23">
      <c r="A310" s="6">
        <v>46136</v>
      </c>
      <c r="B310" s="7" t="s">
        <v>553</v>
      </c>
      <c r="C310" s="18" t="s">
        <v>347</v>
      </c>
      <c r="D310" s="18" t="s">
        <v>345</v>
      </c>
      <c r="E310" s="18" t="s">
        <v>27</v>
      </c>
      <c r="F310" s="18" t="s">
        <v>346</v>
      </c>
      <c r="G310" s="18" t="s">
        <v>85</v>
      </c>
      <c r="H310" s="18" t="s">
        <v>313</v>
      </c>
      <c r="I310" s="47"/>
      <c r="J310" s="18" t="s">
        <v>27</v>
      </c>
      <c r="K310" s="18" t="s">
        <v>313</v>
      </c>
      <c r="L310" s="7"/>
      <c r="M310" s="7"/>
      <c r="N310" s="7"/>
      <c r="O310" s="7"/>
      <c r="P310" s="7"/>
      <c r="Q310" s="69" t="e">
        <f t="shared" si="71"/>
        <v>#DIV/0!</v>
      </c>
      <c r="R310" s="69" t="e">
        <f t="shared" si="72"/>
        <v>#DIV/0!</v>
      </c>
      <c r="S310" s="7"/>
      <c r="T310" s="7"/>
      <c r="U310" s="7"/>
      <c r="V310" s="7"/>
      <c r="W310" s="7"/>
    </row>
    <row r="311" spans="1:23">
      <c r="A311" s="6">
        <v>46136</v>
      </c>
      <c r="B311" s="7" t="s">
        <v>553</v>
      </c>
      <c r="C311" s="18" t="s">
        <v>308</v>
      </c>
      <c r="D311" s="18" t="s">
        <v>503</v>
      </c>
      <c r="E311" s="18" t="s">
        <v>27</v>
      </c>
      <c r="F311" s="18" t="s">
        <v>502</v>
      </c>
      <c r="G311" s="18" t="s">
        <v>85</v>
      </c>
      <c r="H311" s="18" t="s">
        <v>106</v>
      </c>
      <c r="I311" s="47"/>
      <c r="J311" s="18" t="s">
        <v>27</v>
      </c>
      <c r="K311" s="18" t="s">
        <v>106</v>
      </c>
      <c r="L311" s="7">
        <v>732</v>
      </c>
      <c r="M311" s="7">
        <v>11</v>
      </c>
      <c r="N311" s="7">
        <v>4</v>
      </c>
      <c r="O311" s="7"/>
      <c r="P311" s="7"/>
      <c r="Q311" s="69">
        <f t="shared" si="71"/>
        <v>1.5027322404371584E-2</v>
      </c>
      <c r="R311" s="69">
        <f t="shared" si="72"/>
        <v>0.36363636363636365</v>
      </c>
      <c r="S311" s="7"/>
      <c r="T311" s="7"/>
      <c r="U311" s="7"/>
      <c r="V311" s="7"/>
      <c r="W311" s="7"/>
    </row>
    <row r="312" spans="1:23">
      <c r="A312" s="6">
        <v>46136</v>
      </c>
      <c r="B312" s="7" t="s">
        <v>553</v>
      </c>
      <c r="C312" s="18" t="s">
        <v>598</v>
      </c>
      <c r="D312" s="18" t="s">
        <v>594</v>
      </c>
      <c r="E312" s="18" t="s">
        <v>27</v>
      </c>
      <c r="F312" s="18" t="s">
        <v>593</v>
      </c>
      <c r="G312" s="18" t="s">
        <v>85</v>
      </c>
      <c r="H312" s="18" t="s">
        <v>106</v>
      </c>
      <c r="I312" s="14" t="s">
        <v>554</v>
      </c>
      <c r="J312" s="18"/>
      <c r="K312" s="18"/>
      <c r="L312" s="7"/>
      <c r="M312" s="7"/>
      <c r="N312" s="7"/>
      <c r="O312" s="7"/>
      <c r="P312" s="7"/>
      <c r="Q312" s="69" t="e">
        <f t="shared" si="71"/>
        <v>#DIV/0!</v>
      </c>
      <c r="R312" s="69" t="e">
        <f t="shared" si="72"/>
        <v>#DIV/0!</v>
      </c>
      <c r="S312" s="7"/>
      <c r="T312" s="7"/>
      <c r="U312" s="7"/>
      <c r="V312" s="7"/>
      <c r="W312" s="7"/>
    </row>
    <row r="313" spans="1:23">
      <c r="A313" s="6">
        <v>46136</v>
      </c>
      <c r="B313" s="7" t="s">
        <v>553</v>
      </c>
      <c r="C313" s="62">
        <v>0.75</v>
      </c>
      <c r="D313" s="77" t="s">
        <v>565</v>
      </c>
      <c r="E313" s="77" t="s">
        <v>27</v>
      </c>
      <c r="F313" s="77" t="s">
        <v>371</v>
      </c>
      <c r="G313" s="77" t="s">
        <v>85</v>
      </c>
      <c r="H313" s="77" t="s">
        <v>348</v>
      </c>
      <c r="I313" s="84"/>
      <c r="J313" s="77" t="s">
        <v>27</v>
      </c>
      <c r="K313" s="77" t="s">
        <v>348</v>
      </c>
      <c r="L313" s="7">
        <v>3095</v>
      </c>
      <c r="M313" s="7">
        <v>20</v>
      </c>
      <c r="N313" s="7">
        <v>4</v>
      </c>
      <c r="O313" s="7">
        <v>0</v>
      </c>
      <c r="P313" s="7">
        <v>2</v>
      </c>
      <c r="Q313" s="69">
        <f t="shared" si="71"/>
        <v>6.462035541195477E-3</v>
      </c>
      <c r="R313" s="69">
        <f t="shared" si="72"/>
        <v>0.2</v>
      </c>
      <c r="S313" s="7"/>
      <c r="T313" s="7"/>
      <c r="U313" s="7"/>
      <c r="V313" s="7"/>
      <c r="W313" s="7"/>
    </row>
    <row r="314" spans="1:23">
      <c r="A314" s="6">
        <v>46136</v>
      </c>
      <c r="B314" s="7" t="s">
        <v>553</v>
      </c>
      <c r="C314" s="62">
        <v>0.76041666666666663</v>
      </c>
      <c r="D314" s="77" t="s">
        <v>566</v>
      </c>
      <c r="E314" s="77" t="s">
        <v>27</v>
      </c>
      <c r="F314" s="77" t="s">
        <v>373</v>
      </c>
      <c r="G314" s="77" t="s">
        <v>85</v>
      </c>
      <c r="H314" s="77" t="s">
        <v>349</v>
      </c>
      <c r="I314" s="84"/>
      <c r="J314" s="77" t="s">
        <v>27</v>
      </c>
      <c r="K314" s="77" t="s">
        <v>349</v>
      </c>
      <c r="L314" s="7">
        <v>1238</v>
      </c>
      <c r="M314" s="7">
        <v>4</v>
      </c>
      <c r="N314" s="7">
        <v>0</v>
      </c>
      <c r="O314" s="7">
        <v>0</v>
      </c>
      <c r="P314" s="7">
        <v>1</v>
      </c>
      <c r="Q314" s="69">
        <f t="shared" si="69"/>
        <v>3.2310177705977385E-3</v>
      </c>
      <c r="R314" s="69">
        <f t="shared" si="70"/>
        <v>0</v>
      </c>
      <c r="S314" s="7"/>
      <c r="T314" s="7"/>
      <c r="U314" s="7"/>
      <c r="V314" s="7"/>
      <c r="W314" s="7"/>
    </row>
    <row r="315" spans="1:23">
      <c r="A315" s="6">
        <v>46136</v>
      </c>
      <c r="B315" s="7" t="s">
        <v>553</v>
      </c>
      <c r="C315" s="62">
        <v>0.70833333333333337</v>
      </c>
      <c r="D315" s="77" t="s">
        <v>567</v>
      </c>
      <c r="E315" s="77" t="s">
        <v>27</v>
      </c>
      <c r="F315" s="77" t="s">
        <v>375</v>
      </c>
      <c r="G315" s="77" t="s">
        <v>85</v>
      </c>
      <c r="H315" s="77" t="s">
        <v>350</v>
      </c>
      <c r="I315" s="84"/>
      <c r="J315" s="77" t="s">
        <v>27</v>
      </c>
      <c r="K315" s="77" t="s">
        <v>350</v>
      </c>
      <c r="L315" s="7">
        <v>5593</v>
      </c>
      <c r="M315" s="7">
        <v>32</v>
      </c>
      <c r="N315" s="7">
        <v>4</v>
      </c>
      <c r="O315" s="7">
        <v>0</v>
      </c>
      <c r="P315" s="7">
        <v>0</v>
      </c>
      <c r="Q315" s="69">
        <f t="shared" si="69"/>
        <v>5.7214375111746827E-3</v>
      </c>
      <c r="R315" s="69">
        <f t="shared" si="70"/>
        <v>0.125</v>
      </c>
      <c r="S315" s="7"/>
      <c r="T315" s="7"/>
      <c r="U315" s="7"/>
      <c r="V315" s="7"/>
      <c r="W315" s="7"/>
    </row>
    <row r="316" spans="1:23">
      <c r="A316" s="6">
        <v>46136</v>
      </c>
      <c r="B316" s="7" t="s">
        <v>553</v>
      </c>
      <c r="C316" s="62">
        <v>0.78125</v>
      </c>
      <c r="D316" s="77" t="s">
        <v>568</v>
      </c>
      <c r="E316" s="77" t="s">
        <v>27</v>
      </c>
      <c r="F316" s="77" t="s">
        <v>377</v>
      </c>
      <c r="G316" s="77" t="s">
        <v>85</v>
      </c>
      <c r="H316" s="77" t="s">
        <v>351</v>
      </c>
      <c r="I316" s="84"/>
      <c r="J316" s="77" t="s">
        <v>27</v>
      </c>
      <c r="K316" s="77" t="s">
        <v>351</v>
      </c>
      <c r="L316" s="7">
        <v>3296</v>
      </c>
      <c r="M316" s="7">
        <v>24</v>
      </c>
      <c r="N316" s="7">
        <v>6</v>
      </c>
      <c r="O316" s="7">
        <v>0</v>
      </c>
      <c r="P316" s="7">
        <v>0</v>
      </c>
      <c r="Q316" s="69">
        <f t="shared" si="69"/>
        <v>7.2815533980582527E-3</v>
      </c>
      <c r="R316" s="69">
        <f t="shared" si="70"/>
        <v>0.25</v>
      </c>
      <c r="S316" s="7"/>
      <c r="T316" s="7"/>
      <c r="U316" s="7"/>
      <c r="V316" s="7"/>
      <c r="W316" s="7"/>
    </row>
    <row r="317" spans="1:23">
      <c r="A317" s="6">
        <v>46136</v>
      </c>
      <c r="B317" s="7" t="s">
        <v>553</v>
      </c>
      <c r="C317" s="62">
        <v>0.80208333333333337</v>
      </c>
      <c r="D317" s="88" t="s">
        <v>581</v>
      </c>
      <c r="E317" s="88" t="s">
        <v>27</v>
      </c>
      <c r="F317" s="88" t="s">
        <v>582</v>
      </c>
      <c r="G317" s="77" t="s">
        <v>85</v>
      </c>
      <c r="H317" s="7" t="s">
        <v>210</v>
      </c>
      <c r="I317" s="14" t="s">
        <v>209</v>
      </c>
      <c r="J317" s="77" t="s">
        <v>27</v>
      </c>
      <c r="K317" s="7" t="s">
        <v>210</v>
      </c>
      <c r="L317" s="7">
        <v>617</v>
      </c>
      <c r="M317" s="7">
        <v>25</v>
      </c>
      <c r="N317" s="7">
        <v>12</v>
      </c>
      <c r="O317" s="7">
        <v>0</v>
      </c>
      <c r="P317" s="7">
        <v>0</v>
      </c>
      <c r="Q317" s="69">
        <f t="shared" si="69"/>
        <v>4.0518638573743923E-2</v>
      </c>
      <c r="R317" s="69">
        <f t="shared" si="70"/>
        <v>0.48</v>
      </c>
      <c r="S317" s="7"/>
      <c r="T317" s="7"/>
      <c r="U317" s="7"/>
      <c r="V317" s="7"/>
      <c r="W317" s="7"/>
    </row>
    <row r="318" spans="1:23" ht="16.8">
      <c r="A318" s="6">
        <v>46136</v>
      </c>
      <c r="B318" s="7" t="s">
        <v>553</v>
      </c>
      <c r="C318" s="62">
        <v>0.83333333333333337</v>
      </c>
      <c r="D318" s="77" t="s">
        <v>607</v>
      </c>
      <c r="E318" s="7" t="s">
        <v>27</v>
      </c>
      <c r="F318" s="77" t="s">
        <v>375</v>
      </c>
      <c r="G318" s="77" t="s">
        <v>85</v>
      </c>
      <c r="H318" s="52" t="s">
        <v>157</v>
      </c>
      <c r="I318" s="98"/>
      <c r="J318" s="77" t="s">
        <v>27</v>
      </c>
      <c r="K318" s="52" t="s">
        <v>157</v>
      </c>
      <c r="L318" s="86">
        <v>469</v>
      </c>
      <c r="M318" s="86">
        <v>11</v>
      </c>
      <c r="N318" s="86">
        <v>3</v>
      </c>
      <c r="O318" s="86"/>
      <c r="P318" s="86"/>
      <c r="Q318" s="69">
        <f t="shared" si="69"/>
        <v>2.3454157782515993E-2</v>
      </c>
      <c r="R318" s="69">
        <f t="shared" si="70"/>
        <v>0.27272727272727271</v>
      </c>
      <c r="S318" s="86"/>
      <c r="T318" s="86"/>
      <c r="U318" s="86"/>
      <c r="V318" s="86"/>
      <c r="W318" s="87"/>
    </row>
    <row r="319" spans="1:23" ht="16.8">
      <c r="A319" s="85"/>
      <c r="B319" s="86"/>
      <c r="C319" s="91"/>
      <c r="D319" s="92"/>
      <c r="E319" s="86"/>
      <c r="F319" s="86"/>
      <c r="G319" s="86"/>
      <c r="H319" s="86"/>
      <c r="I319" s="86"/>
      <c r="J319" s="86"/>
      <c r="K319" s="93"/>
      <c r="L319" s="86"/>
      <c r="M319" s="86"/>
      <c r="N319" s="86"/>
      <c r="O319" s="86"/>
      <c r="P319" s="86"/>
      <c r="Q319" s="89"/>
      <c r="R319" s="89"/>
      <c r="S319" s="86"/>
      <c r="T319" s="86"/>
      <c r="U319" s="86"/>
      <c r="V319" s="86"/>
      <c r="W319" s="87"/>
    </row>
    <row r="320" spans="1:23">
      <c r="A320" s="6">
        <v>46136</v>
      </c>
      <c r="B320" s="7" t="s">
        <v>553</v>
      </c>
      <c r="C320" s="18" t="s">
        <v>599</v>
      </c>
      <c r="D320" s="18" t="s">
        <v>306</v>
      </c>
      <c r="E320" s="18" t="s">
        <v>28</v>
      </c>
      <c r="F320" s="18" t="s">
        <v>307</v>
      </c>
      <c r="G320" s="18" t="s">
        <v>85</v>
      </c>
      <c r="H320" s="18" t="s">
        <v>186</v>
      </c>
      <c r="I320" s="47"/>
      <c r="J320" s="18" t="s">
        <v>28</v>
      </c>
      <c r="K320" s="18" t="s">
        <v>186</v>
      </c>
      <c r="L320" s="7">
        <v>2183</v>
      </c>
      <c r="M320" s="7">
        <v>12</v>
      </c>
      <c r="N320" s="7">
        <v>1</v>
      </c>
      <c r="O320" s="7">
        <v>0</v>
      </c>
      <c r="P320" s="7">
        <v>0</v>
      </c>
      <c r="Q320" s="69">
        <f t="shared" ref="Q320:Q330" si="73">M320/L320</f>
        <v>5.4970224461749883E-3</v>
      </c>
      <c r="R320" s="69">
        <f t="shared" ref="R320:R330" si="74">N320/M320</f>
        <v>8.3333333333333329E-2</v>
      </c>
      <c r="S320" s="7"/>
      <c r="T320" s="7"/>
      <c r="U320" s="7"/>
      <c r="V320" s="7"/>
      <c r="W320" s="7"/>
    </row>
    <row r="321" spans="1:23">
      <c r="A321" s="6">
        <v>46136</v>
      </c>
      <c r="B321" s="7" t="s">
        <v>553</v>
      </c>
      <c r="C321" s="18" t="s">
        <v>600</v>
      </c>
      <c r="D321" s="18" t="s">
        <v>602</v>
      </c>
      <c r="E321" s="18" t="s">
        <v>28</v>
      </c>
      <c r="F321" s="18" t="s">
        <v>601</v>
      </c>
      <c r="G321" s="18"/>
      <c r="H321" s="18" t="s">
        <v>186</v>
      </c>
      <c r="I321" s="14" t="s">
        <v>554</v>
      </c>
      <c r="J321" s="18"/>
      <c r="K321" s="18"/>
      <c r="L321" s="7"/>
      <c r="M321" s="7"/>
      <c r="N321" s="7"/>
      <c r="O321" s="7"/>
      <c r="P321" s="7"/>
      <c r="Q321" s="69" t="e">
        <f t="shared" ref="Q321:Q325" si="75">M321/L321</f>
        <v>#DIV/0!</v>
      </c>
      <c r="R321" s="69" t="e">
        <f t="shared" ref="R321:R325" si="76">N321/M321</f>
        <v>#DIV/0!</v>
      </c>
      <c r="S321" s="7"/>
      <c r="T321" s="7"/>
      <c r="U321" s="7"/>
      <c r="V321" s="7"/>
      <c r="W321" s="7"/>
    </row>
    <row r="322" spans="1:23">
      <c r="A322" s="6">
        <v>46136</v>
      </c>
      <c r="B322" s="7" t="s">
        <v>553</v>
      </c>
      <c r="C322" s="18" t="s">
        <v>347</v>
      </c>
      <c r="D322" s="18" t="s">
        <v>352</v>
      </c>
      <c r="E322" s="18" t="s">
        <v>28</v>
      </c>
      <c r="F322" s="18" t="s">
        <v>353</v>
      </c>
      <c r="G322" s="18" t="s">
        <v>85</v>
      </c>
      <c r="H322" s="18" t="s">
        <v>186</v>
      </c>
      <c r="I322" s="47"/>
      <c r="J322" s="18" t="s">
        <v>28</v>
      </c>
      <c r="K322" s="18" t="s">
        <v>186</v>
      </c>
      <c r="L322" s="7"/>
      <c r="M322" s="7"/>
      <c r="N322" s="7"/>
      <c r="O322" s="7"/>
      <c r="P322" s="7"/>
      <c r="Q322" s="69" t="e">
        <f t="shared" si="75"/>
        <v>#DIV/0!</v>
      </c>
      <c r="R322" s="69" t="e">
        <f t="shared" si="76"/>
        <v>#DIV/0!</v>
      </c>
      <c r="S322" s="7"/>
      <c r="T322" s="7"/>
      <c r="U322" s="7"/>
      <c r="V322" s="7"/>
      <c r="W322" s="7"/>
    </row>
    <row r="323" spans="1:23">
      <c r="A323" s="6">
        <v>46136</v>
      </c>
      <c r="B323" s="7" t="s">
        <v>553</v>
      </c>
      <c r="C323" s="18" t="s">
        <v>599</v>
      </c>
      <c r="D323" s="18" t="s">
        <v>507</v>
      </c>
      <c r="E323" s="18" t="s">
        <v>28</v>
      </c>
      <c r="F323" s="18" t="s">
        <v>506</v>
      </c>
      <c r="G323" s="18" t="s">
        <v>85</v>
      </c>
      <c r="H323" s="18" t="s">
        <v>106</v>
      </c>
      <c r="I323" s="47"/>
      <c r="J323" s="18" t="s">
        <v>28</v>
      </c>
      <c r="K323" s="18" t="s">
        <v>106</v>
      </c>
      <c r="L323" s="7">
        <v>725</v>
      </c>
      <c r="M323" s="7">
        <v>12</v>
      </c>
      <c r="N323" s="7">
        <v>1</v>
      </c>
      <c r="O323" s="7"/>
      <c r="P323" s="7"/>
      <c r="Q323" s="69">
        <f t="shared" si="75"/>
        <v>1.6551724137931035E-2</v>
      </c>
      <c r="R323" s="69">
        <f t="shared" si="76"/>
        <v>8.3333333333333329E-2</v>
      </c>
      <c r="S323" s="7"/>
      <c r="T323" s="7"/>
      <c r="U323" s="7"/>
      <c r="V323" s="7"/>
      <c r="W323" s="7"/>
    </row>
    <row r="324" spans="1:23">
      <c r="A324" s="6">
        <v>46136</v>
      </c>
      <c r="B324" s="7" t="s">
        <v>553</v>
      </c>
      <c r="C324" s="18" t="s">
        <v>600</v>
      </c>
      <c r="D324" s="18" t="s">
        <v>602</v>
      </c>
      <c r="E324" s="18" t="s">
        <v>28</v>
      </c>
      <c r="F324" s="18" t="s">
        <v>601</v>
      </c>
      <c r="G324" s="18" t="s">
        <v>85</v>
      </c>
      <c r="H324" s="18" t="s">
        <v>106</v>
      </c>
      <c r="I324" s="14" t="s">
        <v>554</v>
      </c>
      <c r="J324" s="18"/>
      <c r="K324" s="18"/>
      <c r="L324" s="7"/>
      <c r="M324" s="7"/>
      <c r="N324" s="7"/>
      <c r="O324" s="7"/>
      <c r="P324" s="7"/>
      <c r="Q324" s="69" t="e">
        <f t="shared" si="75"/>
        <v>#DIV/0!</v>
      </c>
      <c r="R324" s="69" t="e">
        <f t="shared" si="76"/>
        <v>#DIV/0!</v>
      </c>
      <c r="S324" s="7"/>
      <c r="T324" s="7"/>
      <c r="U324" s="7"/>
      <c r="V324" s="7"/>
      <c r="W324" s="7"/>
    </row>
    <row r="325" spans="1:23">
      <c r="A325" s="6">
        <v>46136</v>
      </c>
      <c r="B325" s="7" t="s">
        <v>553</v>
      </c>
      <c r="C325" s="62">
        <v>0.79166666666666663</v>
      </c>
      <c r="D325" s="7" t="s">
        <v>569</v>
      </c>
      <c r="E325" s="7" t="s">
        <v>28</v>
      </c>
      <c r="F325" s="7" t="s">
        <v>356</v>
      </c>
      <c r="G325" s="7" t="s">
        <v>85</v>
      </c>
      <c r="H325" s="77" t="s">
        <v>359</v>
      </c>
      <c r="I325" s="84"/>
      <c r="J325" s="77" t="s">
        <v>28</v>
      </c>
      <c r="K325" s="77" t="s">
        <v>359</v>
      </c>
      <c r="L325" s="7">
        <v>1279</v>
      </c>
      <c r="M325" s="7">
        <v>13</v>
      </c>
      <c r="N325" s="7">
        <v>2</v>
      </c>
      <c r="O325" s="7">
        <v>1</v>
      </c>
      <c r="P325" s="7">
        <v>3</v>
      </c>
      <c r="Q325" s="69">
        <f t="shared" si="75"/>
        <v>1.0164190774042221E-2</v>
      </c>
      <c r="R325" s="69">
        <f t="shared" si="76"/>
        <v>0.15384615384615385</v>
      </c>
      <c r="S325" s="7"/>
      <c r="T325" s="7"/>
      <c r="U325" s="7"/>
      <c r="V325" s="7"/>
      <c r="W325" s="7"/>
    </row>
    <row r="326" spans="1:23">
      <c r="A326" s="6">
        <v>46136</v>
      </c>
      <c r="B326" s="7" t="s">
        <v>553</v>
      </c>
      <c r="C326" s="62">
        <v>0.80208333333333337</v>
      </c>
      <c r="D326" s="7" t="s">
        <v>570</v>
      </c>
      <c r="E326" s="7" t="s">
        <v>28</v>
      </c>
      <c r="F326" s="7" t="s">
        <v>361</v>
      </c>
      <c r="G326" s="7" t="s">
        <v>85</v>
      </c>
      <c r="H326" s="77" t="s">
        <v>358</v>
      </c>
      <c r="I326" s="84"/>
      <c r="J326" s="77" t="s">
        <v>28</v>
      </c>
      <c r="K326" s="77" t="s">
        <v>358</v>
      </c>
      <c r="L326" s="7">
        <v>2985</v>
      </c>
      <c r="M326" s="7">
        <v>31</v>
      </c>
      <c r="N326" s="7">
        <v>7</v>
      </c>
      <c r="O326" s="7">
        <v>0</v>
      </c>
      <c r="P326" s="7">
        <v>2</v>
      </c>
      <c r="Q326" s="69">
        <f t="shared" si="73"/>
        <v>1.0385259631490788E-2</v>
      </c>
      <c r="R326" s="69">
        <f t="shared" si="74"/>
        <v>0.22580645161290322</v>
      </c>
      <c r="S326" s="7"/>
      <c r="T326" s="7"/>
      <c r="U326" s="7"/>
      <c r="V326" s="7"/>
      <c r="W326" s="7"/>
    </row>
    <row r="327" spans="1:23">
      <c r="A327" s="6">
        <v>46136</v>
      </c>
      <c r="B327" s="7" t="s">
        <v>553</v>
      </c>
      <c r="C327" s="62">
        <v>0.77083333333333337</v>
      </c>
      <c r="D327" s="7" t="s">
        <v>571</v>
      </c>
      <c r="E327" s="7" t="s">
        <v>28</v>
      </c>
      <c r="F327" s="7" t="s">
        <v>363</v>
      </c>
      <c r="G327" s="7" t="s">
        <v>85</v>
      </c>
      <c r="H327" s="77" t="s">
        <v>350</v>
      </c>
      <c r="I327" s="84"/>
      <c r="J327" s="77" t="s">
        <v>28</v>
      </c>
      <c r="K327" s="77" t="s">
        <v>350</v>
      </c>
      <c r="L327" s="7">
        <v>5340</v>
      </c>
      <c r="M327" s="7">
        <v>22</v>
      </c>
      <c r="N327" s="7">
        <v>3</v>
      </c>
      <c r="O327" s="7">
        <v>0</v>
      </c>
      <c r="P327" s="7">
        <v>0</v>
      </c>
      <c r="Q327" s="69">
        <f t="shared" si="73"/>
        <v>4.1198501872659176E-3</v>
      </c>
      <c r="R327" s="69">
        <f t="shared" si="74"/>
        <v>0.13636363636363635</v>
      </c>
      <c r="S327" s="7"/>
      <c r="T327" s="7"/>
      <c r="U327" s="7"/>
      <c r="V327" s="7"/>
      <c r="W327" s="7"/>
    </row>
    <row r="328" spans="1:23">
      <c r="A328" s="6">
        <v>46136</v>
      </c>
      <c r="B328" s="7" t="s">
        <v>553</v>
      </c>
      <c r="C328" s="62">
        <v>0.8125</v>
      </c>
      <c r="D328" s="7" t="s">
        <v>572</v>
      </c>
      <c r="E328" s="7" t="s">
        <v>28</v>
      </c>
      <c r="F328" s="7" t="s">
        <v>364</v>
      </c>
      <c r="G328" s="7" t="s">
        <v>85</v>
      </c>
      <c r="H328" s="77" t="s">
        <v>351</v>
      </c>
      <c r="I328" s="84"/>
      <c r="J328" s="77" t="s">
        <v>28</v>
      </c>
      <c r="K328" s="77" t="s">
        <v>351</v>
      </c>
      <c r="L328" s="7">
        <v>3160</v>
      </c>
      <c r="M328" s="7">
        <v>17</v>
      </c>
      <c r="N328" s="7">
        <v>5</v>
      </c>
      <c r="O328" s="7">
        <v>0</v>
      </c>
      <c r="P328" s="7">
        <v>0</v>
      </c>
      <c r="Q328" s="69">
        <f t="shared" si="73"/>
        <v>5.379746835443038E-3</v>
      </c>
      <c r="R328" s="69">
        <f t="shared" si="74"/>
        <v>0.29411764705882354</v>
      </c>
      <c r="S328" s="7"/>
      <c r="T328" s="7"/>
      <c r="U328" s="7"/>
      <c r="V328" s="7"/>
      <c r="W328" s="7"/>
    </row>
    <row r="329" spans="1:23">
      <c r="A329" s="6">
        <v>46136</v>
      </c>
      <c r="B329" s="7" t="s">
        <v>553</v>
      </c>
      <c r="C329" s="62">
        <v>0.85416666666666663</v>
      </c>
      <c r="D329" s="88" t="s">
        <v>583</v>
      </c>
      <c r="E329" s="88" t="s">
        <v>28</v>
      </c>
      <c r="F329" s="88" t="s">
        <v>584</v>
      </c>
      <c r="G329" s="7" t="s">
        <v>85</v>
      </c>
      <c r="H329" s="7" t="s">
        <v>210</v>
      </c>
      <c r="I329" s="14" t="s">
        <v>209</v>
      </c>
      <c r="J329" s="7" t="s">
        <v>28</v>
      </c>
      <c r="K329" s="7" t="s">
        <v>210</v>
      </c>
      <c r="L329" s="7">
        <v>625</v>
      </c>
      <c r="M329" s="7">
        <v>29</v>
      </c>
      <c r="N329" s="7">
        <v>15</v>
      </c>
      <c r="O329" s="7">
        <v>0</v>
      </c>
      <c r="P329" s="7">
        <v>0</v>
      </c>
      <c r="Q329" s="69">
        <f t="shared" si="73"/>
        <v>4.6399999999999997E-2</v>
      </c>
      <c r="R329" s="69">
        <f t="shared" si="74"/>
        <v>0.51724137931034486</v>
      </c>
      <c r="S329" s="7"/>
      <c r="T329" s="7"/>
      <c r="U329" s="7"/>
      <c r="V329" s="7"/>
      <c r="W329" s="7"/>
    </row>
    <row r="330" spans="1:23" ht="16.8">
      <c r="A330" s="6">
        <v>46136</v>
      </c>
      <c r="B330" s="7" t="s">
        <v>553</v>
      </c>
      <c r="C330" s="91">
        <v>0.89583333333333337</v>
      </c>
      <c r="D330" s="7" t="s">
        <v>606</v>
      </c>
      <c r="E330" s="7" t="s">
        <v>28</v>
      </c>
      <c r="F330" s="7" t="s">
        <v>363</v>
      </c>
      <c r="G330" s="7" t="s">
        <v>85</v>
      </c>
      <c r="H330" s="52" t="s">
        <v>157</v>
      </c>
      <c r="I330" s="98"/>
      <c r="J330" s="7" t="s">
        <v>28</v>
      </c>
      <c r="K330" s="52" t="s">
        <v>157</v>
      </c>
      <c r="L330" s="86">
        <v>492</v>
      </c>
      <c r="M330" s="86">
        <v>13</v>
      </c>
      <c r="N330" s="86">
        <v>2</v>
      </c>
      <c r="O330" s="86"/>
      <c r="P330" s="86"/>
      <c r="Q330" s="69">
        <f t="shared" si="73"/>
        <v>2.6422764227642278E-2</v>
      </c>
      <c r="R330" s="69">
        <f t="shared" si="74"/>
        <v>0.15384615384615385</v>
      </c>
      <c r="S330" s="86"/>
      <c r="T330" s="86"/>
      <c r="U330" s="86"/>
      <c r="V330" s="86"/>
      <c r="W330" s="87"/>
    </row>
    <row r="331" spans="1:23" ht="16.8">
      <c r="A331" s="85"/>
      <c r="B331" s="86"/>
      <c r="C331" s="91"/>
      <c r="D331" s="92"/>
      <c r="E331" s="86"/>
      <c r="F331" s="86"/>
      <c r="G331" s="86"/>
      <c r="H331" s="86"/>
      <c r="I331" s="86"/>
      <c r="J331" s="86"/>
      <c r="K331" s="93"/>
      <c r="L331" s="86"/>
      <c r="M331" s="86"/>
      <c r="N331" s="86"/>
      <c r="O331" s="86"/>
      <c r="P331" s="86"/>
      <c r="Q331" s="89"/>
      <c r="R331" s="89"/>
      <c r="S331" s="86"/>
      <c r="T331" s="86"/>
      <c r="U331" s="86"/>
      <c r="V331" s="86"/>
      <c r="W331" s="87"/>
    </row>
    <row r="332" spans="1:23">
      <c r="A332" s="6">
        <v>46136</v>
      </c>
      <c r="B332" s="7" t="s">
        <v>553</v>
      </c>
      <c r="C332" s="18" t="s">
        <v>598</v>
      </c>
      <c r="D332" s="18" t="s">
        <v>310</v>
      </c>
      <c r="E332" s="18" t="s">
        <v>309</v>
      </c>
      <c r="F332" s="18" t="s">
        <v>311</v>
      </c>
      <c r="G332" s="18" t="s">
        <v>85</v>
      </c>
      <c r="H332" s="18" t="s">
        <v>186</v>
      </c>
      <c r="I332" s="47"/>
      <c r="J332" s="18" t="s">
        <v>309</v>
      </c>
      <c r="K332" s="18" t="s">
        <v>186</v>
      </c>
      <c r="L332" s="7">
        <v>2176</v>
      </c>
      <c r="M332" s="7">
        <v>13</v>
      </c>
      <c r="N332" s="7">
        <v>6</v>
      </c>
      <c r="O332" s="7">
        <v>1</v>
      </c>
      <c r="P332" s="7">
        <v>0</v>
      </c>
      <c r="Q332" s="69">
        <f t="shared" ref="Q332:Q342" si="77">M332/L332</f>
        <v>5.9742647058823525E-3</v>
      </c>
      <c r="R332" s="69">
        <f t="shared" ref="R332:R342" si="78">N332/M332</f>
        <v>0.46153846153846156</v>
      </c>
      <c r="S332" s="7"/>
      <c r="T332" s="7"/>
      <c r="U332" s="7"/>
      <c r="V332" s="7"/>
      <c r="W332" s="7"/>
    </row>
    <row r="333" spans="1:23">
      <c r="A333" s="6">
        <v>46136</v>
      </c>
      <c r="B333" s="7" t="s">
        <v>553</v>
      </c>
      <c r="C333" s="18" t="s">
        <v>605</v>
      </c>
      <c r="D333" s="18" t="s">
        <v>604</v>
      </c>
      <c r="E333" s="18" t="s">
        <v>309</v>
      </c>
      <c r="F333" s="18" t="s">
        <v>603</v>
      </c>
      <c r="G333" s="18" t="s">
        <v>85</v>
      </c>
      <c r="H333" s="18" t="s">
        <v>186</v>
      </c>
      <c r="I333" s="14" t="s">
        <v>554</v>
      </c>
      <c r="J333" s="18"/>
      <c r="K333" s="18"/>
      <c r="L333" s="7"/>
      <c r="M333" s="7"/>
      <c r="N333" s="7"/>
      <c r="O333" s="7"/>
      <c r="P333" s="7"/>
      <c r="Q333" s="69" t="e">
        <f t="shared" ref="Q333:Q337" si="79">M333/L333</f>
        <v>#DIV/0!</v>
      </c>
      <c r="R333" s="69" t="e">
        <f t="shared" ref="R333:R337" si="80">N333/M333</f>
        <v>#DIV/0!</v>
      </c>
      <c r="S333" s="7"/>
      <c r="T333" s="7"/>
      <c r="U333" s="7"/>
      <c r="V333" s="7"/>
      <c r="W333" s="7"/>
    </row>
    <row r="334" spans="1:23">
      <c r="A334" s="6">
        <v>46136</v>
      </c>
      <c r="B334" s="7" t="s">
        <v>553</v>
      </c>
      <c r="C334" s="18" t="s">
        <v>347</v>
      </c>
      <c r="D334" s="18" t="s">
        <v>354</v>
      </c>
      <c r="E334" s="18" t="s">
        <v>309</v>
      </c>
      <c r="F334" s="18" t="s">
        <v>355</v>
      </c>
      <c r="G334" s="18" t="s">
        <v>85</v>
      </c>
      <c r="H334" s="18" t="s">
        <v>313</v>
      </c>
      <c r="I334" s="47"/>
      <c r="J334" s="18" t="s">
        <v>309</v>
      </c>
      <c r="K334" s="18" t="s">
        <v>313</v>
      </c>
      <c r="L334" s="7"/>
      <c r="M334" s="7"/>
      <c r="N334" s="7"/>
      <c r="O334" s="7"/>
      <c r="P334" s="7"/>
      <c r="Q334" s="69" t="e">
        <f t="shared" si="79"/>
        <v>#DIV/0!</v>
      </c>
      <c r="R334" s="69" t="e">
        <f t="shared" si="80"/>
        <v>#DIV/0!</v>
      </c>
      <c r="S334" s="7"/>
      <c r="T334" s="7"/>
      <c r="U334" s="7"/>
      <c r="V334" s="7"/>
      <c r="W334" s="7"/>
    </row>
    <row r="335" spans="1:23">
      <c r="A335" s="6">
        <v>46136</v>
      </c>
      <c r="B335" s="7" t="s">
        <v>553</v>
      </c>
      <c r="C335" s="18" t="s">
        <v>598</v>
      </c>
      <c r="D335" s="18" t="s">
        <v>510</v>
      </c>
      <c r="E335" s="18" t="s">
        <v>309</v>
      </c>
      <c r="F335" s="18" t="s">
        <v>509</v>
      </c>
      <c r="G335" s="18" t="s">
        <v>85</v>
      </c>
      <c r="H335" s="18" t="s">
        <v>106</v>
      </c>
      <c r="I335" s="47"/>
      <c r="J335" s="18" t="s">
        <v>309</v>
      </c>
      <c r="K335" s="18" t="s">
        <v>106</v>
      </c>
      <c r="L335" s="7">
        <v>705</v>
      </c>
      <c r="M335" s="7">
        <v>34</v>
      </c>
      <c r="N335" s="7">
        <v>10</v>
      </c>
      <c r="O335" s="7"/>
      <c r="P335" s="7"/>
      <c r="Q335" s="69">
        <f t="shared" si="79"/>
        <v>4.8226950354609929E-2</v>
      </c>
      <c r="R335" s="69">
        <f t="shared" si="80"/>
        <v>0.29411764705882354</v>
      </c>
      <c r="S335" s="7"/>
      <c r="T335" s="7"/>
      <c r="U335" s="7"/>
      <c r="V335" s="7"/>
      <c r="W335" s="7"/>
    </row>
    <row r="336" spans="1:23">
      <c r="A336" s="6">
        <v>46136</v>
      </c>
      <c r="B336" s="7" t="s">
        <v>553</v>
      </c>
      <c r="C336" s="18" t="s">
        <v>605</v>
      </c>
      <c r="D336" s="18" t="s">
        <v>604</v>
      </c>
      <c r="E336" s="18" t="s">
        <v>309</v>
      </c>
      <c r="F336" s="18" t="s">
        <v>603</v>
      </c>
      <c r="G336" s="18" t="s">
        <v>85</v>
      </c>
      <c r="H336" s="18" t="s">
        <v>106</v>
      </c>
      <c r="I336" s="14" t="s">
        <v>554</v>
      </c>
      <c r="J336" s="18"/>
      <c r="K336" s="18"/>
      <c r="L336" s="7"/>
      <c r="M336" s="7"/>
      <c r="N336" s="7"/>
      <c r="O336" s="7"/>
      <c r="P336" s="7"/>
      <c r="Q336" s="69" t="e">
        <f t="shared" si="79"/>
        <v>#DIV/0!</v>
      </c>
      <c r="R336" s="69" t="e">
        <f t="shared" si="80"/>
        <v>#DIV/0!</v>
      </c>
      <c r="S336" s="7"/>
      <c r="T336" s="7"/>
      <c r="U336" s="7"/>
      <c r="V336" s="7"/>
      <c r="W336" s="7"/>
    </row>
    <row r="337" spans="1:23">
      <c r="A337" s="6">
        <v>46136</v>
      </c>
      <c r="B337" s="7" t="s">
        <v>553</v>
      </c>
      <c r="C337" s="62">
        <v>0.79166666666666663</v>
      </c>
      <c r="D337" s="77" t="s">
        <v>573</v>
      </c>
      <c r="E337" s="77" t="s">
        <v>309</v>
      </c>
      <c r="F337" s="77" t="s">
        <v>379</v>
      </c>
      <c r="G337" s="77" t="s">
        <v>85</v>
      </c>
      <c r="H337" s="77" t="s">
        <v>380</v>
      </c>
      <c r="I337" s="84"/>
      <c r="J337" s="77" t="s">
        <v>309</v>
      </c>
      <c r="K337" s="77" t="s">
        <v>380</v>
      </c>
      <c r="L337" s="7">
        <v>3731</v>
      </c>
      <c r="M337" s="7">
        <v>34</v>
      </c>
      <c r="N337" s="7">
        <v>7</v>
      </c>
      <c r="O337" s="7">
        <v>0</v>
      </c>
      <c r="P337" s="7">
        <v>0</v>
      </c>
      <c r="Q337" s="69">
        <f t="shared" si="79"/>
        <v>9.112838381131064E-3</v>
      </c>
      <c r="R337" s="69">
        <f t="shared" si="80"/>
        <v>0.20588235294117646</v>
      </c>
      <c r="S337" s="7"/>
      <c r="T337" s="7"/>
      <c r="U337" s="7"/>
      <c r="V337" s="7"/>
      <c r="W337" s="7"/>
    </row>
    <row r="338" spans="1:23">
      <c r="A338" s="6">
        <v>46136</v>
      </c>
      <c r="B338" s="7" t="s">
        <v>553</v>
      </c>
      <c r="C338" s="62">
        <v>0.80208333333333337</v>
      </c>
      <c r="D338" s="77" t="s">
        <v>574</v>
      </c>
      <c r="E338" s="77" t="s">
        <v>309</v>
      </c>
      <c r="F338" s="77" t="s">
        <v>382</v>
      </c>
      <c r="G338" s="77"/>
      <c r="H338" s="77" t="s">
        <v>383</v>
      </c>
      <c r="I338" s="84"/>
      <c r="J338" s="77" t="s">
        <v>309</v>
      </c>
      <c r="K338" s="77" t="s">
        <v>383</v>
      </c>
      <c r="L338" s="7">
        <v>1655</v>
      </c>
      <c r="M338" s="7">
        <v>18</v>
      </c>
      <c r="N338" s="7">
        <v>8</v>
      </c>
      <c r="O338" s="7">
        <v>1</v>
      </c>
      <c r="P338" s="7">
        <v>0</v>
      </c>
      <c r="Q338" s="69">
        <f t="shared" si="77"/>
        <v>1.0876132930513595E-2</v>
      </c>
      <c r="R338" s="69">
        <f t="shared" si="78"/>
        <v>0.44444444444444442</v>
      </c>
      <c r="S338" s="7"/>
      <c r="T338" s="7"/>
      <c r="U338" s="7"/>
      <c r="V338" s="7"/>
      <c r="W338" s="7"/>
    </row>
    <row r="339" spans="1:23">
      <c r="A339" s="6">
        <v>46136</v>
      </c>
      <c r="B339" s="7" t="s">
        <v>553</v>
      </c>
      <c r="C339" s="62">
        <v>0.77083333333333337</v>
      </c>
      <c r="D339" s="7" t="s">
        <v>575</v>
      </c>
      <c r="E339" s="7" t="s">
        <v>309</v>
      </c>
      <c r="F339" s="7" t="s">
        <v>367</v>
      </c>
      <c r="G339" s="7" t="s">
        <v>85</v>
      </c>
      <c r="H339" s="7" t="s">
        <v>350</v>
      </c>
      <c r="I339" s="84"/>
      <c r="J339" s="77" t="s">
        <v>309</v>
      </c>
      <c r="K339" s="7" t="s">
        <v>350</v>
      </c>
      <c r="L339" s="7">
        <v>5594</v>
      </c>
      <c r="M339" s="7">
        <v>28</v>
      </c>
      <c r="N339" s="7">
        <v>5</v>
      </c>
      <c r="O339" s="7">
        <v>0</v>
      </c>
      <c r="P339" s="7">
        <v>0</v>
      </c>
      <c r="Q339" s="69">
        <f t="shared" si="77"/>
        <v>5.0053628888094386E-3</v>
      </c>
      <c r="R339" s="69">
        <f t="shared" si="78"/>
        <v>0.17857142857142858</v>
      </c>
      <c r="S339" s="7"/>
      <c r="T339" s="7"/>
      <c r="U339" s="7"/>
      <c r="V339" s="7"/>
      <c r="W339" s="7"/>
    </row>
    <row r="340" spans="1:23">
      <c r="A340" s="6">
        <v>46136</v>
      </c>
      <c r="B340" s="7" t="s">
        <v>553</v>
      </c>
      <c r="C340" s="62">
        <v>0.8125</v>
      </c>
      <c r="D340" s="7" t="s">
        <v>576</v>
      </c>
      <c r="E340" s="7" t="s">
        <v>309</v>
      </c>
      <c r="F340" s="7" t="s">
        <v>369</v>
      </c>
      <c r="G340" s="7" t="s">
        <v>85</v>
      </c>
      <c r="H340" s="7" t="s">
        <v>351</v>
      </c>
      <c r="I340" s="84"/>
      <c r="J340" s="77" t="s">
        <v>309</v>
      </c>
      <c r="K340" s="7" t="s">
        <v>351</v>
      </c>
      <c r="L340" s="7">
        <v>3297</v>
      </c>
      <c r="M340" s="7">
        <v>23</v>
      </c>
      <c r="N340" s="7">
        <v>8</v>
      </c>
      <c r="O340" s="7">
        <v>2</v>
      </c>
      <c r="P340" s="7">
        <v>0</v>
      </c>
      <c r="Q340" s="69">
        <f t="shared" si="77"/>
        <v>6.9760388231725808E-3</v>
      </c>
      <c r="R340" s="69">
        <f t="shared" si="78"/>
        <v>0.34782608695652173</v>
      </c>
      <c r="S340" s="7"/>
      <c r="T340" s="7"/>
      <c r="U340" s="7"/>
      <c r="V340" s="7"/>
      <c r="W340" s="7"/>
    </row>
    <row r="341" spans="1:23">
      <c r="A341" s="6">
        <v>46136</v>
      </c>
      <c r="B341" s="7" t="s">
        <v>553</v>
      </c>
      <c r="C341" s="62">
        <v>0.85416666666666663</v>
      </c>
      <c r="D341" s="88" t="s">
        <v>585</v>
      </c>
      <c r="E341" s="88" t="s">
        <v>309</v>
      </c>
      <c r="F341" s="88" t="s">
        <v>586</v>
      </c>
      <c r="G341" s="7" t="s">
        <v>85</v>
      </c>
      <c r="H341" s="7" t="s">
        <v>210</v>
      </c>
      <c r="I341" s="14" t="s">
        <v>209</v>
      </c>
      <c r="J341" s="7" t="s">
        <v>309</v>
      </c>
      <c r="K341" s="7" t="s">
        <v>210</v>
      </c>
      <c r="L341" s="7">
        <v>624</v>
      </c>
      <c r="M341" s="7">
        <v>24</v>
      </c>
      <c r="N341" s="7">
        <v>15</v>
      </c>
      <c r="O341" s="7">
        <v>0</v>
      </c>
      <c r="P341" s="7">
        <v>0</v>
      </c>
      <c r="Q341" s="69">
        <f t="shared" si="77"/>
        <v>3.8461538461538464E-2</v>
      </c>
      <c r="R341" s="69">
        <f t="shared" si="78"/>
        <v>0.625</v>
      </c>
      <c r="S341" s="7"/>
      <c r="T341" s="7"/>
      <c r="U341" s="7"/>
      <c r="V341" s="7"/>
      <c r="W341" s="7"/>
    </row>
    <row r="342" spans="1:23" ht="16.8">
      <c r="A342" s="6">
        <v>46136</v>
      </c>
      <c r="B342" s="7" t="s">
        <v>553</v>
      </c>
      <c r="C342" s="91">
        <v>0.96875</v>
      </c>
      <c r="D342" s="7" t="s">
        <v>608</v>
      </c>
      <c r="E342" s="7" t="s">
        <v>309</v>
      </c>
      <c r="F342" s="7" t="s">
        <v>367</v>
      </c>
      <c r="G342" s="7" t="s">
        <v>85</v>
      </c>
      <c r="H342" s="52" t="s">
        <v>157</v>
      </c>
      <c r="I342" s="98"/>
      <c r="J342" s="7" t="s">
        <v>309</v>
      </c>
      <c r="K342" s="52" t="s">
        <v>157</v>
      </c>
      <c r="L342" s="86">
        <v>520</v>
      </c>
      <c r="M342" s="86">
        <v>87</v>
      </c>
      <c r="N342" s="86">
        <v>21</v>
      </c>
      <c r="O342" s="86"/>
      <c r="P342" s="86"/>
      <c r="Q342" s="69">
        <f t="shared" si="77"/>
        <v>0.1673076923076923</v>
      </c>
      <c r="R342" s="69">
        <f t="shared" si="78"/>
        <v>0.2413793103448276</v>
      </c>
      <c r="S342" s="86"/>
      <c r="T342" s="86"/>
      <c r="U342" s="86"/>
      <c r="V342" s="86"/>
      <c r="W342" s="87"/>
    </row>
    <row r="343" spans="1:23" ht="6.6" customHeight="1">
      <c r="A343" s="22"/>
      <c r="B343" s="23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5"/>
      <c r="R343" s="25"/>
      <c r="S343" s="24"/>
      <c r="T343" s="24"/>
      <c r="U343" s="24"/>
      <c r="V343" s="25"/>
      <c r="W343" s="26"/>
    </row>
    <row r="344" spans="1:23">
      <c r="A344" s="6">
        <v>46137</v>
      </c>
      <c r="B344" s="7" t="s">
        <v>577</v>
      </c>
      <c r="C344" s="18" t="s">
        <v>589</v>
      </c>
      <c r="D344" s="18" t="s">
        <v>185</v>
      </c>
      <c r="E344" s="18" t="s">
        <v>252</v>
      </c>
      <c r="F344" s="18" t="s">
        <v>110</v>
      </c>
      <c r="G344" s="18"/>
      <c r="H344" s="18" t="s">
        <v>106</v>
      </c>
      <c r="I344" s="30"/>
      <c r="J344" s="18" t="s">
        <v>34</v>
      </c>
      <c r="K344" s="18" t="s">
        <v>106</v>
      </c>
      <c r="L344" s="7">
        <v>797</v>
      </c>
      <c r="M344" s="7">
        <v>32</v>
      </c>
      <c r="N344" s="7">
        <v>11</v>
      </c>
      <c r="O344" s="7">
        <v>4</v>
      </c>
      <c r="P344" s="7">
        <v>2</v>
      </c>
      <c r="Q344" s="69">
        <f t="shared" ref="Q344" si="81">M344/L344</f>
        <v>4.0150564617314928E-2</v>
      </c>
      <c r="R344" s="69">
        <f t="shared" ref="R344" si="82">N344/M344</f>
        <v>0.34375</v>
      </c>
      <c r="S344" s="7"/>
      <c r="T344" s="7"/>
      <c r="U344" s="7"/>
      <c r="V344" s="7"/>
      <c r="W344" s="7"/>
    </row>
    <row r="345" spans="1:23">
      <c r="A345" s="6">
        <v>46137</v>
      </c>
      <c r="B345" s="7" t="s">
        <v>577</v>
      </c>
      <c r="C345" s="18" t="s">
        <v>590</v>
      </c>
      <c r="D345" s="18" t="s">
        <v>580</v>
      </c>
      <c r="E345" s="18" t="s">
        <v>252</v>
      </c>
      <c r="F345" s="18" t="s">
        <v>579</v>
      </c>
      <c r="G345" s="18"/>
      <c r="H345" s="18" t="s">
        <v>106</v>
      </c>
      <c r="I345" s="29"/>
      <c r="J345" s="18"/>
      <c r="K345" s="18"/>
      <c r="L345" s="7"/>
      <c r="M345" s="7"/>
      <c r="N345" s="7"/>
      <c r="O345" s="7"/>
      <c r="P345" s="7"/>
      <c r="Q345" s="69"/>
      <c r="R345" s="69"/>
      <c r="S345" s="7"/>
      <c r="T345" s="7"/>
      <c r="U345" s="7"/>
      <c r="V345" s="7"/>
      <c r="W345" s="7"/>
    </row>
    <row r="346" spans="1:23">
      <c r="A346" s="6">
        <v>46137</v>
      </c>
      <c r="B346" s="7" t="s">
        <v>577</v>
      </c>
      <c r="C346" s="18"/>
      <c r="D346" s="18" t="s">
        <v>144</v>
      </c>
      <c r="E346" s="18" t="s">
        <v>252</v>
      </c>
      <c r="F346" s="18" t="s">
        <v>145</v>
      </c>
      <c r="G346" s="18"/>
      <c r="H346" s="18" t="s">
        <v>157</v>
      </c>
      <c r="I346" s="30"/>
      <c r="J346" s="18" t="s">
        <v>34</v>
      </c>
      <c r="K346" s="18" t="s">
        <v>157</v>
      </c>
      <c r="L346" s="7">
        <v>81</v>
      </c>
      <c r="M346" s="7">
        <v>35</v>
      </c>
      <c r="N346" s="7">
        <v>13</v>
      </c>
      <c r="O346" s="7">
        <v>5</v>
      </c>
      <c r="P346" s="7">
        <v>0</v>
      </c>
      <c r="Q346" s="69">
        <f t="shared" ref="Q346:Q348" si="83">M346/L346</f>
        <v>0.43209876543209874</v>
      </c>
      <c r="R346" s="69">
        <f t="shared" ref="R346:R348" si="84">N346/M346</f>
        <v>0.37142857142857144</v>
      </c>
      <c r="S346" s="7"/>
      <c r="T346" s="7"/>
      <c r="U346" s="7"/>
      <c r="V346" s="7"/>
      <c r="W346" s="7"/>
    </row>
    <row r="347" spans="1:23">
      <c r="A347" s="6">
        <v>46137</v>
      </c>
      <c r="B347" s="7" t="s">
        <v>577</v>
      </c>
      <c r="C347" s="18"/>
      <c r="D347" s="18" t="s">
        <v>146</v>
      </c>
      <c r="E347" s="18" t="s">
        <v>252</v>
      </c>
      <c r="F347" s="18" t="s">
        <v>147</v>
      </c>
      <c r="G347" s="18"/>
      <c r="H347" s="18" t="s">
        <v>149</v>
      </c>
      <c r="I347" s="30"/>
      <c r="J347" s="18" t="s">
        <v>34</v>
      </c>
      <c r="K347" s="18" t="s">
        <v>149</v>
      </c>
      <c r="L347" s="7">
        <v>58</v>
      </c>
      <c r="M347" s="7">
        <v>40</v>
      </c>
      <c r="N347" s="7">
        <v>14</v>
      </c>
      <c r="O347" s="7">
        <v>2</v>
      </c>
      <c r="P347" s="7">
        <v>0</v>
      </c>
      <c r="Q347" s="69">
        <f t="shared" si="83"/>
        <v>0.68965517241379315</v>
      </c>
      <c r="R347" s="69">
        <f t="shared" si="84"/>
        <v>0.35</v>
      </c>
      <c r="S347" s="7"/>
      <c r="T347" s="7"/>
      <c r="U347" s="7"/>
      <c r="V347" s="7"/>
      <c r="W347" s="7"/>
    </row>
    <row r="348" spans="1:23">
      <c r="A348" s="6">
        <v>46137</v>
      </c>
      <c r="B348" s="7" t="s">
        <v>577</v>
      </c>
      <c r="C348" s="18" t="s">
        <v>589</v>
      </c>
      <c r="D348" s="18" t="s">
        <v>187</v>
      </c>
      <c r="E348" s="18" t="s">
        <v>252</v>
      </c>
      <c r="F348" s="18" t="s">
        <v>188</v>
      </c>
      <c r="G348" s="18"/>
      <c r="H348" s="18" t="s">
        <v>186</v>
      </c>
      <c r="I348" s="30"/>
      <c r="J348" s="18" t="s">
        <v>34</v>
      </c>
      <c r="K348" s="18" t="s">
        <v>186</v>
      </c>
      <c r="L348" s="7">
        <v>2208</v>
      </c>
      <c r="M348" s="7">
        <v>30</v>
      </c>
      <c r="N348" s="7">
        <v>6</v>
      </c>
      <c r="O348" s="7">
        <v>2</v>
      </c>
      <c r="P348" s="7">
        <v>4</v>
      </c>
      <c r="Q348" s="69">
        <f t="shared" si="83"/>
        <v>1.358695652173913E-2</v>
      </c>
      <c r="R348" s="69">
        <f t="shared" si="84"/>
        <v>0.2</v>
      </c>
      <c r="S348" s="7"/>
      <c r="T348" s="7"/>
      <c r="U348" s="7"/>
      <c r="V348" s="7"/>
      <c r="W348" s="7"/>
    </row>
    <row r="349" spans="1:23">
      <c r="A349" s="6">
        <v>46137</v>
      </c>
      <c r="B349" s="7" t="s">
        <v>577</v>
      </c>
      <c r="C349" s="18" t="s">
        <v>590</v>
      </c>
      <c r="D349" s="18" t="s">
        <v>580</v>
      </c>
      <c r="E349" s="18" t="s">
        <v>252</v>
      </c>
      <c r="F349" s="18" t="s">
        <v>579</v>
      </c>
      <c r="G349" s="18"/>
      <c r="H349" s="18" t="s">
        <v>186</v>
      </c>
      <c r="I349" s="29"/>
      <c r="J349" s="18"/>
      <c r="K349" s="18"/>
      <c r="L349" s="7"/>
      <c r="M349" s="7"/>
      <c r="N349" s="7"/>
      <c r="O349" s="7"/>
      <c r="P349" s="7"/>
      <c r="Q349" s="69"/>
      <c r="R349" s="69"/>
      <c r="S349" s="35"/>
      <c r="T349" s="35"/>
      <c r="U349" s="35"/>
      <c r="V349" s="7"/>
      <c r="W349" s="7"/>
    </row>
    <row r="350" spans="1:23">
      <c r="A350" s="6">
        <v>46137</v>
      </c>
      <c r="B350" s="7" t="s">
        <v>577</v>
      </c>
      <c r="C350" s="7"/>
      <c r="D350" s="7" t="s">
        <v>669</v>
      </c>
      <c r="E350" s="7" t="s">
        <v>252</v>
      </c>
      <c r="F350" s="7"/>
      <c r="G350" s="7"/>
      <c r="H350" s="7" t="s">
        <v>170</v>
      </c>
      <c r="I350" s="14" t="s">
        <v>67</v>
      </c>
      <c r="J350" s="7" t="s">
        <v>34</v>
      </c>
      <c r="K350" s="7" t="s">
        <v>170</v>
      </c>
      <c r="L350" s="7">
        <v>1497</v>
      </c>
      <c r="M350" s="7">
        <v>1442</v>
      </c>
      <c r="N350" s="7">
        <v>911</v>
      </c>
      <c r="O350" s="7">
        <v>0</v>
      </c>
      <c r="P350" s="7">
        <v>3</v>
      </c>
      <c r="Q350" s="69">
        <f t="shared" ref="Q350:Q357" si="85">M350/L350</f>
        <v>0.96325985303941219</v>
      </c>
      <c r="R350" s="69">
        <f t="shared" ref="R350:R357" si="86">N350/M350</f>
        <v>0.63176144244105414</v>
      </c>
      <c r="S350" s="7"/>
      <c r="T350" s="7"/>
      <c r="U350" s="7"/>
      <c r="V350" s="7"/>
      <c r="W350" s="7"/>
    </row>
    <row r="351" spans="1:23">
      <c r="A351" s="6">
        <v>46137</v>
      </c>
      <c r="B351" s="7" t="s">
        <v>577</v>
      </c>
      <c r="C351" s="7"/>
      <c r="D351" s="100" t="s">
        <v>670</v>
      </c>
      <c r="E351" s="7" t="s">
        <v>252</v>
      </c>
      <c r="F351" s="7"/>
      <c r="G351" s="7"/>
      <c r="H351" s="7" t="s">
        <v>170</v>
      </c>
      <c r="I351" s="84"/>
      <c r="J351" s="7" t="s">
        <v>34</v>
      </c>
      <c r="K351" s="7" t="s">
        <v>170</v>
      </c>
      <c r="L351" s="7">
        <v>1497</v>
      </c>
      <c r="M351" s="7">
        <v>1442</v>
      </c>
      <c r="N351" s="7">
        <v>529</v>
      </c>
      <c r="O351" s="7">
        <v>0</v>
      </c>
      <c r="P351" s="7">
        <v>3</v>
      </c>
      <c r="Q351" s="69">
        <f t="shared" si="85"/>
        <v>0.96325985303941219</v>
      </c>
      <c r="R351" s="69">
        <f t="shared" si="86"/>
        <v>0.36685159500693482</v>
      </c>
      <c r="S351" s="7"/>
      <c r="T351" s="7"/>
      <c r="U351" s="7"/>
      <c r="V351" s="7"/>
      <c r="W351" s="7"/>
    </row>
    <row r="352" spans="1:23">
      <c r="A352" s="6">
        <v>46137</v>
      </c>
      <c r="B352" s="7" t="s">
        <v>577</v>
      </c>
      <c r="C352" s="7"/>
      <c r="D352" s="100" t="s">
        <v>666</v>
      </c>
      <c r="E352" s="7" t="s">
        <v>252</v>
      </c>
      <c r="F352" s="7"/>
      <c r="G352" s="7"/>
      <c r="H352" s="7" t="s">
        <v>170</v>
      </c>
      <c r="I352" s="84"/>
      <c r="J352" s="7" t="s">
        <v>34</v>
      </c>
      <c r="K352" s="7" t="s">
        <v>170</v>
      </c>
      <c r="L352" s="7">
        <v>364</v>
      </c>
      <c r="M352" s="7">
        <v>352</v>
      </c>
      <c r="N352" s="7">
        <v>266</v>
      </c>
      <c r="O352" s="7">
        <v>0</v>
      </c>
      <c r="P352" s="7">
        <v>1</v>
      </c>
      <c r="Q352" s="69">
        <f t="shared" si="85"/>
        <v>0.96703296703296704</v>
      </c>
      <c r="R352" s="69">
        <f t="shared" si="86"/>
        <v>0.75568181818181823</v>
      </c>
      <c r="S352" s="7"/>
      <c r="T352" s="7"/>
      <c r="U352" s="7"/>
      <c r="V352" s="7"/>
      <c r="W352" s="7"/>
    </row>
    <row r="353" spans="1:23">
      <c r="A353" s="6">
        <v>46137</v>
      </c>
      <c r="B353" s="7" t="s">
        <v>577</v>
      </c>
      <c r="C353" s="62">
        <v>0.9375</v>
      </c>
      <c r="D353" s="99" t="s">
        <v>614</v>
      </c>
      <c r="E353" s="7" t="s">
        <v>252</v>
      </c>
      <c r="F353" s="77" t="s">
        <v>428</v>
      </c>
      <c r="G353" s="7"/>
      <c r="H353" s="7" t="s">
        <v>149</v>
      </c>
      <c r="I353" s="47"/>
      <c r="J353" s="7" t="s">
        <v>34</v>
      </c>
      <c r="K353" s="7" t="s">
        <v>149</v>
      </c>
      <c r="L353" s="7">
        <v>320</v>
      </c>
      <c r="M353" s="7">
        <v>52</v>
      </c>
      <c r="N353" s="7">
        <v>15</v>
      </c>
      <c r="O353" s="7">
        <v>4</v>
      </c>
      <c r="P353" s="7">
        <v>0</v>
      </c>
      <c r="Q353" s="69">
        <f t="shared" si="85"/>
        <v>0.16250000000000001</v>
      </c>
      <c r="R353" s="69">
        <f t="shared" si="86"/>
        <v>0.28846153846153844</v>
      </c>
      <c r="S353" s="7"/>
      <c r="T353" s="7"/>
      <c r="U353" s="7"/>
      <c r="V353" s="7"/>
      <c r="W353" s="7"/>
    </row>
    <row r="354" spans="1:23" ht="16.8">
      <c r="A354" s="6">
        <v>46137</v>
      </c>
      <c r="B354" s="7" t="s">
        <v>577</v>
      </c>
      <c r="C354" s="62">
        <v>0.95833333333333337</v>
      </c>
      <c r="D354" s="99" t="s">
        <v>615</v>
      </c>
      <c r="E354" s="7" t="s">
        <v>252</v>
      </c>
      <c r="F354" s="77" t="s">
        <v>430</v>
      </c>
      <c r="G354" s="7"/>
      <c r="H354" s="52" t="s">
        <v>157</v>
      </c>
      <c r="I354" s="47"/>
      <c r="J354" s="7" t="s">
        <v>34</v>
      </c>
      <c r="K354" s="52" t="s">
        <v>157</v>
      </c>
      <c r="L354" s="7">
        <v>616</v>
      </c>
      <c r="M354" s="7">
        <v>114</v>
      </c>
      <c r="N354" s="7">
        <v>16</v>
      </c>
      <c r="O354" s="7">
        <v>8</v>
      </c>
      <c r="P354" s="7">
        <v>0</v>
      </c>
      <c r="Q354" s="69">
        <f t="shared" si="85"/>
        <v>0.18506493506493507</v>
      </c>
      <c r="R354" s="69">
        <f t="shared" si="86"/>
        <v>0.14035087719298245</v>
      </c>
      <c r="S354" s="7"/>
      <c r="T354" s="7"/>
      <c r="U354" s="7"/>
      <c r="V354" s="7"/>
      <c r="W354" s="7"/>
    </row>
    <row r="355" spans="1:23" ht="16.8">
      <c r="A355" s="6">
        <v>46137</v>
      </c>
      <c r="B355" s="7" t="s">
        <v>577</v>
      </c>
      <c r="C355" s="62">
        <v>0.82291666666666663</v>
      </c>
      <c r="D355" s="99" t="s">
        <v>616</v>
      </c>
      <c r="E355" s="7" t="s">
        <v>252</v>
      </c>
      <c r="F355" s="77" t="s">
        <v>432</v>
      </c>
      <c r="G355" s="7"/>
      <c r="H355" s="52" t="s">
        <v>420</v>
      </c>
      <c r="I355" s="47"/>
      <c r="J355" s="7" t="s">
        <v>34</v>
      </c>
      <c r="K355" s="52" t="s">
        <v>420</v>
      </c>
      <c r="L355" s="7">
        <v>321</v>
      </c>
      <c r="M355" s="7">
        <v>50</v>
      </c>
      <c r="N355" s="7">
        <v>11</v>
      </c>
      <c r="O355" s="7">
        <v>3</v>
      </c>
      <c r="P355" s="7">
        <v>0</v>
      </c>
      <c r="Q355" s="69">
        <f t="shared" si="85"/>
        <v>0.1557632398753894</v>
      </c>
      <c r="R355" s="69">
        <f t="shared" si="86"/>
        <v>0.22</v>
      </c>
      <c r="S355" s="7"/>
      <c r="T355" s="7"/>
      <c r="U355" s="7"/>
      <c r="V355" s="7"/>
      <c r="W355" s="7"/>
    </row>
    <row r="356" spans="1:23">
      <c r="A356" s="6">
        <v>46137</v>
      </c>
      <c r="B356" s="7" t="s">
        <v>577</v>
      </c>
      <c r="C356" s="62">
        <v>0.79166666666666663</v>
      </c>
      <c r="D356" s="99" t="s">
        <v>617</v>
      </c>
      <c r="E356" s="7" t="s">
        <v>252</v>
      </c>
      <c r="F356" s="77" t="s">
        <v>434</v>
      </c>
      <c r="G356" s="7"/>
      <c r="H356" s="7" t="s">
        <v>121</v>
      </c>
      <c r="I356" s="47"/>
      <c r="J356" s="7" t="s">
        <v>34</v>
      </c>
      <c r="K356" s="7" t="s">
        <v>121</v>
      </c>
      <c r="L356" s="7">
        <v>303</v>
      </c>
      <c r="M356" s="7">
        <v>25</v>
      </c>
      <c r="N356" s="7">
        <v>14</v>
      </c>
      <c r="O356" s="7">
        <v>0</v>
      </c>
      <c r="P356" s="7">
        <v>0</v>
      </c>
      <c r="Q356" s="69">
        <f t="shared" si="85"/>
        <v>8.2508250825082508E-2</v>
      </c>
      <c r="R356" s="69">
        <f t="shared" si="86"/>
        <v>0.56000000000000005</v>
      </c>
      <c r="S356" s="7"/>
      <c r="T356" s="7"/>
      <c r="U356" s="7"/>
      <c r="V356" s="7"/>
      <c r="W356" s="7"/>
    </row>
    <row r="357" spans="1:23" ht="16.8">
      <c r="A357" s="6">
        <v>46137</v>
      </c>
      <c r="B357" s="7" t="s">
        <v>577</v>
      </c>
      <c r="C357" s="64">
        <v>0.85416666666666663</v>
      </c>
      <c r="D357" s="31" t="s">
        <v>618</v>
      </c>
      <c r="E357" s="7" t="s">
        <v>252</v>
      </c>
      <c r="F357" s="7" t="s">
        <v>410</v>
      </c>
      <c r="G357" s="35"/>
      <c r="H357" s="53" t="s">
        <v>210</v>
      </c>
      <c r="I357" s="47"/>
      <c r="J357" s="35" t="s">
        <v>34</v>
      </c>
      <c r="K357" s="53" t="s">
        <v>210</v>
      </c>
      <c r="L357" s="35">
        <v>733</v>
      </c>
      <c r="M357" s="35">
        <v>42</v>
      </c>
      <c r="N357" s="35">
        <v>20</v>
      </c>
      <c r="O357" s="35">
        <v>0</v>
      </c>
      <c r="P357" s="35">
        <v>0</v>
      </c>
      <c r="Q357" s="94">
        <f t="shared" si="85"/>
        <v>5.7298772169167803E-2</v>
      </c>
      <c r="R357" s="94">
        <f t="shared" si="86"/>
        <v>0.47619047619047616</v>
      </c>
      <c r="S357" s="35"/>
      <c r="T357" s="35"/>
      <c r="U357" s="35"/>
      <c r="V357" s="35"/>
      <c r="W357" s="35"/>
    </row>
    <row r="358" spans="1:23" ht="16.8">
      <c r="A358" s="85"/>
      <c r="B358" s="86"/>
      <c r="C358" s="91"/>
      <c r="D358" s="92"/>
      <c r="E358" s="86"/>
      <c r="F358" s="86"/>
      <c r="G358" s="86"/>
      <c r="H358" s="86"/>
      <c r="I358" s="86"/>
      <c r="J358" s="86"/>
      <c r="K358" s="93"/>
      <c r="L358" s="86"/>
      <c r="M358" s="86"/>
      <c r="N358" s="86"/>
      <c r="O358" s="86"/>
      <c r="P358" s="86"/>
      <c r="Q358" s="89"/>
      <c r="R358" s="89"/>
      <c r="S358" s="86"/>
      <c r="T358" s="86"/>
      <c r="U358" s="86"/>
      <c r="V358" s="86"/>
      <c r="W358" s="87"/>
    </row>
    <row r="359" spans="1:23">
      <c r="A359" s="6">
        <v>46137</v>
      </c>
      <c r="B359" s="7" t="s">
        <v>577</v>
      </c>
      <c r="C359" s="18" t="s">
        <v>591</v>
      </c>
      <c r="D359" s="18" t="s">
        <v>108</v>
      </c>
      <c r="E359" s="18" t="s">
        <v>35</v>
      </c>
      <c r="F359" s="18" t="s">
        <v>115</v>
      </c>
      <c r="G359" s="18"/>
      <c r="H359" s="18" t="s">
        <v>106</v>
      </c>
      <c r="I359" s="14"/>
      <c r="J359" s="18" t="s">
        <v>35</v>
      </c>
      <c r="K359" s="18" t="s">
        <v>106</v>
      </c>
      <c r="L359" s="7">
        <v>796</v>
      </c>
      <c r="M359" s="7">
        <v>23</v>
      </c>
      <c r="N359" s="7">
        <v>5</v>
      </c>
      <c r="O359" s="7">
        <v>1</v>
      </c>
      <c r="P359" s="7">
        <v>2</v>
      </c>
      <c r="Q359" s="69">
        <f t="shared" ref="Q359" si="87">M359/L359</f>
        <v>2.8894472361809045E-2</v>
      </c>
      <c r="R359" s="69">
        <f t="shared" ref="R359" si="88">N359/M359</f>
        <v>0.21739130434782608</v>
      </c>
      <c r="S359" s="7"/>
      <c r="T359" s="7"/>
      <c r="U359" s="7"/>
      <c r="V359" s="7"/>
      <c r="W359" s="7"/>
    </row>
    <row r="360" spans="1:23">
      <c r="A360" s="6">
        <v>46137</v>
      </c>
      <c r="B360" s="7" t="s">
        <v>577</v>
      </c>
      <c r="C360" s="18" t="s">
        <v>592</v>
      </c>
      <c r="D360" s="18" t="s">
        <v>587</v>
      </c>
      <c r="E360" s="18" t="s">
        <v>35</v>
      </c>
      <c r="F360" s="18" t="s">
        <v>588</v>
      </c>
      <c r="G360" s="18"/>
      <c r="H360" s="18" t="s">
        <v>106</v>
      </c>
      <c r="I360" s="29"/>
      <c r="J360" s="18"/>
      <c r="K360" s="18"/>
      <c r="L360" s="7"/>
      <c r="M360" s="7"/>
      <c r="N360" s="7"/>
      <c r="O360" s="7"/>
      <c r="P360" s="7"/>
      <c r="Q360" s="69"/>
      <c r="R360" s="69"/>
      <c r="S360" s="7"/>
      <c r="T360" s="7"/>
      <c r="U360" s="7"/>
      <c r="V360" s="7"/>
      <c r="W360" s="7"/>
    </row>
    <row r="361" spans="1:23">
      <c r="A361" s="6">
        <v>46137</v>
      </c>
      <c r="B361" s="7" t="s">
        <v>577</v>
      </c>
      <c r="C361" s="18"/>
      <c r="D361" s="18" t="s">
        <v>155</v>
      </c>
      <c r="E361" s="18" t="s">
        <v>35</v>
      </c>
      <c r="F361" s="18" t="s">
        <v>156</v>
      </c>
      <c r="G361" s="18"/>
      <c r="H361" s="18" t="s">
        <v>157</v>
      </c>
      <c r="I361" s="30"/>
      <c r="J361" s="18" t="s">
        <v>35</v>
      </c>
      <c r="K361" s="18" t="s">
        <v>157</v>
      </c>
      <c r="L361" s="7">
        <v>77</v>
      </c>
      <c r="M361" s="7">
        <v>7</v>
      </c>
      <c r="N361" s="7">
        <v>2</v>
      </c>
      <c r="O361" s="7">
        <v>0</v>
      </c>
      <c r="P361" s="7">
        <v>0</v>
      </c>
      <c r="Q361" s="69">
        <f t="shared" ref="Q361:Q363" si="89">M361/L361</f>
        <v>9.0909090909090912E-2</v>
      </c>
      <c r="R361" s="69">
        <f t="shared" ref="R361:R363" si="90">N361/M361</f>
        <v>0.2857142857142857</v>
      </c>
      <c r="S361" s="7"/>
      <c r="T361" s="7"/>
      <c r="U361" s="7"/>
      <c r="V361" s="7"/>
      <c r="W361" s="7"/>
    </row>
    <row r="362" spans="1:23">
      <c r="A362" s="6">
        <v>46137</v>
      </c>
      <c r="B362" s="7" t="s">
        <v>577</v>
      </c>
      <c r="C362" s="18"/>
      <c r="D362" s="18" t="s">
        <v>158</v>
      </c>
      <c r="E362" s="18" t="s">
        <v>35</v>
      </c>
      <c r="F362" s="18" t="s">
        <v>159</v>
      </c>
      <c r="G362" s="18"/>
      <c r="H362" s="18" t="s">
        <v>149</v>
      </c>
      <c r="I362" s="30"/>
      <c r="J362" s="18" t="s">
        <v>35</v>
      </c>
      <c r="K362" s="18" t="s">
        <v>149</v>
      </c>
      <c r="L362" s="7">
        <v>56</v>
      </c>
      <c r="M362" s="7">
        <v>4</v>
      </c>
      <c r="N362" s="7">
        <v>1</v>
      </c>
      <c r="O362" s="7">
        <v>0</v>
      </c>
      <c r="P362" s="7">
        <v>0</v>
      </c>
      <c r="Q362" s="69">
        <f t="shared" si="89"/>
        <v>7.1428571428571425E-2</v>
      </c>
      <c r="R362" s="69">
        <f t="shared" si="90"/>
        <v>0.25</v>
      </c>
      <c r="S362" s="7"/>
      <c r="T362" s="7"/>
      <c r="U362" s="7"/>
      <c r="V362" s="7"/>
      <c r="W362" s="7"/>
    </row>
    <row r="363" spans="1:23">
      <c r="A363" s="6">
        <v>46137</v>
      </c>
      <c r="B363" s="7" t="s">
        <v>577</v>
      </c>
      <c r="C363" s="18" t="s">
        <v>591</v>
      </c>
      <c r="D363" s="18" t="s">
        <v>189</v>
      </c>
      <c r="E363" s="18" t="s">
        <v>35</v>
      </c>
      <c r="F363" s="18"/>
      <c r="G363" s="18"/>
      <c r="H363" s="18" t="s">
        <v>186</v>
      </c>
      <c r="I363" s="30"/>
      <c r="J363" s="18" t="s">
        <v>35</v>
      </c>
      <c r="K363" s="18" t="s">
        <v>186</v>
      </c>
      <c r="L363" s="7">
        <v>2223</v>
      </c>
      <c r="M363" s="7">
        <v>27</v>
      </c>
      <c r="N363" s="7">
        <v>4</v>
      </c>
      <c r="O363" s="7">
        <v>2</v>
      </c>
      <c r="P363" s="7">
        <v>4</v>
      </c>
      <c r="Q363" s="69">
        <f t="shared" si="89"/>
        <v>1.2145748987854251E-2</v>
      </c>
      <c r="R363" s="69">
        <f t="shared" si="90"/>
        <v>0.14814814814814814</v>
      </c>
      <c r="S363" s="7"/>
      <c r="T363" s="7"/>
      <c r="U363" s="7"/>
      <c r="V363" s="7"/>
      <c r="W363" s="7"/>
    </row>
    <row r="364" spans="1:23">
      <c r="A364" s="6">
        <v>46137</v>
      </c>
      <c r="B364" s="7" t="s">
        <v>577</v>
      </c>
      <c r="C364" s="18" t="s">
        <v>592</v>
      </c>
      <c r="D364" s="18" t="s">
        <v>587</v>
      </c>
      <c r="E364" s="18" t="s">
        <v>35</v>
      </c>
      <c r="F364" s="18" t="s">
        <v>588</v>
      </c>
      <c r="G364" s="18"/>
      <c r="H364" s="18"/>
      <c r="I364" s="29"/>
      <c r="J364" s="18"/>
      <c r="K364" s="18"/>
      <c r="L364" s="7"/>
      <c r="M364" s="7"/>
      <c r="N364" s="7"/>
      <c r="O364" s="7"/>
      <c r="P364" s="7"/>
      <c r="Q364" s="69"/>
      <c r="R364" s="69"/>
      <c r="S364" s="7"/>
      <c r="T364" s="7"/>
      <c r="U364" s="7"/>
      <c r="V364" s="7"/>
      <c r="W364" s="7"/>
    </row>
    <row r="365" spans="1:23">
      <c r="A365" s="6">
        <v>46137</v>
      </c>
      <c r="B365" s="7" t="s">
        <v>577</v>
      </c>
      <c r="C365" s="7"/>
      <c r="D365" s="7" t="s">
        <v>671</v>
      </c>
      <c r="E365" s="7" t="s">
        <v>253</v>
      </c>
      <c r="F365" s="7"/>
      <c r="G365" s="7"/>
      <c r="H365" s="7" t="s">
        <v>170</v>
      </c>
      <c r="I365" s="14" t="s">
        <v>67</v>
      </c>
      <c r="J365" s="7" t="s">
        <v>35</v>
      </c>
      <c r="K365" s="7" t="s">
        <v>170</v>
      </c>
      <c r="L365" s="7">
        <v>1499</v>
      </c>
      <c r="M365" s="7">
        <v>1399</v>
      </c>
      <c r="N365" s="7">
        <v>920</v>
      </c>
      <c r="O365" s="7">
        <v>0</v>
      </c>
      <c r="P365" s="7">
        <v>1</v>
      </c>
      <c r="Q365" s="69">
        <f t="shared" ref="Q365:Q372" si="91">M365/L365</f>
        <v>0.93328885923949301</v>
      </c>
      <c r="R365" s="69">
        <f t="shared" ref="R365:R372" si="92">N365/M365</f>
        <v>0.65761258041458182</v>
      </c>
      <c r="S365" s="7"/>
      <c r="T365" s="7"/>
      <c r="U365" s="7"/>
      <c r="V365" s="7"/>
      <c r="W365" s="7"/>
    </row>
    <row r="366" spans="1:23">
      <c r="A366" s="6">
        <v>46137</v>
      </c>
      <c r="B366" s="7" t="s">
        <v>577</v>
      </c>
      <c r="C366" s="7"/>
      <c r="D366" s="100" t="s">
        <v>672</v>
      </c>
      <c r="E366" s="7" t="s">
        <v>253</v>
      </c>
      <c r="F366" s="7"/>
      <c r="G366" s="7"/>
      <c r="H366" s="7" t="s">
        <v>170</v>
      </c>
      <c r="I366" s="84"/>
      <c r="J366" s="7" t="s">
        <v>35</v>
      </c>
      <c r="K366" s="7" t="s">
        <v>170</v>
      </c>
      <c r="L366" s="7">
        <v>1499</v>
      </c>
      <c r="M366" s="7">
        <v>1399</v>
      </c>
      <c r="N366" s="7">
        <v>683</v>
      </c>
      <c r="O366" s="7">
        <v>0</v>
      </c>
      <c r="P366" s="7">
        <v>1</v>
      </c>
      <c r="Q366" s="69">
        <f t="shared" si="91"/>
        <v>0.93328885923949301</v>
      </c>
      <c r="R366" s="69">
        <f t="shared" si="92"/>
        <v>0.4882058613295211</v>
      </c>
      <c r="S366" s="7"/>
      <c r="T366" s="7"/>
      <c r="U366" s="7"/>
      <c r="V366" s="7"/>
      <c r="W366" s="7"/>
    </row>
    <row r="367" spans="1:23">
      <c r="A367" s="6">
        <v>46137</v>
      </c>
      <c r="B367" s="7" t="s">
        <v>577</v>
      </c>
      <c r="C367" s="7"/>
      <c r="D367" s="100" t="s">
        <v>668</v>
      </c>
      <c r="E367" s="7" t="s">
        <v>253</v>
      </c>
      <c r="F367" s="7"/>
      <c r="G367" s="7"/>
      <c r="H367" s="7" t="s">
        <v>170</v>
      </c>
      <c r="I367" s="84"/>
      <c r="J367" s="7" t="s">
        <v>35</v>
      </c>
      <c r="K367" s="7" t="s">
        <v>170</v>
      </c>
      <c r="L367" s="7">
        <v>358</v>
      </c>
      <c r="M367" s="7">
        <v>331</v>
      </c>
      <c r="N367" s="7">
        <v>228</v>
      </c>
      <c r="O367" s="7">
        <v>0</v>
      </c>
      <c r="P367" s="7">
        <v>1</v>
      </c>
      <c r="Q367" s="69">
        <f t="shared" si="91"/>
        <v>0.92458100558659218</v>
      </c>
      <c r="R367" s="69">
        <f t="shared" si="92"/>
        <v>0.68882175226586106</v>
      </c>
      <c r="S367" s="7"/>
      <c r="T367" s="7"/>
      <c r="U367" s="7"/>
      <c r="V367" s="7"/>
      <c r="W367" s="7"/>
    </row>
    <row r="368" spans="1:23">
      <c r="A368" s="6">
        <v>46137</v>
      </c>
      <c r="B368" s="7" t="s">
        <v>577</v>
      </c>
      <c r="C368" s="62">
        <v>0.85416666666666663</v>
      </c>
      <c r="D368" s="99" t="s">
        <v>609</v>
      </c>
      <c r="E368" s="7" t="s">
        <v>253</v>
      </c>
      <c r="F368" s="77" t="s">
        <v>436</v>
      </c>
      <c r="G368" s="7"/>
      <c r="H368" s="7" t="s">
        <v>149</v>
      </c>
      <c r="I368" s="47"/>
      <c r="J368" s="7" t="s">
        <v>35</v>
      </c>
      <c r="K368" s="7" t="s">
        <v>149</v>
      </c>
      <c r="L368" s="7">
        <v>319</v>
      </c>
      <c r="M368" s="7">
        <v>27</v>
      </c>
      <c r="N368" s="7">
        <v>8</v>
      </c>
      <c r="O368" s="7">
        <v>0</v>
      </c>
      <c r="P368" s="7">
        <v>0</v>
      </c>
      <c r="Q368" s="69">
        <f t="shared" si="91"/>
        <v>8.4639498432601878E-2</v>
      </c>
      <c r="R368" s="69">
        <f t="shared" si="92"/>
        <v>0.29629629629629628</v>
      </c>
      <c r="S368" s="7"/>
      <c r="T368" s="7"/>
      <c r="U368" s="7"/>
      <c r="V368" s="7"/>
      <c r="W368" s="7"/>
    </row>
    <row r="369" spans="1:23" ht="16.8">
      <c r="A369" s="6">
        <v>46137</v>
      </c>
      <c r="B369" s="7" t="s">
        <v>577</v>
      </c>
      <c r="C369" s="62">
        <v>0.875</v>
      </c>
      <c r="D369" s="99" t="s">
        <v>610</v>
      </c>
      <c r="E369" s="7" t="s">
        <v>253</v>
      </c>
      <c r="F369" s="77" t="s">
        <v>438</v>
      </c>
      <c r="G369" s="7"/>
      <c r="H369" s="52" t="s">
        <v>157</v>
      </c>
      <c r="I369" s="47"/>
      <c r="J369" s="7" t="s">
        <v>35</v>
      </c>
      <c r="K369" s="52" t="s">
        <v>157</v>
      </c>
      <c r="L369" s="7">
        <v>613</v>
      </c>
      <c r="M369" s="7">
        <v>57</v>
      </c>
      <c r="N369" s="7">
        <v>12</v>
      </c>
      <c r="O369" s="7">
        <v>1</v>
      </c>
      <c r="P369" s="7">
        <v>0</v>
      </c>
      <c r="Q369" s="69">
        <f t="shared" si="91"/>
        <v>9.2985318107667206E-2</v>
      </c>
      <c r="R369" s="69">
        <f t="shared" si="92"/>
        <v>0.21052631578947367</v>
      </c>
      <c r="S369" s="7"/>
      <c r="T369" s="7"/>
      <c r="U369" s="7"/>
      <c r="V369" s="7"/>
      <c r="W369" s="7"/>
    </row>
    <row r="370" spans="1:23" ht="16.8">
      <c r="A370" s="6">
        <v>46137</v>
      </c>
      <c r="B370" s="7" t="s">
        <v>577</v>
      </c>
      <c r="C370" s="62">
        <v>0.97916666666666663</v>
      </c>
      <c r="D370" s="99" t="s">
        <v>611</v>
      </c>
      <c r="E370" s="7" t="s">
        <v>253</v>
      </c>
      <c r="F370" s="77" t="s">
        <v>440</v>
      </c>
      <c r="G370" s="7"/>
      <c r="H370" s="52" t="s">
        <v>420</v>
      </c>
      <c r="I370" s="47"/>
      <c r="J370" s="7" t="s">
        <v>35</v>
      </c>
      <c r="K370" s="52" t="s">
        <v>420</v>
      </c>
      <c r="L370" s="7">
        <v>321</v>
      </c>
      <c r="M370" s="7">
        <v>39</v>
      </c>
      <c r="N370" s="7">
        <v>9</v>
      </c>
      <c r="O370" s="7">
        <v>0</v>
      </c>
      <c r="P370" s="7">
        <v>0</v>
      </c>
      <c r="Q370" s="69">
        <f t="shared" si="91"/>
        <v>0.12149532710280374</v>
      </c>
      <c r="R370" s="69">
        <f t="shared" si="92"/>
        <v>0.23076923076923078</v>
      </c>
      <c r="S370" s="7"/>
      <c r="T370" s="7"/>
      <c r="U370" s="7"/>
      <c r="V370" s="7"/>
      <c r="W370" s="7"/>
    </row>
    <row r="371" spans="1:23">
      <c r="A371" s="6">
        <v>46137</v>
      </c>
      <c r="B371" s="7" t="s">
        <v>577</v>
      </c>
      <c r="C371" s="62">
        <v>0.91666666666666663</v>
      </c>
      <c r="D371" s="99" t="s">
        <v>612</v>
      </c>
      <c r="E371" s="7" t="s">
        <v>253</v>
      </c>
      <c r="F371" s="77" t="s">
        <v>442</v>
      </c>
      <c r="G371" s="7"/>
      <c r="H371" s="7" t="s">
        <v>121</v>
      </c>
      <c r="I371" s="47"/>
      <c r="J371" s="7" t="s">
        <v>35</v>
      </c>
      <c r="K371" s="7" t="s">
        <v>121</v>
      </c>
      <c r="L371" s="7">
        <v>315</v>
      </c>
      <c r="M371" s="7">
        <v>30</v>
      </c>
      <c r="N371" s="7">
        <v>18</v>
      </c>
      <c r="O371" s="7">
        <v>0</v>
      </c>
      <c r="P371" s="7">
        <v>0</v>
      </c>
      <c r="Q371" s="69">
        <f t="shared" si="91"/>
        <v>9.5238095238095233E-2</v>
      </c>
      <c r="R371" s="69">
        <f t="shared" si="92"/>
        <v>0.6</v>
      </c>
      <c r="S371" s="7"/>
      <c r="T371" s="7"/>
      <c r="U371" s="7"/>
      <c r="V371" s="7"/>
      <c r="W371" s="7"/>
    </row>
    <row r="372" spans="1:23" ht="16.8">
      <c r="A372" s="6">
        <v>46137</v>
      </c>
      <c r="B372" s="7" t="s">
        <v>577</v>
      </c>
      <c r="C372" s="62">
        <v>0.96875</v>
      </c>
      <c r="D372" s="31" t="s">
        <v>613</v>
      </c>
      <c r="E372" s="7" t="s">
        <v>253</v>
      </c>
      <c r="F372" s="7" t="s">
        <v>412</v>
      </c>
      <c r="G372" s="7"/>
      <c r="H372" s="52" t="s">
        <v>210</v>
      </c>
      <c r="I372" s="47"/>
      <c r="J372" s="7" t="s">
        <v>35</v>
      </c>
      <c r="K372" s="52" t="s">
        <v>210</v>
      </c>
      <c r="L372" s="7">
        <v>758</v>
      </c>
      <c r="M372" s="7">
        <v>37</v>
      </c>
      <c r="N372" s="7">
        <v>13</v>
      </c>
      <c r="O372" s="7">
        <v>0</v>
      </c>
      <c r="P372" s="7">
        <v>0</v>
      </c>
      <c r="Q372" s="69">
        <f t="shared" si="91"/>
        <v>4.8812664907651716E-2</v>
      </c>
      <c r="R372" s="69">
        <f t="shared" si="92"/>
        <v>0.35135135135135137</v>
      </c>
      <c r="S372" s="7"/>
      <c r="T372" s="7"/>
      <c r="U372" s="7"/>
      <c r="V372" s="7"/>
      <c r="W372" s="7"/>
    </row>
    <row r="373" spans="1:23" ht="16.8">
      <c r="A373" s="85"/>
      <c r="B373" s="86"/>
      <c r="C373" s="91"/>
      <c r="D373" s="92"/>
      <c r="E373" s="86"/>
      <c r="F373" s="86"/>
      <c r="G373" s="86"/>
      <c r="H373" s="86"/>
      <c r="I373" s="86"/>
      <c r="J373" s="86"/>
      <c r="K373" s="93"/>
      <c r="L373" s="86"/>
      <c r="M373" s="86"/>
      <c r="N373" s="86"/>
      <c r="O373" s="86"/>
      <c r="P373" s="86"/>
      <c r="Q373" s="89"/>
      <c r="R373" s="89"/>
      <c r="S373" s="86"/>
      <c r="T373" s="86"/>
      <c r="U373" s="86"/>
      <c r="V373" s="86"/>
      <c r="W373" s="87"/>
    </row>
    <row r="374" spans="1:23">
      <c r="A374" s="6">
        <v>46137</v>
      </c>
      <c r="B374" s="7" t="s">
        <v>577</v>
      </c>
      <c r="C374" s="18" t="s">
        <v>596</v>
      </c>
      <c r="D374" s="18" t="s">
        <v>595</v>
      </c>
      <c r="E374" s="18" t="s">
        <v>27</v>
      </c>
      <c r="F374" s="18" t="s">
        <v>303</v>
      </c>
      <c r="G374" s="18" t="s">
        <v>85</v>
      </c>
      <c r="H374" s="18" t="s">
        <v>186</v>
      </c>
      <c r="I374" s="47"/>
      <c r="J374" s="18" t="s">
        <v>27</v>
      </c>
      <c r="K374" s="18" t="s">
        <v>186</v>
      </c>
      <c r="L374" s="7">
        <v>2213</v>
      </c>
      <c r="M374" s="7">
        <v>19</v>
      </c>
      <c r="N374" s="7">
        <v>3</v>
      </c>
      <c r="O374" s="7">
        <v>2</v>
      </c>
      <c r="P374" s="7">
        <v>4</v>
      </c>
      <c r="Q374" s="69">
        <f t="shared" ref="Q374" si="93">M374/L374</f>
        <v>8.5856303660189794E-3</v>
      </c>
      <c r="R374" s="69">
        <f t="shared" ref="R374" si="94">N374/M374</f>
        <v>0.15789473684210525</v>
      </c>
      <c r="S374" s="7"/>
      <c r="T374" s="7"/>
      <c r="U374" s="7"/>
      <c r="V374" s="7"/>
      <c r="W374" s="7"/>
    </row>
    <row r="375" spans="1:23">
      <c r="A375" s="6">
        <v>46137</v>
      </c>
      <c r="B375" s="7" t="s">
        <v>577</v>
      </c>
      <c r="C375" s="18" t="s">
        <v>597</v>
      </c>
      <c r="D375" s="18" t="s">
        <v>594</v>
      </c>
      <c r="E375" s="18" t="s">
        <v>27</v>
      </c>
      <c r="F375" s="18" t="s">
        <v>593</v>
      </c>
      <c r="G375" s="18" t="s">
        <v>85</v>
      </c>
      <c r="H375" s="18" t="s">
        <v>186</v>
      </c>
      <c r="I375" s="29"/>
      <c r="J375" s="18"/>
      <c r="K375" s="18"/>
      <c r="L375" s="7"/>
      <c r="M375" s="7"/>
      <c r="N375" s="7"/>
      <c r="O375" s="7"/>
      <c r="P375" s="7"/>
      <c r="Q375" s="69"/>
      <c r="R375" s="69"/>
      <c r="S375" s="7"/>
      <c r="T375" s="86"/>
      <c r="U375" s="86"/>
      <c r="V375" s="86"/>
      <c r="W375" s="7"/>
    </row>
    <row r="376" spans="1:23">
      <c r="A376" s="6">
        <v>46137</v>
      </c>
      <c r="B376" s="7" t="s">
        <v>577</v>
      </c>
      <c r="C376" s="18" t="s">
        <v>347</v>
      </c>
      <c r="D376" s="18" t="s">
        <v>345</v>
      </c>
      <c r="E376" s="18" t="s">
        <v>27</v>
      </c>
      <c r="F376" s="18" t="s">
        <v>346</v>
      </c>
      <c r="G376" s="18" t="s">
        <v>85</v>
      </c>
      <c r="H376" s="18" t="s">
        <v>313</v>
      </c>
      <c r="I376" s="47"/>
      <c r="J376" s="18" t="s">
        <v>27</v>
      </c>
      <c r="K376" s="18" t="s">
        <v>313</v>
      </c>
      <c r="L376" s="7"/>
      <c r="M376" s="7"/>
      <c r="N376" s="7"/>
      <c r="O376" s="7"/>
      <c r="P376" s="7"/>
      <c r="Q376" s="69" t="e">
        <f t="shared" ref="Q376:Q377" si="95">M376/L376</f>
        <v>#DIV/0!</v>
      </c>
      <c r="R376" s="69" t="e">
        <f t="shared" ref="R376:R377" si="96">N376/M376</f>
        <v>#DIV/0!</v>
      </c>
      <c r="S376" s="7"/>
      <c r="T376" s="7"/>
      <c r="U376" s="7"/>
      <c r="V376" s="7"/>
      <c r="W376" s="7"/>
    </row>
    <row r="377" spans="1:23">
      <c r="A377" s="6">
        <v>46137</v>
      </c>
      <c r="B377" s="7" t="s">
        <v>577</v>
      </c>
      <c r="C377" s="18" t="s">
        <v>308</v>
      </c>
      <c r="D377" s="18" t="s">
        <v>503</v>
      </c>
      <c r="E377" s="18" t="s">
        <v>27</v>
      </c>
      <c r="F377" s="18" t="s">
        <v>502</v>
      </c>
      <c r="G377" s="18" t="s">
        <v>85</v>
      </c>
      <c r="H377" s="18" t="s">
        <v>106</v>
      </c>
      <c r="I377" s="47"/>
      <c r="J377" s="18" t="s">
        <v>27</v>
      </c>
      <c r="K377" s="18" t="s">
        <v>106</v>
      </c>
      <c r="L377" s="7">
        <v>795</v>
      </c>
      <c r="M377" s="7">
        <v>5</v>
      </c>
      <c r="N377" s="7">
        <v>0</v>
      </c>
      <c r="O377" s="7">
        <v>0</v>
      </c>
      <c r="P377" s="7">
        <v>2</v>
      </c>
      <c r="Q377" s="69">
        <f t="shared" si="95"/>
        <v>6.2893081761006293E-3</v>
      </c>
      <c r="R377" s="69">
        <f t="shared" si="96"/>
        <v>0</v>
      </c>
      <c r="S377" s="7"/>
      <c r="T377" s="7"/>
      <c r="U377" s="7"/>
      <c r="V377" s="7"/>
      <c r="W377" s="7"/>
    </row>
    <row r="378" spans="1:23">
      <c r="A378" s="6">
        <v>46137</v>
      </c>
      <c r="B378" s="7" t="s">
        <v>577</v>
      </c>
      <c r="C378" s="18" t="s">
        <v>598</v>
      </c>
      <c r="D378" s="18" t="s">
        <v>594</v>
      </c>
      <c r="E378" s="18" t="s">
        <v>27</v>
      </c>
      <c r="F378" s="18" t="s">
        <v>593</v>
      </c>
      <c r="G378" s="18" t="s">
        <v>85</v>
      </c>
      <c r="H378" s="18" t="s">
        <v>106</v>
      </c>
      <c r="I378" s="29"/>
      <c r="J378" s="18"/>
      <c r="K378" s="18"/>
      <c r="L378" s="7"/>
      <c r="M378" s="7"/>
      <c r="N378" s="7"/>
      <c r="O378" s="7"/>
      <c r="P378" s="7"/>
      <c r="Q378" s="69"/>
      <c r="R378" s="69"/>
      <c r="S378" s="7"/>
      <c r="T378" s="7"/>
      <c r="U378" s="7"/>
      <c r="V378" s="7"/>
      <c r="W378" s="7"/>
    </row>
    <row r="379" spans="1:23">
      <c r="A379" s="6">
        <v>46137</v>
      </c>
      <c r="B379" s="7" t="s">
        <v>577</v>
      </c>
      <c r="C379" s="62">
        <v>0.75</v>
      </c>
      <c r="D379" s="77" t="s">
        <v>629</v>
      </c>
      <c r="E379" s="77" t="s">
        <v>27</v>
      </c>
      <c r="F379" s="77" t="s">
        <v>428</v>
      </c>
      <c r="G379" s="77" t="s">
        <v>85</v>
      </c>
      <c r="H379" s="77" t="s">
        <v>348</v>
      </c>
      <c r="I379" s="84"/>
      <c r="J379" s="77" t="s">
        <v>27</v>
      </c>
      <c r="K379" s="77" t="s">
        <v>348</v>
      </c>
      <c r="L379" s="7">
        <v>3092</v>
      </c>
      <c r="M379" s="7">
        <v>31</v>
      </c>
      <c r="N379" s="7">
        <v>7</v>
      </c>
      <c r="O379" s="7">
        <v>2</v>
      </c>
      <c r="P379" s="7">
        <v>2</v>
      </c>
      <c r="Q379" s="69">
        <f t="shared" ref="Q379:Q384" si="97">M379/L379</f>
        <v>1.0025873221216041E-2</v>
      </c>
      <c r="R379" s="69">
        <f t="shared" ref="R379:R384" si="98">N379/M379</f>
        <v>0.22580645161290322</v>
      </c>
      <c r="S379" s="7"/>
      <c r="T379" s="7"/>
      <c r="U379" s="7"/>
      <c r="V379" s="7"/>
      <c r="W379" s="7"/>
    </row>
    <row r="380" spans="1:23">
      <c r="A380" s="6">
        <v>46137</v>
      </c>
      <c r="B380" s="7" t="s">
        <v>577</v>
      </c>
      <c r="C380" s="62">
        <v>0.76041666666666663</v>
      </c>
      <c r="D380" s="77" t="s">
        <v>630</v>
      </c>
      <c r="E380" s="77" t="s">
        <v>27</v>
      </c>
      <c r="F380" s="77" t="s">
        <v>430</v>
      </c>
      <c r="G380" s="77" t="s">
        <v>85</v>
      </c>
      <c r="H380" s="77" t="s">
        <v>349</v>
      </c>
      <c r="I380" s="84"/>
      <c r="J380" s="77" t="s">
        <v>27</v>
      </c>
      <c r="K380" s="77" t="s">
        <v>349</v>
      </c>
      <c r="L380" s="7">
        <v>1275</v>
      </c>
      <c r="M380" s="7">
        <v>11</v>
      </c>
      <c r="N380" s="7">
        <v>8</v>
      </c>
      <c r="O380" s="7">
        <v>0</v>
      </c>
      <c r="P380" s="7">
        <v>1</v>
      </c>
      <c r="Q380" s="69">
        <f t="shared" si="97"/>
        <v>8.6274509803921564E-3</v>
      </c>
      <c r="R380" s="69">
        <f t="shared" si="98"/>
        <v>0.72727272727272729</v>
      </c>
      <c r="S380" s="7"/>
      <c r="T380" s="7"/>
      <c r="U380" s="7"/>
      <c r="V380" s="7"/>
      <c r="W380" s="7"/>
    </row>
    <row r="381" spans="1:23">
      <c r="A381" s="6">
        <v>46137</v>
      </c>
      <c r="B381" s="7" t="s">
        <v>577</v>
      </c>
      <c r="C381" s="62">
        <v>0.70833333333333337</v>
      </c>
      <c r="D381" s="77" t="s">
        <v>631</v>
      </c>
      <c r="E381" s="77" t="s">
        <v>27</v>
      </c>
      <c r="F381" s="77" t="s">
        <v>432</v>
      </c>
      <c r="G381" s="77" t="s">
        <v>85</v>
      </c>
      <c r="H381" s="77" t="s">
        <v>350</v>
      </c>
      <c r="I381" s="84"/>
      <c r="J381" s="77" t="s">
        <v>27</v>
      </c>
      <c r="K381" s="77" t="s">
        <v>350</v>
      </c>
      <c r="L381" s="7">
        <v>5589</v>
      </c>
      <c r="M381" s="7">
        <v>31</v>
      </c>
      <c r="N381" s="7">
        <v>12</v>
      </c>
      <c r="O381" s="7">
        <v>3</v>
      </c>
      <c r="P381" s="7">
        <v>1</v>
      </c>
      <c r="Q381" s="69">
        <f t="shared" si="97"/>
        <v>5.5466094113437109E-3</v>
      </c>
      <c r="R381" s="69">
        <f t="shared" si="98"/>
        <v>0.38709677419354838</v>
      </c>
      <c r="S381" s="7"/>
      <c r="T381" s="7"/>
      <c r="U381" s="7"/>
      <c r="V381" s="7"/>
      <c r="W381" s="7"/>
    </row>
    <row r="382" spans="1:23">
      <c r="A382" s="6">
        <v>46137</v>
      </c>
      <c r="B382" s="7" t="s">
        <v>577</v>
      </c>
      <c r="C382" s="62">
        <v>0.78125</v>
      </c>
      <c r="D382" s="77" t="s">
        <v>632</v>
      </c>
      <c r="E382" s="77" t="s">
        <v>27</v>
      </c>
      <c r="F382" s="77" t="s">
        <v>434</v>
      </c>
      <c r="G382" s="77" t="s">
        <v>85</v>
      </c>
      <c r="H382" s="77" t="s">
        <v>351</v>
      </c>
      <c r="I382" s="84"/>
      <c r="J382" s="77" t="s">
        <v>27</v>
      </c>
      <c r="K382" s="77" t="s">
        <v>351</v>
      </c>
      <c r="L382" s="7">
        <v>3291</v>
      </c>
      <c r="M382" s="7">
        <v>17</v>
      </c>
      <c r="N382" s="7">
        <v>6</v>
      </c>
      <c r="O382" s="7">
        <v>2</v>
      </c>
      <c r="P382" s="7">
        <v>1</v>
      </c>
      <c r="Q382" s="69">
        <f t="shared" si="97"/>
        <v>5.1656031601336984E-3</v>
      </c>
      <c r="R382" s="69">
        <f t="shared" si="98"/>
        <v>0.35294117647058826</v>
      </c>
      <c r="S382" s="7"/>
      <c r="T382" s="7"/>
      <c r="U382" s="7"/>
      <c r="V382" s="7"/>
      <c r="W382" s="7"/>
    </row>
    <row r="383" spans="1:23">
      <c r="A383" s="6">
        <v>46137</v>
      </c>
      <c r="B383" s="7" t="s">
        <v>577</v>
      </c>
      <c r="C383" s="62">
        <v>0.80208333333333337</v>
      </c>
      <c r="D383" s="7" t="s">
        <v>633</v>
      </c>
      <c r="E383" s="77" t="s">
        <v>27</v>
      </c>
      <c r="F383" s="7" t="s">
        <v>410</v>
      </c>
      <c r="G383" s="77" t="s">
        <v>85</v>
      </c>
      <c r="H383" s="7" t="s">
        <v>210</v>
      </c>
      <c r="I383" s="29"/>
      <c r="J383" s="77" t="s">
        <v>27</v>
      </c>
      <c r="K383" s="7" t="s">
        <v>210</v>
      </c>
      <c r="L383" s="7">
        <v>722</v>
      </c>
      <c r="M383" s="7">
        <v>41</v>
      </c>
      <c r="N383" s="7">
        <v>23</v>
      </c>
      <c r="O383" s="7">
        <v>2</v>
      </c>
      <c r="P383" s="7">
        <v>0</v>
      </c>
      <c r="Q383" s="69">
        <f t="shared" si="97"/>
        <v>5.6786703601108032E-2</v>
      </c>
      <c r="R383" s="69">
        <f t="shared" si="98"/>
        <v>0.56097560975609762</v>
      </c>
      <c r="S383" s="7"/>
      <c r="T383" s="7"/>
      <c r="U383" s="7"/>
      <c r="V383" s="7"/>
      <c r="W383" s="7"/>
    </row>
    <row r="384" spans="1:23" ht="16.8">
      <c r="A384" s="6">
        <v>46137</v>
      </c>
      <c r="B384" s="7" t="s">
        <v>577</v>
      </c>
      <c r="C384" s="62">
        <v>0.83333333333333337</v>
      </c>
      <c r="D384" s="77" t="s">
        <v>662</v>
      </c>
      <c r="E384" s="7" t="s">
        <v>27</v>
      </c>
      <c r="F384" s="77" t="s">
        <v>432</v>
      </c>
      <c r="G384" s="77" t="s">
        <v>85</v>
      </c>
      <c r="H384" s="52" t="s">
        <v>157</v>
      </c>
      <c r="I384" s="98"/>
      <c r="J384" s="77" t="s">
        <v>27</v>
      </c>
      <c r="K384" s="52" t="s">
        <v>157</v>
      </c>
      <c r="L384" s="86">
        <v>614</v>
      </c>
      <c r="M384" s="86">
        <v>2</v>
      </c>
      <c r="N384" s="86">
        <v>0</v>
      </c>
      <c r="O384" s="86">
        <v>0</v>
      </c>
      <c r="P384" s="86">
        <v>0</v>
      </c>
      <c r="Q384" s="69">
        <f t="shared" si="97"/>
        <v>3.2573289902280132E-3</v>
      </c>
      <c r="R384" s="69">
        <f t="shared" si="98"/>
        <v>0</v>
      </c>
      <c r="S384" s="86"/>
      <c r="T384" s="86"/>
      <c r="U384" s="86"/>
      <c r="V384" s="86"/>
      <c r="W384" s="87"/>
    </row>
    <row r="385" spans="1:23" ht="16.8">
      <c r="A385" s="85"/>
      <c r="B385" s="86"/>
      <c r="C385" s="91"/>
      <c r="D385" s="92"/>
      <c r="E385" s="86"/>
      <c r="F385" s="86"/>
      <c r="G385" s="86"/>
      <c r="H385" s="86"/>
      <c r="I385" s="86"/>
      <c r="J385" s="86"/>
      <c r="K385" s="93"/>
      <c r="L385" s="86"/>
      <c r="M385" s="86"/>
      <c r="N385" s="86"/>
      <c r="O385" s="86"/>
      <c r="P385" s="86"/>
      <c r="Q385" s="89"/>
      <c r="R385" s="89"/>
      <c r="S385" s="86"/>
      <c r="T385" s="86"/>
      <c r="U385" s="86"/>
      <c r="V385" s="86"/>
      <c r="W385" s="87"/>
    </row>
    <row r="386" spans="1:23">
      <c r="A386" s="6">
        <v>46137</v>
      </c>
      <c r="B386" s="7" t="s">
        <v>577</v>
      </c>
      <c r="C386" s="18" t="s">
        <v>599</v>
      </c>
      <c r="D386" s="18" t="s">
        <v>306</v>
      </c>
      <c r="E386" s="18" t="s">
        <v>28</v>
      </c>
      <c r="F386" s="18" t="s">
        <v>307</v>
      </c>
      <c r="G386" s="18" t="s">
        <v>85</v>
      </c>
      <c r="H386" s="18" t="s">
        <v>186</v>
      </c>
      <c r="I386" s="47"/>
      <c r="J386" s="18" t="s">
        <v>28</v>
      </c>
      <c r="K386" s="18" t="s">
        <v>186</v>
      </c>
      <c r="L386" s="7">
        <v>2205</v>
      </c>
      <c r="M386" s="7">
        <v>19</v>
      </c>
      <c r="N386" s="7">
        <v>3</v>
      </c>
      <c r="O386" s="7">
        <v>1</v>
      </c>
      <c r="P386" s="7">
        <v>4</v>
      </c>
      <c r="Q386" s="69">
        <f t="shared" ref="Q386" si="99">M386/L386</f>
        <v>8.6167800453514735E-3</v>
      </c>
      <c r="R386" s="69">
        <f t="shared" ref="R386" si="100">N386/M386</f>
        <v>0.15789473684210525</v>
      </c>
      <c r="S386" s="7"/>
      <c r="T386" s="7"/>
      <c r="U386" s="7"/>
      <c r="V386" s="7"/>
      <c r="W386" s="7"/>
    </row>
    <row r="387" spans="1:23">
      <c r="A387" s="6">
        <v>46137</v>
      </c>
      <c r="B387" s="7" t="s">
        <v>577</v>
      </c>
      <c r="C387" s="18" t="s">
        <v>600</v>
      </c>
      <c r="D387" s="18" t="s">
        <v>602</v>
      </c>
      <c r="E387" s="18" t="s">
        <v>28</v>
      </c>
      <c r="F387" s="18" t="s">
        <v>601</v>
      </c>
      <c r="G387" s="18"/>
      <c r="H387" s="18" t="s">
        <v>186</v>
      </c>
      <c r="I387" s="29"/>
      <c r="J387" s="18"/>
      <c r="K387" s="18"/>
      <c r="L387" s="7"/>
      <c r="M387" s="7"/>
      <c r="N387" s="7"/>
      <c r="O387" s="7"/>
      <c r="P387" s="7"/>
      <c r="Q387" s="69"/>
      <c r="R387" s="69"/>
      <c r="S387" s="7"/>
      <c r="T387" s="7"/>
      <c r="U387" s="7"/>
      <c r="V387" s="7"/>
      <c r="W387" s="7"/>
    </row>
    <row r="388" spans="1:23">
      <c r="A388" s="6">
        <v>46137</v>
      </c>
      <c r="B388" s="7" t="s">
        <v>577</v>
      </c>
      <c r="C388" s="18" t="s">
        <v>347</v>
      </c>
      <c r="D388" s="18" t="s">
        <v>352</v>
      </c>
      <c r="E388" s="18" t="s">
        <v>28</v>
      </c>
      <c r="F388" s="18" t="s">
        <v>353</v>
      </c>
      <c r="G388" s="18" t="s">
        <v>85</v>
      </c>
      <c r="H388" s="18" t="s">
        <v>186</v>
      </c>
      <c r="I388" s="47"/>
      <c r="J388" s="18" t="s">
        <v>28</v>
      </c>
      <c r="K388" s="18" t="s">
        <v>186</v>
      </c>
      <c r="L388" s="7"/>
      <c r="M388" s="7"/>
      <c r="N388" s="7"/>
      <c r="O388" s="7"/>
      <c r="P388" s="7"/>
      <c r="Q388" s="69" t="e">
        <f t="shared" ref="Q388:Q389" si="101">M388/L388</f>
        <v>#DIV/0!</v>
      </c>
      <c r="R388" s="69" t="e">
        <f t="shared" ref="R388:R389" si="102">N388/M388</f>
        <v>#DIV/0!</v>
      </c>
      <c r="S388" s="7"/>
      <c r="T388" s="86"/>
      <c r="U388" s="86"/>
      <c r="V388" s="86"/>
      <c r="W388" s="7"/>
    </row>
    <row r="389" spans="1:23">
      <c r="A389" s="6">
        <v>46137</v>
      </c>
      <c r="B389" s="7" t="s">
        <v>577</v>
      </c>
      <c r="C389" s="18" t="s">
        <v>599</v>
      </c>
      <c r="D389" s="18" t="s">
        <v>507</v>
      </c>
      <c r="E389" s="18" t="s">
        <v>28</v>
      </c>
      <c r="F389" s="18" t="s">
        <v>506</v>
      </c>
      <c r="G389" s="18" t="s">
        <v>85</v>
      </c>
      <c r="H389" s="18" t="s">
        <v>106</v>
      </c>
      <c r="I389" s="47"/>
      <c r="J389" s="18" t="s">
        <v>28</v>
      </c>
      <c r="K389" s="18" t="s">
        <v>106</v>
      </c>
      <c r="L389" s="7">
        <v>790</v>
      </c>
      <c r="M389" s="7">
        <v>5</v>
      </c>
      <c r="N389" s="7">
        <v>2</v>
      </c>
      <c r="O389" s="7">
        <v>0</v>
      </c>
      <c r="P389" s="7">
        <v>2</v>
      </c>
      <c r="Q389" s="69">
        <f t="shared" si="101"/>
        <v>6.3291139240506328E-3</v>
      </c>
      <c r="R389" s="69">
        <f t="shared" si="102"/>
        <v>0.4</v>
      </c>
      <c r="S389" s="7"/>
      <c r="T389" s="7"/>
      <c r="U389" s="7"/>
      <c r="V389" s="7"/>
      <c r="W389" s="7"/>
    </row>
    <row r="390" spans="1:23">
      <c r="A390" s="6">
        <v>46137</v>
      </c>
      <c r="B390" s="7" t="s">
        <v>577</v>
      </c>
      <c r="C390" s="18" t="s">
        <v>600</v>
      </c>
      <c r="D390" s="18" t="s">
        <v>602</v>
      </c>
      <c r="E390" s="18" t="s">
        <v>28</v>
      </c>
      <c r="F390" s="18" t="s">
        <v>601</v>
      </c>
      <c r="G390" s="18" t="s">
        <v>85</v>
      </c>
      <c r="H390" s="18" t="s">
        <v>106</v>
      </c>
      <c r="I390" s="29"/>
      <c r="J390" s="18"/>
      <c r="K390" s="18"/>
      <c r="L390" s="7"/>
      <c r="M390" s="7"/>
      <c r="N390" s="7"/>
      <c r="O390" s="7"/>
      <c r="P390" s="7"/>
      <c r="Q390" s="69"/>
      <c r="R390" s="69"/>
      <c r="S390" s="7"/>
      <c r="T390" s="7"/>
      <c r="U390" s="7"/>
      <c r="V390" s="7"/>
      <c r="W390" s="7"/>
    </row>
    <row r="391" spans="1:23">
      <c r="A391" s="6">
        <v>46137</v>
      </c>
      <c r="B391" s="7" t="s">
        <v>577</v>
      </c>
      <c r="C391" s="62">
        <v>0.79166666666666663</v>
      </c>
      <c r="D391" s="77" t="s">
        <v>634</v>
      </c>
      <c r="E391" s="77" t="s">
        <v>28</v>
      </c>
      <c r="F391" s="77" t="s">
        <v>436</v>
      </c>
      <c r="G391" s="7" t="s">
        <v>85</v>
      </c>
      <c r="H391" s="77" t="s">
        <v>359</v>
      </c>
      <c r="I391" s="84"/>
      <c r="J391" s="77" t="s">
        <v>28</v>
      </c>
      <c r="K391" s="77" t="s">
        <v>359</v>
      </c>
      <c r="L391" s="7">
        <v>1310</v>
      </c>
      <c r="M391" s="7">
        <v>18</v>
      </c>
      <c r="N391" s="7">
        <v>5</v>
      </c>
      <c r="O391" s="7">
        <v>2</v>
      </c>
      <c r="P391" s="7">
        <v>3</v>
      </c>
      <c r="Q391" s="69">
        <f t="shared" ref="Q391:Q396" si="103">M391/L391</f>
        <v>1.3740458015267175E-2</v>
      </c>
      <c r="R391" s="69">
        <f t="shared" ref="R391:R396" si="104">N391/M391</f>
        <v>0.27777777777777779</v>
      </c>
      <c r="S391" s="7"/>
      <c r="T391" s="7"/>
      <c r="U391" s="7"/>
      <c r="V391" s="7"/>
      <c r="W391" s="7"/>
    </row>
    <row r="392" spans="1:23">
      <c r="A392" s="6">
        <v>46137</v>
      </c>
      <c r="B392" s="7" t="s">
        <v>577</v>
      </c>
      <c r="C392" s="62">
        <v>0.80208333333333337</v>
      </c>
      <c r="D392" s="77" t="s">
        <v>635</v>
      </c>
      <c r="E392" s="77" t="s">
        <v>28</v>
      </c>
      <c r="F392" s="77" t="s">
        <v>438</v>
      </c>
      <c r="G392" s="7" t="s">
        <v>85</v>
      </c>
      <c r="H392" s="77" t="s">
        <v>358</v>
      </c>
      <c r="I392" s="84"/>
      <c r="J392" s="77" t="s">
        <v>28</v>
      </c>
      <c r="K392" s="77" t="s">
        <v>358</v>
      </c>
      <c r="L392" s="7">
        <v>2980</v>
      </c>
      <c r="M392" s="7">
        <v>30</v>
      </c>
      <c r="N392" s="7">
        <v>9</v>
      </c>
      <c r="O392" s="7">
        <v>1</v>
      </c>
      <c r="P392" s="7">
        <v>3</v>
      </c>
      <c r="Q392" s="69">
        <f t="shared" si="103"/>
        <v>1.0067114093959731E-2</v>
      </c>
      <c r="R392" s="69">
        <f t="shared" si="104"/>
        <v>0.3</v>
      </c>
      <c r="S392" s="7"/>
      <c r="T392" s="7"/>
      <c r="U392" s="7"/>
      <c r="V392" s="7"/>
      <c r="W392" s="7"/>
    </row>
    <row r="393" spans="1:23">
      <c r="A393" s="6">
        <v>46137</v>
      </c>
      <c r="B393" s="7" t="s">
        <v>577</v>
      </c>
      <c r="C393" s="62">
        <v>0.77083333333333337</v>
      </c>
      <c r="D393" s="77" t="s">
        <v>636</v>
      </c>
      <c r="E393" s="77" t="s">
        <v>28</v>
      </c>
      <c r="F393" s="77" t="s">
        <v>440</v>
      </c>
      <c r="G393" s="7" t="s">
        <v>85</v>
      </c>
      <c r="H393" s="77" t="s">
        <v>350</v>
      </c>
      <c r="I393" s="84"/>
      <c r="J393" s="77" t="s">
        <v>28</v>
      </c>
      <c r="K393" s="77" t="s">
        <v>350</v>
      </c>
      <c r="L393" s="7">
        <v>5588</v>
      </c>
      <c r="M393" s="7">
        <v>24</v>
      </c>
      <c r="N393" s="7">
        <v>8</v>
      </c>
      <c r="O393" s="7">
        <v>2</v>
      </c>
      <c r="P393" s="7">
        <v>1</v>
      </c>
      <c r="Q393" s="69">
        <f t="shared" si="103"/>
        <v>4.2949176807444527E-3</v>
      </c>
      <c r="R393" s="69">
        <f t="shared" si="104"/>
        <v>0.33333333333333331</v>
      </c>
      <c r="S393" s="7"/>
      <c r="T393" s="7"/>
      <c r="U393" s="7"/>
      <c r="V393" s="7"/>
      <c r="W393" s="7"/>
    </row>
    <row r="394" spans="1:23">
      <c r="A394" s="6">
        <v>46137</v>
      </c>
      <c r="B394" s="7" t="s">
        <v>577</v>
      </c>
      <c r="C394" s="62">
        <v>0.8125</v>
      </c>
      <c r="D394" s="77" t="s">
        <v>637</v>
      </c>
      <c r="E394" s="77" t="s">
        <v>28</v>
      </c>
      <c r="F394" s="77" t="s">
        <v>442</v>
      </c>
      <c r="G394" s="7" t="s">
        <v>85</v>
      </c>
      <c r="H394" s="77" t="s">
        <v>351</v>
      </c>
      <c r="I394" s="84"/>
      <c r="J394" s="77" t="s">
        <v>28</v>
      </c>
      <c r="K394" s="77" t="s">
        <v>351</v>
      </c>
      <c r="L394" s="7">
        <v>3288</v>
      </c>
      <c r="M394" s="7">
        <v>24</v>
      </c>
      <c r="N394" s="7">
        <v>11</v>
      </c>
      <c r="O394" s="7">
        <v>0</v>
      </c>
      <c r="P394" s="7">
        <v>0</v>
      </c>
      <c r="Q394" s="69">
        <f t="shared" si="103"/>
        <v>7.2992700729927005E-3</v>
      </c>
      <c r="R394" s="69">
        <f t="shared" si="104"/>
        <v>0.45833333333333331</v>
      </c>
      <c r="S394" s="7"/>
      <c r="T394" s="7"/>
      <c r="U394" s="7"/>
      <c r="V394" s="7"/>
      <c r="W394" s="7"/>
    </row>
    <row r="395" spans="1:23">
      <c r="A395" s="6">
        <v>46137</v>
      </c>
      <c r="B395" s="7" t="s">
        <v>577</v>
      </c>
      <c r="C395" s="62">
        <v>0.85416666666666663</v>
      </c>
      <c r="D395" s="7" t="s">
        <v>638</v>
      </c>
      <c r="E395" s="7" t="s">
        <v>28</v>
      </c>
      <c r="F395" s="7" t="s">
        <v>412</v>
      </c>
      <c r="G395" s="7" t="s">
        <v>85</v>
      </c>
      <c r="H395" s="7" t="s">
        <v>210</v>
      </c>
      <c r="I395" s="29"/>
      <c r="J395" s="7" t="s">
        <v>28</v>
      </c>
      <c r="K395" s="7" t="s">
        <v>210</v>
      </c>
      <c r="L395" s="7">
        <v>733</v>
      </c>
      <c r="M395" s="7">
        <v>33</v>
      </c>
      <c r="N395" s="7">
        <v>17</v>
      </c>
      <c r="O395" s="7">
        <v>0</v>
      </c>
      <c r="P395" s="7">
        <v>0</v>
      </c>
      <c r="Q395" s="69">
        <f t="shared" si="103"/>
        <v>4.5020463847203276E-2</v>
      </c>
      <c r="R395" s="69">
        <f t="shared" si="104"/>
        <v>0.51515151515151514</v>
      </c>
      <c r="S395" s="7"/>
      <c r="T395" s="7"/>
      <c r="U395" s="7"/>
      <c r="V395" s="7"/>
      <c r="W395" s="7"/>
    </row>
    <row r="396" spans="1:23" ht="16.8">
      <c r="A396" s="6">
        <v>46137</v>
      </c>
      <c r="B396" s="7" t="s">
        <v>577</v>
      </c>
      <c r="C396" s="91">
        <v>0.89583333333333337</v>
      </c>
      <c r="D396" s="77" t="s">
        <v>663</v>
      </c>
      <c r="E396" s="7" t="s">
        <v>28</v>
      </c>
      <c r="F396" s="77" t="s">
        <v>440</v>
      </c>
      <c r="G396" s="7" t="s">
        <v>85</v>
      </c>
      <c r="H396" s="52" t="s">
        <v>157</v>
      </c>
      <c r="I396" s="98"/>
      <c r="J396" s="7" t="s">
        <v>28</v>
      </c>
      <c r="K396" s="52" t="s">
        <v>157</v>
      </c>
      <c r="L396" s="86">
        <v>615</v>
      </c>
      <c r="M396" s="86">
        <v>2</v>
      </c>
      <c r="N396" s="86">
        <v>0</v>
      </c>
      <c r="O396" s="86">
        <v>0</v>
      </c>
      <c r="P396" s="86">
        <v>0</v>
      </c>
      <c r="Q396" s="69">
        <f t="shared" si="103"/>
        <v>3.2520325203252032E-3</v>
      </c>
      <c r="R396" s="69">
        <f t="shared" si="104"/>
        <v>0</v>
      </c>
      <c r="S396" s="86"/>
      <c r="T396" s="86"/>
      <c r="U396" s="86"/>
      <c r="V396" s="86"/>
      <c r="W396" s="87"/>
    </row>
    <row r="397" spans="1:23" ht="16.8">
      <c r="A397" s="85"/>
      <c r="B397" s="86"/>
      <c r="C397" s="91"/>
      <c r="D397" s="92"/>
      <c r="E397" s="86"/>
      <c r="F397" s="86"/>
      <c r="G397" s="86"/>
      <c r="H397" s="86"/>
      <c r="I397" s="86"/>
      <c r="J397" s="86"/>
      <c r="K397" s="93"/>
      <c r="L397" s="86"/>
      <c r="M397" s="86"/>
      <c r="N397" s="86"/>
      <c r="O397" s="86"/>
      <c r="P397" s="86"/>
      <c r="Q397" s="89"/>
      <c r="R397" s="89"/>
      <c r="S397" s="86"/>
      <c r="T397" s="86"/>
      <c r="U397" s="86"/>
      <c r="V397" s="86"/>
      <c r="W397" s="87"/>
    </row>
    <row r="398" spans="1:23">
      <c r="A398" s="6">
        <v>46137</v>
      </c>
      <c r="B398" s="7" t="s">
        <v>577</v>
      </c>
      <c r="C398" s="18" t="s">
        <v>598</v>
      </c>
      <c r="D398" s="18" t="s">
        <v>310</v>
      </c>
      <c r="E398" s="18" t="s">
        <v>309</v>
      </c>
      <c r="F398" s="18" t="s">
        <v>311</v>
      </c>
      <c r="G398" s="18" t="s">
        <v>85</v>
      </c>
      <c r="H398" s="18" t="s">
        <v>186</v>
      </c>
      <c r="I398" s="47"/>
      <c r="J398" s="18" t="s">
        <v>309</v>
      </c>
      <c r="K398" s="18" t="s">
        <v>186</v>
      </c>
      <c r="L398" s="7">
        <v>2202</v>
      </c>
      <c r="M398" s="7">
        <v>17</v>
      </c>
      <c r="N398" s="7">
        <v>6</v>
      </c>
      <c r="O398" s="7">
        <v>2</v>
      </c>
      <c r="P398" s="7">
        <v>5</v>
      </c>
      <c r="Q398" s="69">
        <f t="shared" ref="Q398" si="105">M398/L398</f>
        <v>7.7202543142597642E-3</v>
      </c>
      <c r="R398" s="69">
        <f t="shared" ref="R398" si="106">N398/M398</f>
        <v>0.35294117647058826</v>
      </c>
      <c r="S398" s="7"/>
      <c r="T398" s="7"/>
      <c r="U398" s="7"/>
      <c r="V398" s="7"/>
      <c r="W398" s="7"/>
    </row>
    <row r="399" spans="1:23">
      <c r="A399" s="6">
        <v>46137</v>
      </c>
      <c r="B399" s="7" t="s">
        <v>577</v>
      </c>
      <c r="C399" s="18" t="s">
        <v>605</v>
      </c>
      <c r="D399" s="18" t="s">
        <v>604</v>
      </c>
      <c r="E399" s="18" t="s">
        <v>309</v>
      </c>
      <c r="F399" s="18" t="s">
        <v>603</v>
      </c>
      <c r="G399" s="18" t="s">
        <v>85</v>
      </c>
      <c r="H399" s="18" t="s">
        <v>186</v>
      </c>
      <c r="I399" s="29"/>
      <c r="J399" s="18"/>
      <c r="K399" s="18"/>
      <c r="L399" s="7"/>
      <c r="M399" s="7"/>
      <c r="N399" s="7"/>
      <c r="O399" s="7"/>
      <c r="P399" s="7"/>
      <c r="Q399" s="69"/>
      <c r="R399" s="69"/>
      <c r="S399" s="7"/>
      <c r="T399" s="7"/>
      <c r="U399" s="7"/>
      <c r="V399" s="7"/>
      <c r="W399" s="7"/>
    </row>
    <row r="400" spans="1:23">
      <c r="A400" s="6">
        <v>46137</v>
      </c>
      <c r="B400" s="7" t="s">
        <v>577</v>
      </c>
      <c r="C400" s="18" t="s">
        <v>347</v>
      </c>
      <c r="D400" s="18" t="s">
        <v>354</v>
      </c>
      <c r="E400" s="18" t="s">
        <v>309</v>
      </c>
      <c r="F400" s="18" t="s">
        <v>355</v>
      </c>
      <c r="G400" s="18" t="s">
        <v>85</v>
      </c>
      <c r="H400" s="18" t="s">
        <v>313</v>
      </c>
      <c r="I400" s="47"/>
      <c r="J400" s="18" t="s">
        <v>309</v>
      </c>
      <c r="K400" s="18" t="s">
        <v>313</v>
      </c>
      <c r="L400" s="7"/>
      <c r="M400" s="7"/>
      <c r="N400" s="7"/>
      <c r="O400" s="7"/>
      <c r="P400" s="7"/>
      <c r="Q400" s="69" t="e">
        <f t="shared" ref="Q400:Q401" si="107">M400/L400</f>
        <v>#DIV/0!</v>
      </c>
      <c r="R400" s="69" t="e">
        <f t="shared" ref="R400:R401" si="108">N400/M400</f>
        <v>#DIV/0!</v>
      </c>
      <c r="S400" s="7"/>
      <c r="T400" s="7"/>
      <c r="U400" s="7"/>
      <c r="V400" s="7"/>
      <c r="W400" s="7"/>
    </row>
    <row r="401" spans="1:23">
      <c r="A401" s="6">
        <v>46137</v>
      </c>
      <c r="B401" s="7" t="s">
        <v>577</v>
      </c>
      <c r="C401" s="18" t="s">
        <v>598</v>
      </c>
      <c r="D401" s="18" t="s">
        <v>510</v>
      </c>
      <c r="E401" s="18" t="s">
        <v>309</v>
      </c>
      <c r="F401" s="18" t="s">
        <v>509</v>
      </c>
      <c r="G401" s="18" t="s">
        <v>85</v>
      </c>
      <c r="H401" s="18" t="s">
        <v>106</v>
      </c>
      <c r="I401" s="47"/>
      <c r="J401" s="18" t="s">
        <v>309</v>
      </c>
      <c r="K401" s="18" t="s">
        <v>106</v>
      </c>
      <c r="L401" s="7">
        <v>788</v>
      </c>
      <c r="M401" s="7">
        <v>28</v>
      </c>
      <c r="N401" s="7">
        <v>12</v>
      </c>
      <c r="O401" s="7">
        <v>2</v>
      </c>
      <c r="P401" s="7">
        <v>1</v>
      </c>
      <c r="Q401" s="69">
        <f t="shared" si="107"/>
        <v>3.553299492385787E-2</v>
      </c>
      <c r="R401" s="69">
        <f t="shared" si="108"/>
        <v>0.42857142857142855</v>
      </c>
      <c r="S401" s="7"/>
      <c r="T401" s="86"/>
      <c r="U401" s="86"/>
      <c r="V401" s="86"/>
      <c r="W401" s="7"/>
    </row>
    <row r="402" spans="1:23">
      <c r="A402" s="6">
        <v>46137</v>
      </c>
      <c r="B402" s="7" t="s">
        <v>577</v>
      </c>
      <c r="C402" s="18" t="s">
        <v>605</v>
      </c>
      <c r="D402" s="18" t="s">
        <v>604</v>
      </c>
      <c r="E402" s="18" t="s">
        <v>309</v>
      </c>
      <c r="F402" s="18" t="s">
        <v>603</v>
      </c>
      <c r="G402" s="18" t="s">
        <v>85</v>
      </c>
      <c r="H402" s="18" t="s">
        <v>106</v>
      </c>
      <c r="I402" s="29"/>
      <c r="J402" s="18"/>
      <c r="K402" s="18"/>
      <c r="L402" s="7"/>
      <c r="M402" s="7"/>
      <c r="N402" s="7"/>
      <c r="O402" s="7"/>
      <c r="P402" s="7"/>
      <c r="Q402" s="69"/>
      <c r="R402" s="69"/>
      <c r="S402" s="7"/>
      <c r="T402" s="7"/>
      <c r="U402" s="7"/>
      <c r="V402" s="7"/>
      <c r="W402" s="7"/>
    </row>
    <row r="403" spans="1:23">
      <c r="A403" s="6">
        <v>46137</v>
      </c>
      <c r="B403" s="7" t="s">
        <v>577</v>
      </c>
      <c r="C403" s="62">
        <v>0.79166666666666663</v>
      </c>
      <c r="D403" s="77" t="s">
        <v>639</v>
      </c>
      <c r="E403" s="77" t="s">
        <v>309</v>
      </c>
      <c r="F403" s="77" t="s">
        <v>444</v>
      </c>
      <c r="G403" s="77" t="s">
        <v>85</v>
      </c>
      <c r="H403" s="77" t="s">
        <v>380</v>
      </c>
      <c r="I403" s="84"/>
      <c r="J403" s="77" t="s">
        <v>309</v>
      </c>
      <c r="K403" s="77" t="s">
        <v>380</v>
      </c>
      <c r="L403" s="7">
        <v>3725</v>
      </c>
      <c r="M403" s="7">
        <v>29</v>
      </c>
      <c r="N403" s="7">
        <v>9</v>
      </c>
      <c r="O403" s="7">
        <v>1</v>
      </c>
      <c r="P403" s="7">
        <v>1</v>
      </c>
      <c r="Q403" s="69">
        <f t="shared" ref="Q403:Q408" si="109">M403/L403</f>
        <v>7.785234899328859E-3</v>
      </c>
      <c r="R403" s="69">
        <f t="shared" ref="R403:R408" si="110">N403/M403</f>
        <v>0.31034482758620691</v>
      </c>
      <c r="S403" s="7"/>
      <c r="T403" s="7"/>
      <c r="U403" s="7"/>
      <c r="V403" s="7"/>
      <c r="W403" s="7"/>
    </row>
    <row r="404" spans="1:23">
      <c r="A404" s="6">
        <v>46137</v>
      </c>
      <c r="B404" s="7" t="s">
        <v>577</v>
      </c>
      <c r="C404" s="62">
        <v>0.80208333333333337</v>
      </c>
      <c r="D404" s="77" t="s">
        <v>640</v>
      </c>
      <c r="E404" s="77" t="s">
        <v>309</v>
      </c>
      <c r="F404" s="77" t="s">
        <v>446</v>
      </c>
      <c r="G404" s="77" t="s">
        <v>85</v>
      </c>
      <c r="H404" s="77" t="s">
        <v>383</v>
      </c>
      <c r="I404" s="84"/>
      <c r="J404" s="77" t="s">
        <v>309</v>
      </c>
      <c r="K404" s="77" t="s">
        <v>383</v>
      </c>
      <c r="L404" s="7">
        <v>1649</v>
      </c>
      <c r="M404" s="7">
        <v>12</v>
      </c>
      <c r="N404" s="7">
        <v>1</v>
      </c>
      <c r="O404" s="7">
        <v>0</v>
      </c>
      <c r="P404" s="7">
        <v>1</v>
      </c>
      <c r="Q404" s="69">
        <f t="shared" si="109"/>
        <v>7.2771376591873865E-3</v>
      </c>
      <c r="R404" s="69">
        <f t="shared" si="110"/>
        <v>8.3333333333333329E-2</v>
      </c>
      <c r="S404" s="7"/>
      <c r="T404" s="7"/>
      <c r="U404" s="7"/>
      <c r="V404" s="7"/>
      <c r="W404" s="7"/>
    </row>
    <row r="405" spans="1:23">
      <c r="A405" s="6">
        <v>46137</v>
      </c>
      <c r="B405" s="7" t="s">
        <v>577</v>
      </c>
      <c r="C405" s="62">
        <v>0.77083333333333337</v>
      </c>
      <c r="D405" s="77" t="s">
        <v>641</v>
      </c>
      <c r="E405" s="77" t="s">
        <v>309</v>
      </c>
      <c r="F405" s="77" t="s">
        <v>448</v>
      </c>
      <c r="G405" s="77" t="s">
        <v>85</v>
      </c>
      <c r="H405" s="7" t="s">
        <v>350</v>
      </c>
      <c r="I405" s="84"/>
      <c r="J405" s="77" t="s">
        <v>309</v>
      </c>
      <c r="K405" s="7" t="s">
        <v>350</v>
      </c>
      <c r="L405" s="7">
        <v>5589</v>
      </c>
      <c r="M405" s="7">
        <v>34</v>
      </c>
      <c r="N405" s="7">
        <v>11</v>
      </c>
      <c r="O405" s="7">
        <v>0</v>
      </c>
      <c r="P405" s="7">
        <v>1</v>
      </c>
      <c r="Q405" s="69">
        <f t="shared" si="109"/>
        <v>6.0833780640543924E-3</v>
      </c>
      <c r="R405" s="69">
        <f t="shared" si="110"/>
        <v>0.3235294117647059</v>
      </c>
      <c r="S405" s="7"/>
      <c r="T405" s="7"/>
      <c r="U405" s="7"/>
      <c r="V405" s="7"/>
      <c r="W405" s="7"/>
    </row>
    <row r="406" spans="1:23">
      <c r="A406" s="6">
        <v>46137</v>
      </c>
      <c r="B406" s="7" t="s">
        <v>577</v>
      </c>
      <c r="C406" s="62">
        <v>0.8125</v>
      </c>
      <c r="D406" s="77" t="s">
        <v>642</v>
      </c>
      <c r="E406" s="77" t="s">
        <v>309</v>
      </c>
      <c r="F406" s="77" t="s">
        <v>450</v>
      </c>
      <c r="G406" s="77" t="s">
        <v>85</v>
      </c>
      <c r="H406" s="7" t="s">
        <v>351</v>
      </c>
      <c r="I406" s="84"/>
      <c r="J406" s="77" t="s">
        <v>309</v>
      </c>
      <c r="K406" s="7" t="s">
        <v>351</v>
      </c>
      <c r="L406" s="7">
        <v>3290</v>
      </c>
      <c r="M406" s="7">
        <v>25</v>
      </c>
      <c r="N406" s="7">
        <v>9</v>
      </c>
      <c r="O406" s="7">
        <v>1</v>
      </c>
      <c r="P406" s="7">
        <v>0</v>
      </c>
      <c r="Q406" s="69">
        <f t="shared" si="109"/>
        <v>7.5987841945288756E-3</v>
      </c>
      <c r="R406" s="69">
        <f t="shared" si="110"/>
        <v>0.36</v>
      </c>
      <c r="S406" s="7"/>
      <c r="T406" s="7"/>
      <c r="U406" s="7"/>
      <c r="V406" s="7"/>
      <c r="W406" s="7"/>
    </row>
    <row r="407" spans="1:23">
      <c r="A407" s="6">
        <v>46137</v>
      </c>
      <c r="B407" s="7" t="s">
        <v>577</v>
      </c>
      <c r="C407" s="62">
        <v>0.85416666666666663</v>
      </c>
      <c r="D407" s="7" t="s">
        <v>643</v>
      </c>
      <c r="E407" s="7" t="s">
        <v>309</v>
      </c>
      <c r="F407" s="7" t="s">
        <v>414</v>
      </c>
      <c r="G407" s="7"/>
      <c r="H407" s="7" t="s">
        <v>210</v>
      </c>
      <c r="I407" s="29"/>
      <c r="J407" s="7" t="s">
        <v>309</v>
      </c>
      <c r="K407" s="7" t="s">
        <v>210</v>
      </c>
      <c r="L407" s="7">
        <v>732</v>
      </c>
      <c r="M407" s="7">
        <v>38</v>
      </c>
      <c r="N407" s="7">
        <v>20</v>
      </c>
      <c r="O407" s="7">
        <v>0</v>
      </c>
      <c r="P407" s="7">
        <v>0</v>
      </c>
      <c r="Q407" s="69">
        <f t="shared" si="109"/>
        <v>5.1912568306010931E-2</v>
      </c>
      <c r="R407" s="69">
        <f t="shared" si="110"/>
        <v>0.52631578947368418</v>
      </c>
      <c r="S407" s="7"/>
      <c r="T407" s="7"/>
      <c r="U407" s="7"/>
      <c r="V407" s="7"/>
      <c r="W407" s="7"/>
    </row>
    <row r="408" spans="1:23" ht="16.8">
      <c r="A408" s="6">
        <v>46137</v>
      </c>
      <c r="B408" s="7" t="s">
        <v>577</v>
      </c>
      <c r="C408" s="91">
        <v>0.96875</v>
      </c>
      <c r="D408" s="77" t="s">
        <v>664</v>
      </c>
      <c r="E408" s="7" t="s">
        <v>309</v>
      </c>
      <c r="F408" s="77" t="s">
        <v>448</v>
      </c>
      <c r="G408" s="7" t="s">
        <v>85</v>
      </c>
      <c r="H408" s="52" t="s">
        <v>157</v>
      </c>
      <c r="I408" s="98"/>
      <c r="J408" s="7" t="s">
        <v>309</v>
      </c>
      <c r="K408" s="52" t="s">
        <v>157</v>
      </c>
      <c r="L408" s="86">
        <v>617</v>
      </c>
      <c r="M408" s="86">
        <v>23</v>
      </c>
      <c r="N408" s="86">
        <v>13</v>
      </c>
      <c r="O408" s="86">
        <v>0</v>
      </c>
      <c r="P408" s="86">
        <v>0</v>
      </c>
      <c r="Q408" s="69">
        <f t="shared" si="109"/>
        <v>3.7277147487844407E-2</v>
      </c>
      <c r="R408" s="69">
        <f t="shared" si="110"/>
        <v>0.56521739130434778</v>
      </c>
      <c r="S408" s="86"/>
      <c r="T408" s="86"/>
      <c r="U408" s="86"/>
      <c r="V408" s="86"/>
      <c r="W408" s="87"/>
    </row>
    <row r="409" spans="1:23" ht="6.6" customHeight="1">
      <c r="A409" s="22"/>
      <c r="B409" s="23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5"/>
      <c r="R409" s="25"/>
      <c r="S409" s="24"/>
      <c r="T409" s="24"/>
      <c r="U409" s="24"/>
      <c r="V409" s="25"/>
      <c r="W409" s="26"/>
    </row>
    <row r="410" spans="1:23">
      <c r="A410" s="6">
        <v>46138</v>
      </c>
      <c r="B410" s="7" t="s">
        <v>578</v>
      </c>
      <c r="C410" s="18" t="s">
        <v>589</v>
      </c>
      <c r="D410" s="18" t="s">
        <v>185</v>
      </c>
      <c r="E410" s="18" t="s">
        <v>252</v>
      </c>
      <c r="F410" s="18" t="s">
        <v>110</v>
      </c>
      <c r="G410" s="18"/>
      <c r="H410" s="18" t="s">
        <v>106</v>
      </c>
      <c r="I410" s="30"/>
      <c r="J410" s="18" t="s">
        <v>34</v>
      </c>
      <c r="K410" s="18" t="s">
        <v>106</v>
      </c>
      <c r="L410" s="7">
        <v>756</v>
      </c>
      <c r="M410" s="7">
        <v>14</v>
      </c>
      <c r="N410" s="7">
        <v>5</v>
      </c>
      <c r="O410" s="7">
        <v>0</v>
      </c>
      <c r="P410" s="7">
        <v>4</v>
      </c>
      <c r="Q410" s="69">
        <f t="shared" ref="Q410" si="111">M410/L410</f>
        <v>1.8518518518518517E-2</v>
      </c>
      <c r="R410" s="69">
        <f t="shared" ref="R410" si="112">N410/M410</f>
        <v>0.35714285714285715</v>
      </c>
      <c r="S410" s="7"/>
      <c r="T410" s="7"/>
      <c r="U410" s="7"/>
      <c r="V410" s="7"/>
      <c r="W410" s="7"/>
    </row>
    <row r="411" spans="1:23">
      <c r="A411" s="6">
        <v>46138</v>
      </c>
      <c r="B411" s="7" t="s">
        <v>578</v>
      </c>
      <c r="C411" s="18" t="s">
        <v>590</v>
      </c>
      <c r="D411" s="18" t="s">
        <v>580</v>
      </c>
      <c r="E411" s="18" t="s">
        <v>252</v>
      </c>
      <c r="F411" s="18" t="s">
        <v>579</v>
      </c>
      <c r="G411" s="18"/>
      <c r="H411" s="18" t="s">
        <v>106</v>
      </c>
      <c r="I411" s="29"/>
      <c r="J411" s="18"/>
      <c r="K411" s="18"/>
      <c r="L411" s="7"/>
      <c r="M411" s="7"/>
      <c r="N411" s="7"/>
      <c r="O411" s="7"/>
      <c r="P411" s="7"/>
      <c r="Q411" s="69" t="e">
        <f t="shared" ref="Q411:Q416" si="113">M411/L411</f>
        <v>#DIV/0!</v>
      </c>
      <c r="R411" s="69" t="e">
        <f t="shared" ref="R411:R416" si="114">N411/M411</f>
        <v>#DIV/0!</v>
      </c>
      <c r="S411" s="7"/>
      <c r="T411" s="7"/>
      <c r="U411" s="7"/>
      <c r="V411" s="7"/>
      <c r="W411" s="7"/>
    </row>
    <row r="412" spans="1:23">
      <c r="A412" s="6">
        <v>46138</v>
      </c>
      <c r="B412" s="7" t="s">
        <v>578</v>
      </c>
      <c r="C412" s="18"/>
      <c r="D412" s="18" t="s">
        <v>144</v>
      </c>
      <c r="E412" s="18" t="s">
        <v>252</v>
      </c>
      <c r="F412" s="18" t="s">
        <v>145</v>
      </c>
      <c r="G412" s="18"/>
      <c r="H412" s="18" t="s">
        <v>157</v>
      </c>
      <c r="I412" s="30"/>
      <c r="J412" s="18" t="s">
        <v>34</v>
      </c>
      <c r="K412" s="18" t="s">
        <v>157</v>
      </c>
      <c r="L412" s="7">
        <v>67</v>
      </c>
      <c r="M412" s="7">
        <v>34</v>
      </c>
      <c r="N412" s="7">
        <v>8</v>
      </c>
      <c r="O412" s="7">
        <v>4</v>
      </c>
      <c r="P412" s="7">
        <v>0</v>
      </c>
      <c r="Q412" s="69">
        <f t="shared" si="113"/>
        <v>0.5074626865671642</v>
      </c>
      <c r="R412" s="69">
        <f t="shared" si="114"/>
        <v>0.23529411764705882</v>
      </c>
      <c r="S412" s="7"/>
      <c r="T412" s="35"/>
      <c r="U412" s="35"/>
      <c r="V412" s="35"/>
      <c r="W412" s="7"/>
    </row>
    <row r="413" spans="1:23">
      <c r="A413" s="6">
        <v>46138</v>
      </c>
      <c r="B413" s="7" t="s">
        <v>578</v>
      </c>
      <c r="C413" s="18"/>
      <c r="D413" s="18" t="s">
        <v>146</v>
      </c>
      <c r="E413" s="18" t="s">
        <v>252</v>
      </c>
      <c r="F413" s="18" t="s">
        <v>147</v>
      </c>
      <c r="G413" s="18"/>
      <c r="H413" s="18" t="s">
        <v>149</v>
      </c>
      <c r="I413" s="30"/>
      <c r="J413" s="18" t="s">
        <v>34</v>
      </c>
      <c r="K413" s="18" t="s">
        <v>149</v>
      </c>
      <c r="L413" s="7">
        <v>49</v>
      </c>
      <c r="M413" s="7">
        <v>26</v>
      </c>
      <c r="N413" s="7">
        <v>8</v>
      </c>
      <c r="O413" s="7">
        <v>1</v>
      </c>
      <c r="P413" s="7">
        <v>0</v>
      </c>
      <c r="Q413" s="69">
        <f t="shared" si="113"/>
        <v>0.53061224489795922</v>
      </c>
      <c r="R413" s="69">
        <f t="shared" si="114"/>
        <v>0.30769230769230771</v>
      </c>
      <c r="S413" s="7"/>
      <c r="T413" s="7"/>
      <c r="U413" s="7"/>
      <c r="V413" s="7"/>
      <c r="W413" s="7"/>
    </row>
    <row r="414" spans="1:23">
      <c r="A414" s="6">
        <v>46138</v>
      </c>
      <c r="B414" s="7" t="s">
        <v>578</v>
      </c>
      <c r="C414" s="18" t="s">
        <v>589</v>
      </c>
      <c r="D414" s="18" t="s">
        <v>187</v>
      </c>
      <c r="E414" s="18" t="s">
        <v>252</v>
      </c>
      <c r="F414" s="18" t="s">
        <v>188</v>
      </c>
      <c r="G414" s="18"/>
      <c r="H414" s="18" t="s">
        <v>186</v>
      </c>
      <c r="I414" s="30"/>
      <c r="J414" s="18" t="s">
        <v>34</v>
      </c>
      <c r="K414" s="18" t="s">
        <v>186</v>
      </c>
      <c r="L414" s="7">
        <v>1879</v>
      </c>
      <c r="M414" s="7">
        <v>15</v>
      </c>
      <c r="N414" s="7">
        <v>0</v>
      </c>
      <c r="O414" s="7">
        <v>0</v>
      </c>
      <c r="P414" s="7">
        <v>0</v>
      </c>
      <c r="Q414" s="69">
        <f t="shared" si="113"/>
        <v>7.9829696647152736E-3</v>
      </c>
      <c r="R414" s="69">
        <f t="shared" si="114"/>
        <v>0</v>
      </c>
      <c r="S414" s="7"/>
      <c r="T414" s="7"/>
      <c r="U414" s="7"/>
      <c r="V414" s="7"/>
      <c r="W414" s="7"/>
    </row>
    <row r="415" spans="1:23">
      <c r="A415" s="6">
        <v>46138</v>
      </c>
      <c r="B415" s="7" t="s">
        <v>578</v>
      </c>
      <c r="C415" s="18" t="s">
        <v>590</v>
      </c>
      <c r="D415" s="18" t="s">
        <v>580</v>
      </c>
      <c r="E415" s="18" t="s">
        <v>252</v>
      </c>
      <c r="F415" s="18" t="s">
        <v>579</v>
      </c>
      <c r="G415" s="18"/>
      <c r="H415" s="18" t="s">
        <v>186</v>
      </c>
      <c r="I415" s="29"/>
      <c r="J415" s="18"/>
      <c r="K415" s="18"/>
      <c r="L415" s="7"/>
      <c r="M415" s="7"/>
      <c r="N415" s="7"/>
      <c r="O415" s="7"/>
      <c r="P415" s="7"/>
      <c r="Q415" s="69" t="e">
        <f t="shared" si="113"/>
        <v>#DIV/0!</v>
      </c>
      <c r="R415" s="69" t="e">
        <f t="shared" si="114"/>
        <v>#DIV/0!</v>
      </c>
      <c r="S415" s="7"/>
      <c r="T415" s="7"/>
      <c r="U415" s="7"/>
      <c r="V415" s="7"/>
      <c r="W415" s="7"/>
    </row>
    <row r="416" spans="1:23">
      <c r="A416" s="6">
        <v>46138</v>
      </c>
      <c r="B416" s="7" t="s">
        <v>578</v>
      </c>
      <c r="C416" s="7"/>
      <c r="D416" s="7" t="s">
        <v>673</v>
      </c>
      <c r="E416" s="7" t="s">
        <v>252</v>
      </c>
      <c r="F416" s="7"/>
      <c r="G416" s="7"/>
      <c r="H416" s="7" t="s">
        <v>170</v>
      </c>
      <c r="I416" s="14" t="s">
        <v>67</v>
      </c>
      <c r="J416" s="7" t="s">
        <v>34</v>
      </c>
      <c r="K416" s="7" t="s">
        <v>170</v>
      </c>
      <c r="L416" s="7">
        <v>2996</v>
      </c>
      <c r="M416" s="7">
        <v>2709</v>
      </c>
      <c r="N416" s="7">
        <v>1567</v>
      </c>
      <c r="O416" s="7">
        <v>0</v>
      </c>
      <c r="P416" s="7">
        <v>4</v>
      </c>
      <c r="Q416" s="69">
        <f t="shared" si="113"/>
        <v>0.90420560747663548</v>
      </c>
      <c r="R416" s="69">
        <f t="shared" si="114"/>
        <v>0.57844222960502034</v>
      </c>
      <c r="S416" s="7"/>
      <c r="T416" s="7"/>
      <c r="U416" s="7"/>
      <c r="V416" s="7"/>
      <c r="W416" s="7"/>
    </row>
    <row r="417" spans="1:23">
      <c r="A417" s="6">
        <v>46138</v>
      </c>
      <c r="B417" s="7" t="s">
        <v>578</v>
      </c>
      <c r="C417" s="7"/>
      <c r="D417" s="100" t="s">
        <v>674</v>
      </c>
      <c r="E417" s="7" t="s">
        <v>252</v>
      </c>
      <c r="F417" s="7"/>
      <c r="G417" s="7"/>
      <c r="H417" s="7" t="s">
        <v>170</v>
      </c>
      <c r="I417" s="84"/>
      <c r="J417" s="7" t="s">
        <v>34</v>
      </c>
      <c r="K417" s="7" t="s">
        <v>170</v>
      </c>
      <c r="L417" s="7">
        <v>2996</v>
      </c>
      <c r="M417" s="7">
        <v>2776</v>
      </c>
      <c r="N417" s="7">
        <v>1985</v>
      </c>
      <c r="O417" s="7">
        <v>0</v>
      </c>
      <c r="P417" s="7">
        <v>4</v>
      </c>
      <c r="Q417" s="69">
        <f t="shared" ref="Q417:Q423" si="115">M417/L417</f>
        <v>0.92656875834445929</v>
      </c>
      <c r="R417" s="69">
        <f t="shared" ref="R417:R423" si="116">N417/M417</f>
        <v>0.71505763688760804</v>
      </c>
      <c r="S417" s="7"/>
      <c r="T417" s="7"/>
      <c r="U417" s="7"/>
      <c r="V417" s="7"/>
      <c r="W417" s="7"/>
    </row>
    <row r="418" spans="1:23">
      <c r="A418" s="6">
        <v>46138</v>
      </c>
      <c r="B418" s="7" t="s">
        <v>578</v>
      </c>
      <c r="C418" s="7"/>
      <c r="D418" s="100" t="s">
        <v>666</v>
      </c>
      <c r="E418" s="7" t="s">
        <v>252</v>
      </c>
      <c r="F418" s="7"/>
      <c r="G418" s="7"/>
      <c r="H418" s="7" t="s">
        <v>170</v>
      </c>
      <c r="I418" s="84"/>
      <c r="J418" s="7" t="s">
        <v>34</v>
      </c>
      <c r="K418" s="7" t="s">
        <v>170</v>
      </c>
      <c r="L418" s="7">
        <v>358</v>
      </c>
      <c r="M418" s="7">
        <v>339</v>
      </c>
      <c r="N418" s="7">
        <v>255</v>
      </c>
      <c r="O418" s="7">
        <v>0</v>
      </c>
      <c r="P418" s="7">
        <v>0</v>
      </c>
      <c r="Q418" s="69">
        <f t="shared" si="115"/>
        <v>0.94692737430167595</v>
      </c>
      <c r="R418" s="69">
        <f t="shared" si="116"/>
        <v>0.75221238938053092</v>
      </c>
      <c r="S418" s="7"/>
      <c r="T418" s="7"/>
      <c r="U418" s="7"/>
      <c r="V418" s="7"/>
      <c r="W418" s="7"/>
    </row>
    <row r="419" spans="1:23">
      <c r="A419" s="6">
        <v>46138</v>
      </c>
      <c r="B419" s="7" t="s">
        <v>578</v>
      </c>
      <c r="C419" s="62">
        <v>0.9375</v>
      </c>
      <c r="D419" s="31" t="s">
        <v>619</v>
      </c>
      <c r="E419" s="7" t="s">
        <v>252</v>
      </c>
      <c r="F419" s="7" t="s">
        <v>150</v>
      </c>
      <c r="G419" s="7"/>
      <c r="H419" s="7" t="s">
        <v>149</v>
      </c>
      <c r="I419" s="47"/>
      <c r="J419" s="7" t="s">
        <v>34</v>
      </c>
      <c r="K419" s="7" t="s">
        <v>149</v>
      </c>
      <c r="L419" s="7">
        <v>358</v>
      </c>
      <c r="M419" s="7">
        <v>86</v>
      </c>
      <c r="N419" s="7">
        <v>14</v>
      </c>
      <c r="O419" s="7">
        <v>2</v>
      </c>
      <c r="P419" s="7">
        <v>0</v>
      </c>
      <c r="Q419" s="69">
        <f t="shared" si="115"/>
        <v>0.24022346368715083</v>
      </c>
      <c r="R419" s="69">
        <f t="shared" si="116"/>
        <v>0.16279069767441862</v>
      </c>
      <c r="S419" s="7"/>
      <c r="T419" s="7"/>
      <c r="U419" s="7"/>
      <c r="V419" s="7"/>
      <c r="W419" s="7"/>
    </row>
    <row r="420" spans="1:23" ht="16.8">
      <c r="A420" s="6">
        <v>46138</v>
      </c>
      <c r="B420" s="7" t="s">
        <v>578</v>
      </c>
      <c r="C420" s="62">
        <v>0.95833333333333337</v>
      </c>
      <c r="D420" s="31" t="s">
        <v>620</v>
      </c>
      <c r="E420" s="7" t="s">
        <v>252</v>
      </c>
      <c r="F420" s="7" t="s">
        <v>248</v>
      </c>
      <c r="G420" s="7"/>
      <c r="H420" s="52" t="s">
        <v>157</v>
      </c>
      <c r="I420" s="47"/>
      <c r="J420" s="7" t="s">
        <v>34</v>
      </c>
      <c r="K420" s="52" t="s">
        <v>157</v>
      </c>
      <c r="L420" s="7">
        <v>674</v>
      </c>
      <c r="M420" s="7">
        <v>129</v>
      </c>
      <c r="N420" s="7">
        <v>31</v>
      </c>
      <c r="O420" s="7">
        <v>4</v>
      </c>
      <c r="P420" s="7">
        <v>0</v>
      </c>
      <c r="Q420" s="69">
        <f t="shared" si="115"/>
        <v>0.1913946587537092</v>
      </c>
      <c r="R420" s="69">
        <f t="shared" si="116"/>
        <v>0.24031007751937986</v>
      </c>
      <c r="S420" s="7"/>
      <c r="T420" s="7"/>
      <c r="U420" s="7"/>
      <c r="V420" s="7"/>
      <c r="W420" s="7"/>
    </row>
    <row r="421" spans="1:23" ht="16.8">
      <c r="A421" s="6">
        <v>46138</v>
      </c>
      <c r="B421" s="7" t="s">
        <v>578</v>
      </c>
      <c r="C421" s="62">
        <v>0.82291666666666663</v>
      </c>
      <c r="D421" s="31" t="s">
        <v>621</v>
      </c>
      <c r="E421" s="31" t="s">
        <v>252</v>
      </c>
      <c r="F421" s="31" t="s">
        <v>334</v>
      </c>
      <c r="G421" s="7"/>
      <c r="H421" s="52" t="s">
        <v>420</v>
      </c>
      <c r="I421" s="47"/>
      <c r="J421" s="7" t="s">
        <v>34</v>
      </c>
      <c r="K421" s="52" t="s">
        <v>420</v>
      </c>
      <c r="L421" s="7">
        <v>353</v>
      </c>
      <c r="M421" s="7">
        <v>68</v>
      </c>
      <c r="N421" s="7">
        <v>14</v>
      </c>
      <c r="O421" s="7">
        <v>3</v>
      </c>
      <c r="P421" s="7">
        <v>0</v>
      </c>
      <c r="Q421" s="69">
        <f t="shared" si="115"/>
        <v>0.19263456090651557</v>
      </c>
      <c r="R421" s="69">
        <f t="shared" si="116"/>
        <v>0.20588235294117646</v>
      </c>
      <c r="S421" s="7"/>
      <c r="T421" s="7"/>
      <c r="U421" s="7"/>
      <c r="V421" s="7"/>
      <c r="W421" s="7"/>
    </row>
    <row r="422" spans="1:23">
      <c r="A422" s="6">
        <v>46138</v>
      </c>
      <c r="B422" s="7" t="s">
        <v>578</v>
      </c>
      <c r="C422" s="62">
        <v>0.79166666666666663</v>
      </c>
      <c r="D422" s="31" t="s">
        <v>622</v>
      </c>
      <c r="E422" s="7" t="s">
        <v>252</v>
      </c>
      <c r="F422" s="35" t="s">
        <v>150</v>
      </c>
      <c r="G422" s="7"/>
      <c r="H422" s="7" t="s">
        <v>121</v>
      </c>
      <c r="I422" s="47"/>
      <c r="J422" s="7" t="s">
        <v>34</v>
      </c>
      <c r="K422" s="7" t="s">
        <v>121</v>
      </c>
      <c r="L422" s="7">
        <v>335</v>
      </c>
      <c r="M422" s="7">
        <v>23</v>
      </c>
      <c r="N422" s="7">
        <v>14</v>
      </c>
      <c r="O422" s="7">
        <v>1</v>
      </c>
      <c r="P422" s="7">
        <v>0</v>
      </c>
      <c r="Q422" s="69">
        <f t="shared" si="115"/>
        <v>6.8656716417910449E-2</v>
      </c>
      <c r="R422" s="69">
        <f t="shared" si="116"/>
        <v>0.60869565217391308</v>
      </c>
      <c r="S422" s="7"/>
      <c r="T422" s="7"/>
      <c r="U422" s="7"/>
      <c r="V422" s="7"/>
      <c r="W422" s="7"/>
    </row>
    <row r="423" spans="1:23" ht="16.8">
      <c r="A423" s="6">
        <v>46138</v>
      </c>
      <c r="B423" s="7" t="s">
        <v>578</v>
      </c>
      <c r="C423" s="64">
        <v>0.85416666666666663</v>
      </c>
      <c r="D423" s="31" t="s">
        <v>623</v>
      </c>
      <c r="E423" s="7" t="s">
        <v>252</v>
      </c>
      <c r="F423" s="7" t="s">
        <v>248</v>
      </c>
      <c r="G423" s="35"/>
      <c r="H423" s="53" t="s">
        <v>210</v>
      </c>
      <c r="I423" s="47"/>
      <c r="J423" s="35" t="s">
        <v>34</v>
      </c>
      <c r="K423" s="53" t="s">
        <v>210</v>
      </c>
      <c r="L423" s="35">
        <v>797</v>
      </c>
      <c r="M423" s="35">
        <v>37</v>
      </c>
      <c r="N423" s="35">
        <v>24</v>
      </c>
      <c r="O423" s="35">
        <v>0</v>
      </c>
      <c r="P423" s="35">
        <v>0</v>
      </c>
      <c r="Q423" s="94">
        <f t="shared" si="115"/>
        <v>4.6424090338770388E-2</v>
      </c>
      <c r="R423" s="94">
        <f t="shared" si="116"/>
        <v>0.64864864864864868</v>
      </c>
      <c r="S423" s="35"/>
      <c r="T423" s="35"/>
      <c r="U423" s="35"/>
      <c r="V423" s="35"/>
      <c r="W423" s="35"/>
    </row>
    <row r="424" spans="1:23" ht="16.8">
      <c r="A424" s="85"/>
      <c r="B424" s="86"/>
      <c r="C424" s="91"/>
      <c r="D424" s="92"/>
      <c r="E424" s="86"/>
      <c r="F424" s="86"/>
      <c r="G424" s="86"/>
      <c r="H424" s="86"/>
      <c r="I424" s="86"/>
      <c r="J424" s="86"/>
      <c r="K424" s="93"/>
      <c r="L424" s="86"/>
      <c r="M424" s="86"/>
      <c r="N424" s="86"/>
      <c r="O424" s="86"/>
      <c r="P424" s="86"/>
      <c r="Q424" s="89"/>
      <c r="R424" s="89"/>
      <c r="S424" s="86"/>
      <c r="T424" s="86"/>
      <c r="U424" s="86"/>
      <c r="V424" s="86"/>
      <c r="W424" s="87"/>
    </row>
    <row r="425" spans="1:23">
      <c r="A425" s="6">
        <v>46138</v>
      </c>
      <c r="B425" s="7" t="s">
        <v>578</v>
      </c>
      <c r="C425" s="18" t="s">
        <v>591</v>
      </c>
      <c r="D425" s="18" t="s">
        <v>108</v>
      </c>
      <c r="E425" s="18" t="s">
        <v>35</v>
      </c>
      <c r="F425" s="18" t="s">
        <v>115</v>
      </c>
      <c r="G425" s="18"/>
      <c r="H425" s="18" t="s">
        <v>106</v>
      </c>
      <c r="I425" s="14"/>
      <c r="J425" s="18" t="s">
        <v>35</v>
      </c>
      <c r="K425" s="18" t="s">
        <v>106</v>
      </c>
      <c r="L425" s="7">
        <v>756</v>
      </c>
      <c r="M425" s="7">
        <v>9</v>
      </c>
      <c r="N425" s="7">
        <v>2</v>
      </c>
      <c r="O425" s="7">
        <v>0</v>
      </c>
      <c r="P425" s="7">
        <v>0</v>
      </c>
      <c r="Q425" s="69">
        <f t="shared" ref="Q425" si="117">M425/L425</f>
        <v>1.1904761904761904E-2</v>
      </c>
      <c r="R425" s="69">
        <f t="shared" ref="R425" si="118">N425/M425</f>
        <v>0.22222222222222221</v>
      </c>
      <c r="S425" s="7"/>
      <c r="T425" s="7"/>
      <c r="U425" s="7"/>
      <c r="V425" s="7"/>
      <c r="W425" s="7"/>
    </row>
    <row r="426" spans="1:23">
      <c r="A426" s="6">
        <v>46138</v>
      </c>
      <c r="B426" s="7" t="s">
        <v>578</v>
      </c>
      <c r="C426" s="18" t="s">
        <v>592</v>
      </c>
      <c r="D426" s="18" t="s">
        <v>587</v>
      </c>
      <c r="E426" s="18" t="s">
        <v>35</v>
      </c>
      <c r="F426" s="18" t="s">
        <v>588</v>
      </c>
      <c r="G426" s="18"/>
      <c r="H426" s="18" t="s">
        <v>106</v>
      </c>
      <c r="I426" s="29"/>
      <c r="J426" s="18"/>
      <c r="K426" s="18"/>
      <c r="L426" s="7"/>
      <c r="M426" s="7"/>
      <c r="N426" s="7"/>
      <c r="O426" s="7"/>
      <c r="P426" s="7"/>
      <c r="Q426" s="69"/>
      <c r="R426" s="69"/>
      <c r="S426" s="7"/>
      <c r="T426" s="7"/>
      <c r="U426" s="7"/>
      <c r="V426" s="7"/>
      <c r="W426" s="7"/>
    </row>
    <row r="427" spans="1:23">
      <c r="A427" s="6">
        <v>46138</v>
      </c>
      <c r="B427" s="7" t="s">
        <v>578</v>
      </c>
      <c r="C427" s="18"/>
      <c r="D427" s="18" t="s">
        <v>155</v>
      </c>
      <c r="E427" s="18" t="s">
        <v>35</v>
      </c>
      <c r="F427" s="18" t="s">
        <v>156</v>
      </c>
      <c r="G427" s="18"/>
      <c r="H427" s="18" t="s">
        <v>157</v>
      </c>
      <c r="I427" s="30"/>
      <c r="J427" s="18" t="s">
        <v>35</v>
      </c>
      <c r="K427" s="18" t="s">
        <v>157</v>
      </c>
      <c r="L427" s="7">
        <v>64</v>
      </c>
      <c r="M427" s="7">
        <v>9</v>
      </c>
      <c r="N427" s="7">
        <v>6</v>
      </c>
      <c r="O427" s="7">
        <v>1</v>
      </c>
      <c r="P427" s="7">
        <v>0</v>
      </c>
      <c r="Q427" s="69">
        <f t="shared" ref="Q427:Q429" si="119">M427/L427</f>
        <v>0.140625</v>
      </c>
      <c r="R427" s="69">
        <f t="shared" ref="R427:R429" si="120">N427/M427</f>
        <v>0.66666666666666663</v>
      </c>
      <c r="S427" s="7"/>
      <c r="T427" s="7"/>
      <c r="U427" s="7"/>
      <c r="V427" s="7"/>
      <c r="W427" s="7"/>
    </row>
    <row r="428" spans="1:23">
      <c r="A428" s="6">
        <v>46138</v>
      </c>
      <c r="B428" s="7" t="s">
        <v>578</v>
      </c>
      <c r="C428" s="18"/>
      <c r="D428" s="18" t="s">
        <v>158</v>
      </c>
      <c r="E428" s="18" t="s">
        <v>35</v>
      </c>
      <c r="F428" s="18" t="s">
        <v>159</v>
      </c>
      <c r="G428" s="18"/>
      <c r="H428" s="18" t="s">
        <v>149</v>
      </c>
      <c r="I428" s="30"/>
      <c r="J428" s="18" t="s">
        <v>35</v>
      </c>
      <c r="K428" s="18" t="s">
        <v>149</v>
      </c>
      <c r="L428" s="7">
        <v>48</v>
      </c>
      <c r="M428" s="7">
        <v>7</v>
      </c>
      <c r="N428" s="7">
        <v>6</v>
      </c>
      <c r="O428" s="7">
        <v>1</v>
      </c>
      <c r="P428" s="7">
        <v>0</v>
      </c>
      <c r="Q428" s="69">
        <f t="shared" si="119"/>
        <v>0.14583333333333334</v>
      </c>
      <c r="R428" s="69">
        <f t="shared" si="120"/>
        <v>0.8571428571428571</v>
      </c>
      <c r="S428" s="7"/>
      <c r="T428" s="7"/>
      <c r="U428" s="7"/>
      <c r="V428" s="7"/>
      <c r="W428" s="7"/>
    </row>
    <row r="429" spans="1:23">
      <c r="A429" s="6">
        <v>46138</v>
      </c>
      <c r="B429" s="7" t="s">
        <v>578</v>
      </c>
      <c r="C429" s="18" t="s">
        <v>591</v>
      </c>
      <c r="D429" s="18" t="s">
        <v>189</v>
      </c>
      <c r="E429" s="18" t="s">
        <v>35</v>
      </c>
      <c r="F429" s="18"/>
      <c r="G429" s="18"/>
      <c r="H429" s="18" t="s">
        <v>186</v>
      </c>
      <c r="I429" s="30"/>
      <c r="J429" s="18" t="s">
        <v>35</v>
      </c>
      <c r="K429" s="18" t="s">
        <v>186</v>
      </c>
      <c r="L429" s="7">
        <v>1885</v>
      </c>
      <c r="M429" s="7">
        <v>12</v>
      </c>
      <c r="N429" s="7">
        <v>3</v>
      </c>
      <c r="O429" s="7">
        <v>0</v>
      </c>
      <c r="P429" s="7">
        <v>0</v>
      </c>
      <c r="Q429" s="69">
        <f t="shared" si="119"/>
        <v>6.36604774535809E-3</v>
      </c>
      <c r="R429" s="69">
        <f t="shared" si="120"/>
        <v>0.25</v>
      </c>
      <c r="S429" s="7"/>
      <c r="T429" s="7"/>
      <c r="U429" s="7"/>
      <c r="V429" s="7"/>
      <c r="W429" s="7"/>
    </row>
    <row r="430" spans="1:23">
      <c r="A430" s="6">
        <v>46138</v>
      </c>
      <c r="B430" s="7" t="s">
        <v>578</v>
      </c>
      <c r="C430" s="18" t="s">
        <v>592</v>
      </c>
      <c r="D430" s="18" t="s">
        <v>587</v>
      </c>
      <c r="E430" s="18" t="s">
        <v>35</v>
      </c>
      <c r="F430" s="18" t="s">
        <v>588</v>
      </c>
      <c r="G430" s="18"/>
      <c r="H430" s="18"/>
      <c r="I430" s="29"/>
      <c r="J430" s="18"/>
      <c r="K430" s="18"/>
      <c r="L430" s="7"/>
      <c r="M430" s="7"/>
      <c r="N430" s="7"/>
      <c r="O430" s="7"/>
      <c r="P430" s="7"/>
      <c r="Q430" s="69"/>
      <c r="R430" s="69"/>
      <c r="S430" s="7"/>
      <c r="T430" s="7"/>
      <c r="U430" s="7"/>
      <c r="V430" s="7"/>
      <c r="W430" s="7"/>
    </row>
    <row r="431" spans="1:23">
      <c r="A431" s="6">
        <v>46138</v>
      </c>
      <c r="B431" s="7" t="s">
        <v>578</v>
      </c>
      <c r="C431" s="7"/>
      <c r="D431" s="7" t="s">
        <v>675</v>
      </c>
      <c r="E431" s="7" t="s">
        <v>253</v>
      </c>
      <c r="F431" s="7"/>
      <c r="G431" s="7"/>
      <c r="H431" s="7" t="s">
        <v>170</v>
      </c>
      <c r="I431" s="14" t="s">
        <v>67</v>
      </c>
      <c r="J431" s="7" t="s">
        <v>35</v>
      </c>
      <c r="K431" s="7" t="s">
        <v>170</v>
      </c>
      <c r="L431" s="7">
        <v>2999</v>
      </c>
      <c r="M431" s="7">
        <v>2853</v>
      </c>
      <c r="N431" s="7">
        <v>1706</v>
      </c>
      <c r="O431" s="7">
        <v>0</v>
      </c>
      <c r="P431" s="7">
        <v>1</v>
      </c>
      <c r="Q431" s="69">
        <f t="shared" ref="Q431:Q438" si="121">M431/L431</f>
        <v>0.95131710570190064</v>
      </c>
      <c r="R431" s="69">
        <f t="shared" ref="R431:R438" si="122">N431/M431</f>
        <v>0.59796705222572732</v>
      </c>
      <c r="S431" s="7"/>
      <c r="T431" s="7"/>
      <c r="U431" s="7"/>
      <c r="V431" s="7"/>
      <c r="W431" s="7"/>
    </row>
    <row r="432" spans="1:23">
      <c r="A432" s="6">
        <v>46138</v>
      </c>
      <c r="B432" s="7" t="s">
        <v>578</v>
      </c>
      <c r="C432" s="7"/>
      <c r="D432" s="100" t="s">
        <v>676</v>
      </c>
      <c r="E432" s="7" t="s">
        <v>253</v>
      </c>
      <c r="F432" s="7"/>
      <c r="G432" s="7"/>
      <c r="H432" s="7" t="s">
        <v>170</v>
      </c>
      <c r="I432" s="84"/>
      <c r="J432" s="7" t="s">
        <v>35</v>
      </c>
      <c r="K432" s="7" t="s">
        <v>170</v>
      </c>
      <c r="L432" s="7">
        <v>2999</v>
      </c>
      <c r="M432" s="7">
        <v>2787</v>
      </c>
      <c r="N432" s="7">
        <v>1259</v>
      </c>
      <c r="O432" s="7">
        <v>0</v>
      </c>
      <c r="P432" s="7">
        <v>1</v>
      </c>
      <c r="Q432" s="69">
        <f t="shared" si="121"/>
        <v>0.92930976992330772</v>
      </c>
      <c r="R432" s="69">
        <f t="shared" si="122"/>
        <v>0.45174022246142803</v>
      </c>
      <c r="S432" s="7"/>
      <c r="T432" s="7"/>
      <c r="U432" s="7"/>
      <c r="V432" s="7"/>
      <c r="W432" s="7"/>
    </row>
    <row r="433" spans="1:23">
      <c r="A433" s="6">
        <v>46138</v>
      </c>
      <c r="B433" s="7" t="s">
        <v>578</v>
      </c>
      <c r="C433" s="7"/>
      <c r="D433" s="100" t="s">
        <v>668</v>
      </c>
      <c r="E433" s="7" t="s">
        <v>253</v>
      </c>
      <c r="F433" s="7"/>
      <c r="G433" s="7"/>
      <c r="H433" s="7" t="s">
        <v>170</v>
      </c>
      <c r="I433" s="84"/>
      <c r="J433" s="7" t="s">
        <v>35</v>
      </c>
      <c r="K433" s="7" t="s">
        <v>170</v>
      </c>
      <c r="L433" s="7">
        <v>361</v>
      </c>
      <c r="M433" s="7">
        <v>337</v>
      </c>
      <c r="N433" s="7">
        <v>210</v>
      </c>
      <c r="O433" s="7">
        <v>0</v>
      </c>
      <c r="P433" s="7">
        <v>0</v>
      </c>
      <c r="Q433" s="69">
        <f t="shared" si="121"/>
        <v>0.93351800554016617</v>
      </c>
      <c r="R433" s="69">
        <f t="shared" si="122"/>
        <v>0.62314540059347179</v>
      </c>
      <c r="S433" s="7"/>
      <c r="T433" s="7"/>
      <c r="U433" s="7"/>
      <c r="V433" s="7"/>
      <c r="W433" s="7"/>
    </row>
    <row r="434" spans="1:23">
      <c r="A434" s="6">
        <v>46138</v>
      </c>
      <c r="B434" s="7" t="s">
        <v>578</v>
      </c>
      <c r="C434" s="62">
        <v>0.85416666666666663</v>
      </c>
      <c r="D434" s="31" t="s">
        <v>624</v>
      </c>
      <c r="E434" s="7" t="s">
        <v>253</v>
      </c>
      <c r="F434" s="7" t="s">
        <v>161</v>
      </c>
      <c r="G434" s="7"/>
      <c r="H434" s="7" t="s">
        <v>149</v>
      </c>
      <c r="I434" s="47"/>
      <c r="J434" s="7" t="s">
        <v>35</v>
      </c>
      <c r="K434" s="7" t="s">
        <v>149</v>
      </c>
      <c r="L434" s="7">
        <v>359</v>
      </c>
      <c r="M434" s="7">
        <v>99</v>
      </c>
      <c r="N434" s="7">
        <v>19</v>
      </c>
      <c r="O434" s="7">
        <v>2</v>
      </c>
      <c r="P434" s="7">
        <v>0</v>
      </c>
      <c r="Q434" s="69">
        <f t="shared" si="121"/>
        <v>0.27576601671309192</v>
      </c>
      <c r="R434" s="69">
        <f t="shared" si="122"/>
        <v>0.19191919191919191</v>
      </c>
      <c r="S434" s="7"/>
      <c r="T434" s="7"/>
      <c r="U434" s="7"/>
      <c r="V434" s="7"/>
      <c r="W434" s="7"/>
    </row>
    <row r="435" spans="1:23" ht="16.8">
      <c r="A435" s="6">
        <v>46138</v>
      </c>
      <c r="B435" s="7" t="s">
        <v>578</v>
      </c>
      <c r="C435" s="62">
        <v>0.875</v>
      </c>
      <c r="D435" s="31" t="s">
        <v>625</v>
      </c>
      <c r="E435" s="7" t="s">
        <v>253</v>
      </c>
      <c r="F435" s="7" t="s">
        <v>247</v>
      </c>
      <c r="G435" s="7"/>
      <c r="H435" s="52" t="s">
        <v>157</v>
      </c>
      <c r="I435" s="47"/>
      <c r="J435" s="7" t="s">
        <v>35</v>
      </c>
      <c r="K435" s="52" t="s">
        <v>157</v>
      </c>
      <c r="L435" s="7">
        <v>673</v>
      </c>
      <c r="M435" s="7">
        <v>98</v>
      </c>
      <c r="N435" s="7">
        <v>19</v>
      </c>
      <c r="O435" s="7">
        <v>1</v>
      </c>
      <c r="P435" s="7">
        <v>0</v>
      </c>
      <c r="Q435" s="69">
        <f t="shared" si="121"/>
        <v>0.14561664190193166</v>
      </c>
      <c r="R435" s="69">
        <f t="shared" si="122"/>
        <v>0.19387755102040816</v>
      </c>
      <c r="S435" s="7"/>
      <c r="T435" s="7"/>
      <c r="U435" s="7"/>
      <c r="V435" s="7"/>
      <c r="W435" s="7"/>
    </row>
    <row r="436" spans="1:23" ht="16.8">
      <c r="A436" s="6">
        <v>46138</v>
      </c>
      <c r="B436" s="7" t="s">
        <v>578</v>
      </c>
      <c r="C436" s="62">
        <v>0.97916666666666663</v>
      </c>
      <c r="D436" s="31" t="s">
        <v>626</v>
      </c>
      <c r="E436" s="31" t="s">
        <v>253</v>
      </c>
      <c r="F436" s="31" t="s">
        <v>342</v>
      </c>
      <c r="G436" s="7"/>
      <c r="H436" s="52" t="s">
        <v>420</v>
      </c>
      <c r="I436" s="47"/>
      <c r="J436" s="7" t="s">
        <v>35</v>
      </c>
      <c r="K436" s="52" t="s">
        <v>420</v>
      </c>
      <c r="L436" s="7">
        <v>354</v>
      </c>
      <c r="M436" s="7">
        <v>45</v>
      </c>
      <c r="N436" s="7">
        <v>4</v>
      </c>
      <c r="O436" s="7">
        <v>0</v>
      </c>
      <c r="P436" s="7">
        <v>0</v>
      </c>
      <c r="Q436" s="69">
        <f t="shared" si="121"/>
        <v>0.1271186440677966</v>
      </c>
      <c r="R436" s="69">
        <f t="shared" si="122"/>
        <v>8.8888888888888892E-2</v>
      </c>
      <c r="S436" s="7"/>
      <c r="T436" s="7"/>
      <c r="U436" s="7"/>
      <c r="V436" s="7"/>
      <c r="W436" s="7"/>
    </row>
    <row r="437" spans="1:23">
      <c r="A437" s="6">
        <v>46138</v>
      </c>
      <c r="B437" s="7" t="s">
        <v>578</v>
      </c>
      <c r="C437" s="62">
        <v>0.91666666666666663</v>
      </c>
      <c r="D437" s="31" t="s">
        <v>627</v>
      </c>
      <c r="E437" s="7" t="s">
        <v>253</v>
      </c>
      <c r="F437" s="7" t="s">
        <v>161</v>
      </c>
      <c r="G437" s="7"/>
      <c r="H437" s="7" t="s">
        <v>121</v>
      </c>
      <c r="I437" s="47"/>
      <c r="J437" s="7" t="s">
        <v>35</v>
      </c>
      <c r="K437" s="7" t="s">
        <v>121</v>
      </c>
      <c r="L437" s="7">
        <v>337</v>
      </c>
      <c r="M437" s="7">
        <v>20</v>
      </c>
      <c r="N437" s="7">
        <v>11</v>
      </c>
      <c r="O437" s="7">
        <v>0</v>
      </c>
      <c r="P437" s="7">
        <v>0</v>
      </c>
      <c r="Q437" s="69">
        <f t="shared" si="121"/>
        <v>5.9347181008902079E-2</v>
      </c>
      <c r="R437" s="69">
        <f t="shared" si="122"/>
        <v>0.55000000000000004</v>
      </c>
      <c r="S437" s="7"/>
      <c r="T437" s="7"/>
      <c r="U437" s="7"/>
      <c r="V437" s="7"/>
      <c r="W437" s="7"/>
    </row>
    <row r="438" spans="1:23" ht="16.8">
      <c r="A438" s="6">
        <v>46138</v>
      </c>
      <c r="B438" s="7" t="s">
        <v>578</v>
      </c>
      <c r="C438" s="62">
        <v>0.96875</v>
      </c>
      <c r="D438" s="31" t="s">
        <v>628</v>
      </c>
      <c r="E438" s="7" t="s">
        <v>253</v>
      </c>
      <c r="F438" s="7" t="s">
        <v>247</v>
      </c>
      <c r="G438" s="7"/>
      <c r="H438" s="52" t="s">
        <v>210</v>
      </c>
      <c r="I438" s="47"/>
      <c r="J438" s="7" t="s">
        <v>35</v>
      </c>
      <c r="K438" s="52" t="s">
        <v>210</v>
      </c>
      <c r="L438" s="7">
        <v>821</v>
      </c>
      <c r="M438" s="7">
        <v>35</v>
      </c>
      <c r="N438" s="7">
        <v>18</v>
      </c>
      <c r="O438" s="7">
        <v>0</v>
      </c>
      <c r="P438" s="7">
        <v>0</v>
      </c>
      <c r="Q438" s="69">
        <f t="shared" si="121"/>
        <v>4.2630937880633372E-2</v>
      </c>
      <c r="R438" s="69">
        <f t="shared" si="122"/>
        <v>0.51428571428571423</v>
      </c>
      <c r="S438" s="7"/>
      <c r="T438" s="7"/>
      <c r="U438" s="7"/>
      <c r="V438" s="7"/>
      <c r="W438" s="7"/>
    </row>
    <row r="439" spans="1:23" ht="16.8">
      <c r="A439" s="85"/>
      <c r="B439" s="86"/>
      <c r="C439" s="91"/>
      <c r="D439" s="92"/>
      <c r="E439" s="86"/>
      <c r="F439" s="86"/>
      <c r="G439" s="86"/>
      <c r="H439" s="86"/>
      <c r="I439" s="86"/>
      <c r="J439" s="86"/>
      <c r="K439" s="93"/>
      <c r="L439" s="86"/>
      <c r="M439" s="86"/>
      <c r="N439" s="86"/>
      <c r="O439" s="86"/>
      <c r="P439" s="86"/>
      <c r="Q439" s="89"/>
      <c r="R439" s="89"/>
      <c r="S439" s="86"/>
      <c r="T439" s="86"/>
      <c r="U439" s="86"/>
      <c r="V439" s="86"/>
      <c r="W439" s="87"/>
    </row>
    <row r="440" spans="1:23">
      <c r="A440" s="6">
        <v>46138</v>
      </c>
      <c r="B440" s="7" t="s">
        <v>578</v>
      </c>
      <c r="C440" s="18" t="s">
        <v>596</v>
      </c>
      <c r="D440" s="18" t="s">
        <v>595</v>
      </c>
      <c r="E440" s="18" t="s">
        <v>27</v>
      </c>
      <c r="F440" s="18" t="s">
        <v>303</v>
      </c>
      <c r="G440" s="18" t="s">
        <v>85</v>
      </c>
      <c r="H440" s="18" t="s">
        <v>186</v>
      </c>
      <c r="I440" s="47"/>
      <c r="J440" s="18" t="s">
        <v>27</v>
      </c>
      <c r="K440" s="18" t="s">
        <v>186</v>
      </c>
      <c r="L440" s="7">
        <v>1890</v>
      </c>
      <c r="M440" s="7">
        <v>11</v>
      </c>
      <c r="N440" s="7">
        <v>1</v>
      </c>
      <c r="O440" s="7">
        <v>0</v>
      </c>
      <c r="P440" s="7">
        <v>0</v>
      </c>
      <c r="Q440" s="69">
        <f t="shared" ref="Q440" si="123">M440/L440</f>
        <v>5.82010582010582E-3</v>
      </c>
      <c r="R440" s="69">
        <f t="shared" ref="R440" si="124">N440/M440</f>
        <v>9.0909090909090912E-2</v>
      </c>
      <c r="S440" s="7"/>
      <c r="T440" s="7"/>
      <c r="U440" s="7"/>
      <c r="V440" s="7"/>
      <c r="W440" s="7"/>
    </row>
    <row r="441" spans="1:23">
      <c r="A441" s="6">
        <v>46138</v>
      </c>
      <c r="B441" s="7" t="s">
        <v>578</v>
      </c>
      <c r="C441" s="18" t="s">
        <v>597</v>
      </c>
      <c r="D441" s="18" t="s">
        <v>594</v>
      </c>
      <c r="E441" s="18" t="s">
        <v>27</v>
      </c>
      <c r="F441" s="18" t="s">
        <v>593</v>
      </c>
      <c r="G441" s="18" t="s">
        <v>85</v>
      </c>
      <c r="H441" s="18"/>
      <c r="I441" s="29"/>
      <c r="J441" s="18"/>
      <c r="K441" s="18"/>
      <c r="L441" s="7"/>
      <c r="M441" s="7"/>
      <c r="N441" s="7"/>
      <c r="O441" s="7"/>
      <c r="P441" s="7"/>
      <c r="Q441" s="69"/>
      <c r="R441" s="69"/>
      <c r="S441" s="7"/>
      <c r="T441" s="86"/>
      <c r="U441" s="86"/>
      <c r="V441" s="86"/>
      <c r="W441" s="7"/>
    </row>
    <row r="442" spans="1:23">
      <c r="A442" s="6">
        <v>46138</v>
      </c>
      <c r="B442" s="7" t="s">
        <v>578</v>
      </c>
      <c r="C442" s="18" t="s">
        <v>347</v>
      </c>
      <c r="D442" s="18" t="s">
        <v>345</v>
      </c>
      <c r="E442" s="18" t="s">
        <v>27</v>
      </c>
      <c r="F442" s="18" t="s">
        <v>346</v>
      </c>
      <c r="G442" s="18" t="s">
        <v>85</v>
      </c>
      <c r="H442" s="18" t="s">
        <v>313</v>
      </c>
      <c r="I442" s="47"/>
      <c r="J442" s="18" t="s">
        <v>27</v>
      </c>
      <c r="K442" s="18" t="s">
        <v>313</v>
      </c>
      <c r="L442" s="7"/>
      <c r="M442" s="7"/>
      <c r="N442" s="7"/>
      <c r="O442" s="7"/>
      <c r="P442" s="7"/>
      <c r="Q442" s="69" t="e">
        <f t="shared" ref="Q442:Q443" si="125">M442/L442</f>
        <v>#DIV/0!</v>
      </c>
      <c r="R442" s="69" t="e">
        <f t="shared" ref="R442:R443" si="126">N442/M442</f>
        <v>#DIV/0!</v>
      </c>
      <c r="S442" s="7"/>
      <c r="T442" s="7"/>
      <c r="U442" s="7"/>
      <c r="V442" s="7"/>
      <c r="W442" s="7"/>
    </row>
    <row r="443" spans="1:23">
      <c r="A443" s="6">
        <v>46138</v>
      </c>
      <c r="B443" s="7" t="s">
        <v>578</v>
      </c>
      <c r="C443" s="18" t="s">
        <v>308</v>
      </c>
      <c r="D443" s="18" t="s">
        <v>503</v>
      </c>
      <c r="E443" s="18" t="s">
        <v>27</v>
      </c>
      <c r="F443" s="18" t="s">
        <v>502</v>
      </c>
      <c r="G443" s="18" t="s">
        <v>85</v>
      </c>
      <c r="H443" s="18" t="s">
        <v>106</v>
      </c>
      <c r="I443" s="47"/>
      <c r="J443" s="18" t="s">
        <v>27</v>
      </c>
      <c r="K443" s="18" t="s">
        <v>106</v>
      </c>
      <c r="L443" s="7">
        <v>754</v>
      </c>
      <c r="M443" s="7">
        <v>4</v>
      </c>
      <c r="N443" s="7">
        <v>3</v>
      </c>
      <c r="O443" s="7">
        <v>0</v>
      </c>
      <c r="P443" s="7">
        <v>4</v>
      </c>
      <c r="Q443" s="69">
        <f t="shared" si="125"/>
        <v>5.3050397877984082E-3</v>
      </c>
      <c r="R443" s="69">
        <f t="shared" si="126"/>
        <v>0.75</v>
      </c>
      <c r="S443" s="7"/>
      <c r="T443" s="7"/>
      <c r="U443" s="7"/>
      <c r="V443" s="7"/>
      <c r="W443" s="7"/>
    </row>
    <row r="444" spans="1:23">
      <c r="A444" s="6">
        <v>46138</v>
      </c>
      <c r="B444" s="7" t="s">
        <v>578</v>
      </c>
      <c r="C444" s="18" t="s">
        <v>598</v>
      </c>
      <c r="D444" s="18" t="s">
        <v>594</v>
      </c>
      <c r="E444" s="18" t="s">
        <v>27</v>
      </c>
      <c r="F444" s="18" t="s">
        <v>593</v>
      </c>
      <c r="G444" s="18" t="s">
        <v>85</v>
      </c>
      <c r="H444" s="18"/>
      <c r="I444" s="29"/>
      <c r="J444" s="18"/>
      <c r="K444" s="18"/>
      <c r="L444" s="7"/>
      <c r="M444" s="7"/>
      <c r="N444" s="7"/>
      <c r="O444" s="7"/>
      <c r="P444" s="7"/>
      <c r="Q444" s="69"/>
      <c r="R444" s="69"/>
      <c r="S444" s="7"/>
      <c r="T444" s="7"/>
      <c r="U444" s="7"/>
      <c r="V444" s="7"/>
      <c r="W444" s="7"/>
    </row>
    <row r="445" spans="1:23">
      <c r="A445" s="6">
        <v>46138</v>
      </c>
      <c r="B445" s="7" t="s">
        <v>578</v>
      </c>
      <c r="C445" s="62">
        <v>0.75</v>
      </c>
      <c r="D445" s="77" t="s">
        <v>644</v>
      </c>
      <c r="E445" s="77" t="s">
        <v>27</v>
      </c>
      <c r="F445" s="77" t="s">
        <v>515</v>
      </c>
      <c r="G445" s="77" t="s">
        <v>85</v>
      </c>
      <c r="H445" s="77" t="s">
        <v>348</v>
      </c>
      <c r="I445" s="84"/>
      <c r="J445" s="77" t="s">
        <v>27</v>
      </c>
      <c r="K445" s="77" t="s">
        <v>348</v>
      </c>
      <c r="L445" s="7">
        <v>3089</v>
      </c>
      <c r="M445" s="7">
        <v>23</v>
      </c>
      <c r="N445" s="7">
        <v>4</v>
      </c>
      <c r="O445" s="7">
        <v>0</v>
      </c>
      <c r="P445" s="7">
        <v>2</v>
      </c>
      <c r="Q445" s="69">
        <f t="shared" ref="Q445:Q450" si="127">M445/L445</f>
        <v>7.4457753318225963E-3</v>
      </c>
      <c r="R445" s="69">
        <f t="shared" ref="R445:R450" si="128">N445/M445</f>
        <v>0.17391304347826086</v>
      </c>
      <c r="S445" s="7"/>
      <c r="T445" s="7"/>
      <c r="U445" s="7"/>
      <c r="V445" s="7"/>
      <c r="W445" s="7"/>
    </row>
    <row r="446" spans="1:23">
      <c r="A446" s="6">
        <v>46138</v>
      </c>
      <c r="B446" s="7" t="s">
        <v>578</v>
      </c>
      <c r="C446" s="62">
        <v>0.76041666666666663</v>
      </c>
      <c r="D446" s="77" t="s">
        <v>645</v>
      </c>
      <c r="E446" s="77" t="s">
        <v>27</v>
      </c>
      <c r="F446" s="77" t="s">
        <v>428</v>
      </c>
      <c r="G446" s="77" t="s">
        <v>85</v>
      </c>
      <c r="H446" s="77" t="s">
        <v>349</v>
      </c>
      <c r="I446" s="84"/>
      <c r="J446" s="77" t="s">
        <v>27</v>
      </c>
      <c r="K446" s="77" t="s">
        <v>349</v>
      </c>
      <c r="L446" s="7">
        <v>1270</v>
      </c>
      <c r="M446" s="7">
        <v>6</v>
      </c>
      <c r="N446" s="7">
        <v>5</v>
      </c>
      <c r="O446" s="7">
        <v>0</v>
      </c>
      <c r="P446" s="7">
        <v>1</v>
      </c>
      <c r="Q446" s="69">
        <f t="shared" si="127"/>
        <v>4.7244094488188976E-3</v>
      </c>
      <c r="R446" s="69">
        <f t="shared" si="128"/>
        <v>0.83333333333333337</v>
      </c>
      <c r="S446" s="7"/>
      <c r="T446" s="7"/>
      <c r="U446" s="7"/>
      <c r="V446" s="7"/>
      <c r="W446" s="7"/>
    </row>
    <row r="447" spans="1:23">
      <c r="A447" s="6">
        <v>46138</v>
      </c>
      <c r="B447" s="7" t="s">
        <v>578</v>
      </c>
      <c r="C447" s="62">
        <v>0.70833333333333337</v>
      </c>
      <c r="D447" s="77" t="s">
        <v>646</v>
      </c>
      <c r="E447" s="77" t="s">
        <v>27</v>
      </c>
      <c r="F447" s="77" t="s">
        <v>505</v>
      </c>
      <c r="G447" s="77" t="s">
        <v>85</v>
      </c>
      <c r="H447" s="77" t="s">
        <v>350</v>
      </c>
      <c r="I447" s="84"/>
      <c r="J447" s="77" t="s">
        <v>27</v>
      </c>
      <c r="K447" s="77" t="s">
        <v>350</v>
      </c>
      <c r="L447" s="7">
        <v>5579</v>
      </c>
      <c r="M447" s="7">
        <v>23</v>
      </c>
      <c r="N447" s="7">
        <v>6</v>
      </c>
      <c r="O447" s="7">
        <v>0</v>
      </c>
      <c r="P447" s="7">
        <v>3</v>
      </c>
      <c r="Q447" s="69">
        <f t="shared" si="127"/>
        <v>4.1226026169564438E-3</v>
      </c>
      <c r="R447" s="69">
        <f t="shared" si="128"/>
        <v>0.2608695652173913</v>
      </c>
      <c r="S447" s="7"/>
      <c r="T447" s="7"/>
      <c r="U447" s="7"/>
      <c r="V447" s="7"/>
      <c r="W447" s="7"/>
    </row>
    <row r="448" spans="1:23">
      <c r="A448" s="6">
        <v>46138</v>
      </c>
      <c r="B448" s="7" t="s">
        <v>578</v>
      </c>
      <c r="C448" s="62">
        <v>0.78125</v>
      </c>
      <c r="D448" s="77" t="s">
        <v>647</v>
      </c>
      <c r="E448" s="77" t="s">
        <v>27</v>
      </c>
      <c r="F448" s="77" t="s">
        <v>519</v>
      </c>
      <c r="G448" s="77" t="s">
        <v>85</v>
      </c>
      <c r="H448" s="77" t="s">
        <v>351</v>
      </c>
      <c r="I448" s="84"/>
      <c r="J448" s="77" t="s">
        <v>27</v>
      </c>
      <c r="K448" s="77" t="s">
        <v>351</v>
      </c>
      <c r="L448" s="7">
        <v>3283</v>
      </c>
      <c r="M448" s="7">
        <v>17</v>
      </c>
      <c r="N448" s="7">
        <v>5</v>
      </c>
      <c r="O448" s="7">
        <v>1</v>
      </c>
      <c r="P448" s="7">
        <v>1</v>
      </c>
      <c r="Q448" s="69">
        <f t="shared" si="127"/>
        <v>5.1781906792567776E-3</v>
      </c>
      <c r="R448" s="69">
        <f t="shared" si="128"/>
        <v>0.29411764705882354</v>
      </c>
      <c r="S448" s="7"/>
      <c r="T448" s="7"/>
      <c r="U448" s="7"/>
      <c r="V448" s="7"/>
      <c r="W448" s="7"/>
    </row>
    <row r="449" spans="1:23">
      <c r="A449" s="6">
        <v>46138</v>
      </c>
      <c r="B449" s="7" t="s">
        <v>578</v>
      </c>
      <c r="C449" s="62">
        <v>0.80208333333333337</v>
      </c>
      <c r="D449" s="88" t="s">
        <v>648</v>
      </c>
      <c r="E449" s="88" t="s">
        <v>27</v>
      </c>
      <c r="F449" s="88" t="s">
        <v>535</v>
      </c>
      <c r="G449" s="77" t="s">
        <v>85</v>
      </c>
      <c r="H449" s="7" t="s">
        <v>210</v>
      </c>
      <c r="I449" s="29"/>
      <c r="J449" s="77" t="s">
        <v>27</v>
      </c>
      <c r="K449" s="7" t="s">
        <v>210</v>
      </c>
      <c r="L449" s="7">
        <v>792</v>
      </c>
      <c r="M449" s="7">
        <v>26</v>
      </c>
      <c r="N449" s="7">
        <v>15</v>
      </c>
      <c r="O449" s="7">
        <v>1</v>
      </c>
      <c r="P449" s="7">
        <v>0</v>
      </c>
      <c r="Q449" s="69">
        <f t="shared" si="127"/>
        <v>3.2828282828282832E-2</v>
      </c>
      <c r="R449" s="69">
        <f t="shared" si="128"/>
        <v>0.57692307692307687</v>
      </c>
      <c r="S449" s="7"/>
      <c r="T449" s="7"/>
      <c r="U449" s="7"/>
      <c r="V449" s="7"/>
      <c r="W449" s="7"/>
    </row>
    <row r="450" spans="1:23" ht="16.8">
      <c r="A450" s="6">
        <v>46138</v>
      </c>
      <c r="B450" s="7" t="s">
        <v>578</v>
      </c>
      <c r="C450" s="62">
        <v>0.83333333333333337</v>
      </c>
      <c r="D450" s="97" t="s">
        <v>649</v>
      </c>
      <c r="E450" s="7" t="s">
        <v>27</v>
      </c>
      <c r="F450" s="97" t="s">
        <v>505</v>
      </c>
      <c r="G450" s="77" t="s">
        <v>85</v>
      </c>
      <c r="H450" s="52" t="s">
        <v>157</v>
      </c>
      <c r="I450" s="98"/>
      <c r="J450" s="77" t="s">
        <v>27</v>
      </c>
      <c r="K450" s="52" t="s">
        <v>157</v>
      </c>
      <c r="L450" s="86">
        <v>668</v>
      </c>
      <c r="M450" s="86">
        <v>4</v>
      </c>
      <c r="N450" s="86">
        <v>3</v>
      </c>
      <c r="O450" s="86">
        <v>1</v>
      </c>
      <c r="P450" s="86">
        <v>0</v>
      </c>
      <c r="Q450" s="69">
        <f t="shared" si="127"/>
        <v>5.9880239520958087E-3</v>
      </c>
      <c r="R450" s="69">
        <f t="shared" si="128"/>
        <v>0.75</v>
      </c>
      <c r="S450" s="86"/>
      <c r="T450" s="86"/>
      <c r="U450" s="86"/>
      <c r="V450" s="86"/>
      <c r="W450" s="87"/>
    </row>
    <row r="451" spans="1:23" ht="16.8">
      <c r="A451" s="85"/>
      <c r="B451" s="86"/>
      <c r="C451" s="91"/>
      <c r="D451" s="92"/>
      <c r="E451" s="86"/>
      <c r="F451" s="86"/>
      <c r="G451" s="86"/>
      <c r="H451" s="86"/>
      <c r="I451" s="86"/>
      <c r="J451" s="86"/>
      <c r="K451" s="93"/>
      <c r="L451" s="86"/>
      <c r="M451" s="86"/>
      <c r="N451" s="86"/>
      <c r="O451" s="86"/>
      <c r="P451" s="86"/>
      <c r="Q451" s="89"/>
      <c r="R451" s="89"/>
      <c r="S451" s="86"/>
      <c r="T451" s="86"/>
      <c r="U451" s="86"/>
      <c r="V451" s="86"/>
      <c r="W451" s="87"/>
    </row>
    <row r="452" spans="1:23">
      <c r="A452" s="6">
        <v>46138</v>
      </c>
      <c r="B452" s="7" t="s">
        <v>578</v>
      </c>
      <c r="C452" s="18" t="s">
        <v>599</v>
      </c>
      <c r="D452" s="18" t="s">
        <v>306</v>
      </c>
      <c r="E452" s="18" t="s">
        <v>28</v>
      </c>
      <c r="F452" s="18" t="s">
        <v>307</v>
      </c>
      <c r="G452" s="18" t="s">
        <v>85</v>
      </c>
      <c r="H452" s="18" t="s">
        <v>186</v>
      </c>
      <c r="I452" s="47"/>
      <c r="J452" s="18" t="s">
        <v>28</v>
      </c>
      <c r="K452" s="18" t="s">
        <v>186</v>
      </c>
      <c r="L452" s="7">
        <v>1877</v>
      </c>
      <c r="M452" s="7">
        <v>13</v>
      </c>
      <c r="N452" s="7">
        <v>4</v>
      </c>
      <c r="O452" s="7">
        <v>0</v>
      </c>
      <c r="P452" s="7">
        <v>0</v>
      </c>
      <c r="Q452" s="69">
        <f t="shared" ref="Q452" si="129">M452/L452</f>
        <v>6.9259456579648373E-3</v>
      </c>
      <c r="R452" s="69">
        <f t="shared" ref="R452" si="130">N452/M452</f>
        <v>0.30769230769230771</v>
      </c>
      <c r="S452" s="7"/>
      <c r="T452" s="7"/>
      <c r="U452" s="7"/>
      <c r="V452" s="7"/>
      <c r="W452" s="7"/>
    </row>
    <row r="453" spans="1:23">
      <c r="A453" s="6">
        <v>46138</v>
      </c>
      <c r="B453" s="7" t="s">
        <v>578</v>
      </c>
      <c r="C453" s="18" t="s">
        <v>600</v>
      </c>
      <c r="D453" s="18" t="s">
        <v>602</v>
      </c>
      <c r="E453" s="18" t="s">
        <v>28</v>
      </c>
      <c r="F453" s="18" t="s">
        <v>601</v>
      </c>
      <c r="G453" s="18"/>
      <c r="H453" s="18" t="s">
        <v>186</v>
      </c>
      <c r="I453" s="29"/>
      <c r="J453" s="18"/>
      <c r="K453" s="18"/>
      <c r="L453" s="7"/>
      <c r="M453" s="7"/>
      <c r="N453" s="7"/>
      <c r="O453" s="7"/>
      <c r="P453" s="7"/>
      <c r="Q453" s="69"/>
      <c r="R453" s="69"/>
      <c r="S453" s="7"/>
      <c r="T453" s="7"/>
      <c r="U453" s="7"/>
      <c r="V453" s="7"/>
      <c r="W453" s="7"/>
    </row>
    <row r="454" spans="1:23">
      <c r="A454" s="6">
        <v>46138</v>
      </c>
      <c r="B454" s="7" t="s">
        <v>578</v>
      </c>
      <c r="C454" s="18" t="s">
        <v>347</v>
      </c>
      <c r="D454" s="18" t="s">
        <v>352</v>
      </c>
      <c r="E454" s="18" t="s">
        <v>28</v>
      </c>
      <c r="F454" s="18" t="s">
        <v>353</v>
      </c>
      <c r="G454" s="18" t="s">
        <v>85</v>
      </c>
      <c r="H454" s="18" t="s">
        <v>186</v>
      </c>
      <c r="I454" s="47"/>
      <c r="J454" s="18" t="s">
        <v>28</v>
      </c>
      <c r="K454" s="18" t="s">
        <v>186</v>
      </c>
      <c r="L454" s="7"/>
      <c r="M454" s="7"/>
      <c r="N454" s="7"/>
      <c r="O454" s="7"/>
      <c r="P454" s="7"/>
      <c r="Q454" s="69" t="e">
        <f t="shared" ref="Q454:Q455" si="131">M454/L454</f>
        <v>#DIV/0!</v>
      </c>
      <c r="R454" s="69" t="e">
        <f t="shared" ref="R454:R455" si="132">N454/M454</f>
        <v>#DIV/0!</v>
      </c>
      <c r="S454" s="7"/>
      <c r="T454" s="7"/>
      <c r="U454" s="7"/>
      <c r="V454" s="7"/>
      <c r="W454" s="7"/>
    </row>
    <row r="455" spans="1:23">
      <c r="A455" s="6">
        <v>46138</v>
      </c>
      <c r="B455" s="7" t="s">
        <v>578</v>
      </c>
      <c r="C455" s="18" t="s">
        <v>599</v>
      </c>
      <c r="D455" s="18" t="s">
        <v>507</v>
      </c>
      <c r="E455" s="18" t="s">
        <v>28</v>
      </c>
      <c r="F455" s="18" t="s">
        <v>506</v>
      </c>
      <c r="G455" s="18" t="s">
        <v>85</v>
      </c>
      <c r="H455" s="18" t="s">
        <v>106</v>
      </c>
      <c r="I455" s="47"/>
      <c r="J455" s="18" t="s">
        <v>28</v>
      </c>
      <c r="K455" s="18" t="s">
        <v>106</v>
      </c>
      <c r="L455" s="7">
        <v>752</v>
      </c>
      <c r="M455" s="7">
        <v>5</v>
      </c>
      <c r="N455" s="7">
        <v>1</v>
      </c>
      <c r="O455" s="7">
        <v>0</v>
      </c>
      <c r="P455" s="7">
        <v>4</v>
      </c>
      <c r="Q455" s="69">
        <f t="shared" si="131"/>
        <v>6.648936170212766E-3</v>
      </c>
      <c r="R455" s="69">
        <f t="shared" si="132"/>
        <v>0.2</v>
      </c>
      <c r="S455" s="7"/>
      <c r="T455" s="7"/>
      <c r="U455" s="7"/>
      <c r="V455" s="7"/>
      <c r="W455" s="7"/>
    </row>
    <row r="456" spans="1:23">
      <c r="A456" s="6">
        <v>46138</v>
      </c>
      <c r="B456" s="7" t="s">
        <v>578</v>
      </c>
      <c r="C456" s="18" t="s">
        <v>600</v>
      </c>
      <c r="D456" s="18" t="s">
        <v>602</v>
      </c>
      <c r="E456" s="18" t="s">
        <v>28</v>
      </c>
      <c r="F456" s="18" t="s">
        <v>601</v>
      </c>
      <c r="G456" s="18" t="s">
        <v>85</v>
      </c>
      <c r="H456" s="18" t="s">
        <v>106</v>
      </c>
      <c r="I456" s="29"/>
      <c r="J456" s="18"/>
      <c r="K456" s="18"/>
      <c r="L456" s="7"/>
      <c r="M456" s="7"/>
      <c r="N456" s="7"/>
      <c r="O456" s="7"/>
      <c r="P456" s="7"/>
      <c r="Q456" s="69"/>
      <c r="R456" s="69"/>
      <c r="S456" s="7"/>
      <c r="T456" s="86"/>
      <c r="U456" s="86"/>
      <c r="V456" s="86"/>
      <c r="W456" s="7"/>
    </row>
    <row r="457" spans="1:23">
      <c r="A457" s="6">
        <v>46138</v>
      </c>
      <c r="B457" s="7" t="s">
        <v>578</v>
      </c>
      <c r="C457" s="62">
        <v>0.79166666666666663</v>
      </c>
      <c r="D457" s="77" t="s">
        <v>650</v>
      </c>
      <c r="E457" s="77" t="s">
        <v>28</v>
      </c>
      <c r="F457" s="77" t="s">
        <v>438</v>
      </c>
      <c r="G457" s="77" t="s">
        <v>85</v>
      </c>
      <c r="H457" s="77" t="s">
        <v>359</v>
      </c>
      <c r="I457" s="84"/>
      <c r="J457" s="77" t="s">
        <v>28</v>
      </c>
      <c r="K457" s="77" t="s">
        <v>359</v>
      </c>
      <c r="L457" s="7">
        <v>1306</v>
      </c>
      <c r="M457" s="7">
        <v>12</v>
      </c>
      <c r="N457" s="7">
        <v>2</v>
      </c>
      <c r="O457" s="7">
        <v>1</v>
      </c>
      <c r="P457" s="7">
        <v>3</v>
      </c>
      <c r="Q457" s="69">
        <f t="shared" ref="Q457:Q462" si="133">M457/L457</f>
        <v>9.1883614088820835E-3</v>
      </c>
      <c r="R457" s="69">
        <f t="shared" ref="R457:R462" si="134">N457/M457</f>
        <v>0.16666666666666666</v>
      </c>
      <c r="S457" s="7"/>
      <c r="T457" s="7"/>
      <c r="U457" s="7"/>
      <c r="V457" s="7"/>
      <c r="W457" s="7"/>
    </row>
    <row r="458" spans="1:23">
      <c r="A458" s="6">
        <v>46138</v>
      </c>
      <c r="B458" s="7" t="s">
        <v>578</v>
      </c>
      <c r="C458" s="62">
        <v>0.80208333333333337</v>
      </c>
      <c r="D458" s="77" t="s">
        <v>651</v>
      </c>
      <c r="E458" s="77" t="s">
        <v>28</v>
      </c>
      <c r="F458" s="77" t="s">
        <v>522</v>
      </c>
      <c r="G458" s="77" t="s">
        <v>85</v>
      </c>
      <c r="H458" s="77" t="s">
        <v>358</v>
      </c>
      <c r="I458" s="84"/>
      <c r="J458" s="77" t="s">
        <v>28</v>
      </c>
      <c r="K458" s="77" t="s">
        <v>358</v>
      </c>
      <c r="L458" s="7">
        <v>2974</v>
      </c>
      <c r="M458" s="7">
        <v>22</v>
      </c>
      <c r="N458" s="7">
        <v>6</v>
      </c>
      <c r="O458" s="7">
        <v>1</v>
      </c>
      <c r="P458" s="7">
        <v>5</v>
      </c>
      <c r="Q458" s="69">
        <f t="shared" si="133"/>
        <v>7.3974445191661064E-3</v>
      </c>
      <c r="R458" s="69">
        <f t="shared" si="134"/>
        <v>0.27272727272727271</v>
      </c>
      <c r="S458" s="7"/>
      <c r="T458" s="7"/>
      <c r="U458" s="7"/>
      <c r="V458" s="7"/>
      <c r="W458" s="7"/>
    </row>
    <row r="459" spans="1:23">
      <c r="A459" s="6">
        <v>46138</v>
      </c>
      <c r="B459" s="7" t="s">
        <v>578</v>
      </c>
      <c r="C459" s="62">
        <v>0.77083333333333337</v>
      </c>
      <c r="D459" s="77" t="s">
        <v>652</v>
      </c>
      <c r="E459" s="77" t="s">
        <v>28</v>
      </c>
      <c r="F459" s="77" t="s">
        <v>524</v>
      </c>
      <c r="G459" s="77" t="s">
        <v>85</v>
      </c>
      <c r="H459" s="77" t="s">
        <v>350</v>
      </c>
      <c r="I459" s="84"/>
      <c r="J459" s="77" t="s">
        <v>28</v>
      </c>
      <c r="K459" s="77" t="s">
        <v>350</v>
      </c>
      <c r="L459" s="7">
        <v>5578</v>
      </c>
      <c r="M459" s="7">
        <v>21</v>
      </c>
      <c r="N459" s="7">
        <v>4</v>
      </c>
      <c r="O459" s="7">
        <v>0</v>
      </c>
      <c r="P459" s="7">
        <v>3</v>
      </c>
      <c r="Q459" s="69">
        <f t="shared" si="133"/>
        <v>3.7647902474005021E-3</v>
      </c>
      <c r="R459" s="69">
        <f t="shared" si="134"/>
        <v>0.19047619047619047</v>
      </c>
      <c r="S459" s="7"/>
      <c r="T459" s="7"/>
      <c r="U459" s="7"/>
      <c r="V459" s="7"/>
      <c r="W459" s="7"/>
    </row>
    <row r="460" spans="1:23">
      <c r="A460" s="6">
        <v>46138</v>
      </c>
      <c r="B460" s="7" t="s">
        <v>578</v>
      </c>
      <c r="C460" s="62">
        <v>0.8125</v>
      </c>
      <c r="D460" s="77" t="s">
        <v>653</v>
      </c>
      <c r="E460" s="77" t="s">
        <v>28</v>
      </c>
      <c r="F460" s="77" t="s">
        <v>440</v>
      </c>
      <c r="G460" s="77" t="s">
        <v>85</v>
      </c>
      <c r="H460" s="77" t="s">
        <v>351</v>
      </c>
      <c r="I460" s="84"/>
      <c r="J460" s="77" t="s">
        <v>28</v>
      </c>
      <c r="K460" s="77" t="s">
        <v>351</v>
      </c>
      <c r="L460" s="7">
        <v>3282</v>
      </c>
      <c r="M460" s="7">
        <v>13</v>
      </c>
      <c r="N460" s="7">
        <v>5</v>
      </c>
      <c r="O460" s="7">
        <v>0</v>
      </c>
      <c r="P460" s="7">
        <v>0</v>
      </c>
      <c r="Q460" s="69">
        <f t="shared" si="133"/>
        <v>3.9609993906154781E-3</v>
      </c>
      <c r="R460" s="69">
        <f t="shared" si="134"/>
        <v>0.38461538461538464</v>
      </c>
      <c r="S460" s="7"/>
      <c r="T460" s="7"/>
      <c r="U460" s="7"/>
      <c r="V460" s="7"/>
      <c r="W460" s="7"/>
    </row>
    <row r="461" spans="1:23">
      <c r="A461" s="6">
        <v>46138</v>
      </c>
      <c r="B461" s="7" t="s">
        <v>578</v>
      </c>
      <c r="C461" s="62">
        <v>0.85416666666666663</v>
      </c>
      <c r="D461" s="88" t="s">
        <v>654</v>
      </c>
      <c r="E461" s="88" t="s">
        <v>28</v>
      </c>
      <c r="F461" s="88" t="s">
        <v>537</v>
      </c>
      <c r="G461" s="7" t="s">
        <v>85</v>
      </c>
      <c r="H461" s="7" t="s">
        <v>210</v>
      </c>
      <c r="I461" s="29"/>
      <c r="J461" s="7" t="s">
        <v>28</v>
      </c>
      <c r="K461" s="7" t="s">
        <v>210</v>
      </c>
      <c r="L461" s="7">
        <v>799</v>
      </c>
      <c r="M461" s="7">
        <v>27</v>
      </c>
      <c r="N461" s="7">
        <v>13</v>
      </c>
      <c r="O461" s="7">
        <v>1</v>
      </c>
      <c r="P461" s="7">
        <v>0</v>
      </c>
      <c r="Q461" s="69">
        <f t="shared" si="133"/>
        <v>3.3792240300375469E-2</v>
      </c>
      <c r="R461" s="69">
        <f t="shared" si="134"/>
        <v>0.48148148148148145</v>
      </c>
      <c r="S461" s="7"/>
      <c r="T461" s="7"/>
      <c r="U461" s="7"/>
      <c r="V461" s="7"/>
      <c r="W461" s="7"/>
    </row>
    <row r="462" spans="1:23" ht="16.8">
      <c r="A462" s="6">
        <v>46138</v>
      </c>
      <c r="B462" s="7" t="s">
        <v>578</v>
      </c>
      <c r="C462" s="91">
        <v>0.89583333333333337</v>
      </c>
      <c r="D462" s="86" t="s">
        <v>655</v>
      </c>
      <c r="E462" s="7" t="s">
        <v>28</v>
      </c>
      <c r="F462" s="86" t="s">
        <v>511</v>
      </c>
      <c r="G462" s="7" t="s">
        <v>85</v>
      </c>
      <c r="H462" s="52" t="s">
        <v>157</v>
      </c>
      <c r="I462" s="98"/>
      <c r="J462" s="7" t="s">
        <v>28</v>
      </c>
      <c r="K462" s="52" t="s">
        <v>157</v>
      </c>
      <c r="L462" s="86">
        <v>674</v>
      </c>
      <c r="M462" s="86">
        <v>1</v>
      </c>
      <c r="N462" s="86">
        <v>0</v>
      </c>
      <c r="O462" s="86">
        <v>0</v>
      </c>
      <c r="P462" s="86">
        <v>0</v>
      </c>
      <c r="Q462" s="69">
        <f t="shared" si="133"/>
        <v>1.483679525222552E-3</v>
      </c>
      <c r="R462" s="69">
        <f t="shared" si="134"/>
        <v>0</v>
      </c>
      <c r="S462" s="86"/>
      <c r="T462" s="86"/>
      <c r="U462" s="86"/>
      <c r="V462" s="86"/>
      <c r="W462" s="87"/>
    </row>
    <row r="463" spans="1:23" ht="16.8">
      <c r="A463" s="85"/>
      <c r="B463" s="86"/>
      <c r="C463" s="91"/>
      <c r="D463" s="92"/>
      <c r="E463" s="86"/>
      <c r="F463" s="86"/>
      <c r="G463" s="86"/>
      <c r="H463" s="86"/>
      <c r="I463" s="86"/>
      <c r="J463" s="86"/>
      <c r="K463" s="93"/>
      <c r="L463" s="86"/>
      <c r="M463" s="86"/>
      <c r="N463" s="86"/>
      <c r="O463" s="86"/>
      <c r="P463" s="86"/>
      <c r="Q463" s="89"/>
      <c r="R463" s="89"/>
      <c r="S463" s="86"/>
      <c r="T463" s="86"/>
      <c r="U463" s="86"/>
      <c r="V463" s="86"/>
      <c r="W463" s="87"/>
    </row>
    <row r="464" spans="1:23">
      <c r="A464" s="6">
        <v>46138</v>
      </c>
      <c r="B464" s="7" t="s">
        <v>578</v>
      </c>
      <c r="C464" s="18" t="s">
        <v>598</v>
      </c>
      <c r="D464" s="18" t="s">
        <v>310</v>
      </c>
      <c r="E464" s="18" t="s">
        <v>309</v>
      </c>
      <c r="F464" s="18" t="s">
        <v>311</v>
      </c>
      <c r="G464" s="18" t="s">
        <v>85</v>
      </c>
      <c r="H464" s="18" t="s">
        <v>186</v>
      </c>
      <c r="I464" s="47"/>
      <c r="J464" s="18" t="s">
        <v>309</v>
      </c>
      <c r="K464" s="18" t="s">
        <v>186</v>
      </c>
      <c r="L464" s="7">
        <v>1870</v>
      </c>
      <c r="M464" s="7">
        <v>9</v>
      </c>
      <c r="N464" s="7">
        <v>2</v>
      </c>
      <c r="O464" s="7">
        <v>0</v>
      </c>
      <c r="P464" s="7">
        <v>0</v>
      </c>
      <c r="Q464" s="69">
        <f t="shared" ref="Q464" si="135">M464/L464</f>
        <v>4.8128342245989308E-3</v>
      </c>
      <c r="R464" s="69">
        <f t="shared" ref="R464" si="136">N464/M464</f>
        <v>0.22222222222222221</v>
      </c>
      <c r="S464" s="7"/>
      <c r="T464" s="7"/>
      <c r="U464" s="7"/>
      <c r="V464" s="7"/>
      <c r="W464" s="7"/>
    </row>
    <row r="465" spans="1:23">
      <c r="A465" s="6">
        <v>46138</v>
      </c>
      <c r="B465" s="7" t="s">
        <v>578</v>
      </c>
      <c r="C465" s="18" t="s">
        <v>605</v>
      </c>
      <c r="D465" s="18" t="s">
        <v>604</v>
      </c>
      <c r="E465" s="18" t="s">
        <v>309</v>
      </c>
      <c r="F465" s="18" t="s">
        <v>603</v>
      </c>
      <c r="G465" s="18" t="s">
        <v>85</v>
      </c>
      <c r="H465" s="18" t="s">
        <v>186</v>
      </c>
      <c r="I465" s="29"/>
      <c r="J465" s="18"/>
      <c r="K465" s="18"/>
      <c r="L465" s="7"/>
      <c r="M465" s="7"/>
      <c r="N465" s="7"/>
      <c r="O465" s="7"/>
      <c r="P465" s="7"/>
      <c r="Q465" s="69"/>
      <c r="R465" s="69"/>
      <c r="S465" s="7"/>
      <c r="T465" s="86"/>
      <c r="U465" s="86"/>
      <c r="V465" s="86"/>
      <c r="W465" s="7"/>
    </row>
    <row r="466" spans="1:23">
      <c r="A466" s="6">
        <v>46138</v>
      </c>
      <c r="B466" s="7" t="s">
        <v>578</v>
      </c>
      <c r="C466" s="18" t="s">
        <v>347</v>
      </c>
      <c r="D466" s="18" t="s">
        <v>354</v>
      </c>
      <c r="E466" s="18" t="s">
        <v>309</v>
      </c>
      <c r="F466" s="18" t="s">
        <v>355</v>
      </c>
      <c r="G466" s="18" t="s">
        <v>85</v>
      </c>
      <c r="H466" s="18" t="s">
        <v>313</v>
      </c>
      <c r="I466" s="47"/>
      <c r="J466" s="18" t="s">
        <v>309</v>
      </c>
      <c r="K466" s="18" t="s">
        <v>313</v>
      </c>
      <c r="L466" s="7"/>
      <c r="M466" s="7"/>
      <c r="N466" s="7"/>
      <c r="O466" s="7"/>
      <c r="P466" s="7"/>
      <c r="Q466" s="69" t="e">
        <f t="shared" ref="Q466:Q467" si="137">M466/L466</f>
        <v>#DIV/0!</v>
      </c>
      <c r="R466" s="69" t="e">
        <f t="shared" ref="R466:R467" si="138">N466/M466</f>
        <v>#DIV/0!</v>
      </c>
      <c r="S466" s="7"/>
      <c r="T466" s="7"/>
      <c r="U466" s="7"/>
      <c r="V466" s="7"/>
      <c r="W466" s="7"/>
    </row>
    <row r="467" spans="1:23">
      <c r="A467" s="6">
        <v>46138</v>
      </c>
      <c r="B467" s="7" t="s">
        <v>578</v>
      </c>
      <c r="C467" s="18" t="s">
        <v>598</v>
      </c>
      <c r="D467" s="18" t="s">
        <v>510</v>
      </c>
      <c r="E467" s="18" t="s">
        <v>309</v>
      </c>
      <c r="F467" s="18" t="s">
        <v>509</v>
      </c>
      <c r="G467" s="18" t="s">
        <v>85</v>
      </c>
      <c r="H467" s="18" t="s">
        <v>106</v>
      </c>
      <c r="I467" s="47"/>
      <c r="J467" s="18" t="s">
        <v>309</v>
      </c>
      <c r="K467" s="18" t="s">
        <v>106</v>
      </c>
      <c r="L467" s="7">
        <v>750</v>
      </c>
      <c r="M467" s="7">
        <v>8</v>
      </c>
      <c r="N467" s="7">
        <v>2</v>
      </c>
      <c r="O467" s="7">
        <v>0</v>
      </c>
      <c r="P467" s="7">
        <v>5</v>
      </c>
      <c r="Q467" s="69">
        <f t="shared" si="137"/>
        <v>1.0666666666666666E-2</v>
      </c>
      <c r="R467" s="69">
        <f t="shared" si="138"/>
        <v>0.25</v>
      </c>
      <c r="S467" s="7"/>
      <c r="T467" s="7"/>
      <c r="U467" s="7"/>
      <c r="V467" s="7"/>
      <c r="W467" s="7"/>
    </row>
    <row r="468" spans="1:23">
      <c r="A468" s="6">
        <v>46138</v>
      </c>
      <c r="B468" s="7" t="s">
        <v>578</v>
      </c>
      <c r="C468" s="18" t="s">
        <v>605</v>
      </c>
      <c r="D468" s="18" t="s">
        <v>604</v>
      </c>
      <c r="E468" s="18" t="s">
        <v>309</v>
      </c>
      <c r="F468" s="18" t="s">
        <v>603</v>
      </c>
      <c r="G468" s="18" t="s">
        <v>85</v>
      </c>
      <c r="H468" s="18" t="s">
        <v>106</v>
      </c>
      <c r="I468" s="29"/>
      <c r="J468" s="18"/>
      <c r="K468" s="18"/>
      <c r="L468" s="7"/>
      <c r="M468" s="7"/>
      <c r="N468" s="7"/>
      <c r="O468" s="7"/>
      <c r="P468" s="7"/>
      <c r="Q468" s="69"/>
      <c r="R468" s="69"/>
      <c r="S468" s="7"/>
      <c r="T468" s="7"/>
      <c r="U468" s="7"/>
      <c r="V468" s="7"/>
      <c r="W468" s="7"/>
    </row>
    <row r="469" spans="1:23">
      <c r="A469" s="6">
        <v>46138</v>
      </c>
      <c r="B469" s="7" t="s">
        <v>578</v>
      </c>
      <c r="C469" s="62">
        <v>0.79166666666666663</v>
      </c>
      <c r="D469" s="77" t="s">
        <v>656</v>
      </c>
      <c r="E469" s="77" t="s">
        <v>309</v>
      </c>
      <c r="F469" s="77" t="s">
        <v>527</v>
      </c>
      <c r="G469" s="77" t="s">
        <v>85</v>
      </c>
      <c r="H469" s="77" t="s">
        <v>380</v>
      </c>
      <c r="I469" s="84"/>
      <c r="J469" s="77" t="s">
        <v>309</v>
      </c>
      <c r="K469" s="77" t="s">
        <v>380</v>
      </c>
      <c r="L469" s="7">
        <v>3718</v>
      </c>
      <c r="M469" s="7">
        <v>30</v>
      </c>
      <c r="N469" s="7">
        <v>7</v>
      </c>
      <c r="O469" s="7">
        <v>0</v>
      </c>
      <c r="P469" s="7">
        <v>2</v>
      </c>
      <c r="Q469" s="69">
        <f t="shared" ref="Q469:Q474" si="139">M469/L469</f>
        <v>8.0688542227003758E-3</v>
      </c>
      <c r="R469" s="69">
        <f t="shared" ref="R469:R474" si="140">N469/M469</f>
        <v>0.23333333333333334</v>
      </c>
      <c r="S469" s="7"/>
      <c r="T469" s="7"/>
      <c r="U469" s="7"/>
      <c r="V469" s="7"/>
      <c r="W469" s="7"/>
    </row>
    <row r="470" spans="1:23">
      <c r="A470" s="6">
        <v>46138</v>
      </c>
      <c r="B470" s="7" t="s">
        <v>578</v>
      </c>
      <c r="C470" s="62">
        <v>0.80208333333333337</v>
      </c>
      <c r="D470" s="77" t="s">
        <v>657</v>
      </c>
      <c r="E470" s="77" t="s">
        <v>309</v>
      </c>
      <c r="F470" s="77" t="s">
        <v>529</v>
      </c>
      <c r="G470" s="77" t="s">
        <v>85</v>
      </c>
      <c r="H470" s="77" t="s">
        <v>383</v>
      </c>
      <c r="I470" s="84"/>
      <c r="J470" s="77" t="s">
        <v>309</v>
      </c>
      <c r="K470" s="77" t="s">
        <v>383</v>
      </c>
      <c r="L470" s="7">
        <v>1646</v>
      </c>
      <c r="M470" s="7">
        <v>7</v>
      </c>
      <c r="N470" s="7">
        <v>2</v>
      </c>
      <c r="O470" s="7">
        <v>0</v>
      </c>
      <c r="P470" s="7">
        <v>0</v>
      </c>
      <c r="Q470" s="69">
        <f t="shared" si="139"/>
        <v>4.2527339003645198E-3</v>
      </c>
      <c r="R470" s="69">
        <f t="shared" si="140"/>
        <v>0.2857142857142857</v>
      </c>
      <c r="S470" s="7"/>
      <c r="T470" s="7"/>
      <c r="U470" s="7"/>
      <c r="V470" s="7"/>
      <c r="W470" s="7"/>
    </row>
    <row r="471" spans="1:23">
      <c r="A471" s="6">
        <v>46138</v>
      </c>
      <c r="B471" s="7" t="s">
        <v>578</v>
      </c>
      <c r="C471" s="62">
        <v>0.77083333333333337</v>
      </c>
      <c r="D471" s="77" t="s">
        <v>658</v>
      </c>
      <c r="E471" s="77" t="s">
        <v>309</v>
      </c>
      <c r="F471" s="77" t="s">
        <v>531</v>
      </c>
      <c r="G471" s="77" t="s">
        <v>85</v>
      </c>
      <c r="H471" s="7" t="s">
        <v>350</v>
      </c>
      <c r="I471" s="84"/>
      <c r="J471" s="77" t="s">
        <v>309</v>
      </c>
      <c r="K471" s="7" t="s">
        <v>350</v>
      </c>
      <c r="L471" s="7">
        <v>5579</v>
      </c>
      <c r="M471" s="7">
        <v>23</v>
      </c>
      <c r="N471" s="7">
        <v>6</v>
      </c>
      <c r="O471" s="7">
        <v>0</v>
      </c>
      <c r="P471" s="7">
        <v>2</v>
      </c>
      <c r="Q471" s="69">
        <f t="shared" si="139"/>
        <v>4.1226026169564438E-3</v>
      </c>
      <c r="R471" s="69">
        <f t="shared" si="140"/>
        <v>0.2608695652173913</v>
      </c>
      <c r="S471" s="7"/>
      <c r="T471" s="7"/>
      <c r="U471" s="7"/>
      <c r="V471" s="7"/>
      <c r="W471" s="7"/>
    </row>
    <row r="472" spans="1:23">
      <c r="A472" s="6">
        <v>46138</v>
      </c>
      <c r="B472" s="7" t="s">
        <v>578</v>
      </c>
      <c r="C472" s="62">
        <v>0.8125</v>
      </c>
      <c r="D472" s="77" t="s">
        <v>659</v>
      </c>
      <c r="E472" s="77" t="s">
        <v>309</v>
      </c>
      <c r="F472" s="77" t="s">
        <v>533</v>
      </c>
      <c r="G472" s="77" t="s">
        <v>85</v>
      </c>
      <c r="H472" s="7" t="s">
        <v>351</v>
      </c>
      <c r="I472" s="84"/>
      <c r="J472" s="77" t="s">
        <v>309</v>
      </c>
      <c r="K472" s="7" t="s">
        <v>351</v>
      </c>
      <c r="L472" s="7">
        <v>3282</v>
      </c>
      <c r="M472" s="7">
        <v>13</v>
      </c>
      <c r="N472" s="7">
        <v>7</v>
      </c>
      <c r="O472" s="7">
        <v>2</v>
      </c>
      <c r="P472" s="7">
        <v>0</v>
      </c>
      <c r="Q472" s="69">
        <f t="shared" si="139"/>
        <v>3.9609993906154781E-3</v>
      </c>
      <c r="R472" s="69">
        <f t="shared" si="140"/>
        <v>0.53846153846153844</v>
      </c>
      <c r="S472" s="7"/>
      <c r="T472" s="7"/>
      <c r="U472" s="7"/>
      <c r="V472" s="7"/>
      <c r="W472" s="7"/>
    </row>
    <row r="473" spans="1:23">
      <c r="A473" s="6">
        <v>46138</v>
      </c>
      <c r="B473" s="7" t="s">
        <v>578</v>
      </c>
      <c r="C473" s="62">
        <v>0.85416666666666663</v>
      </c>
      <c r="D473" s="88" t="s">
        <v>660</v>
      </c>
      <c r="E473" s="88" t="s">
        <v>309</v>
      </c>
      <c r="F473" s="88" t="s">
        <v>539</v>
      </c>
      <c r="G473" s="7" t="s">
        <v>85</v>
      </c>
      <c r="H473" s="7" t="s">
        <v>210</v>
      </c>
      <c r="I473" s="29"/>
      <c r="J473" s="7" t="s">
        <v>309</v>
      </c>
      <c r="K473" s="7" t="s">
        <v>210</v>
      </c>
      <c r="L473" s="7">
        <v>798</v>
      </c>
      <c r="M473" s="7">
        <v>28</v>
      </c>
      <c r="N473" s="7">
        <v>18</v>
      </c>
      <c r="O473" s="7">
        <v>0</v>
      </c>
      <c r="P473" s="7">
        <v>0</v>
      </c>
      <c r="Q473" s="69">
        <f t="shared" si="139"/>
        <v>3.5087719298245612E-2</v>
      </c>
      <c r="R473" s="69">
        <f t="shared" si="140"/>
        <v>0.6428571428571429</v>
      </c>
      <c r="S473" s="7"/>
      <c r="T473" s="7"/>
      <c r="U473" s="7"/>
      <c r="V473" s="7"/>
      <c r="W473" s="7"/>
    </row>
    <row r="474" spans="1:23" ht="16.8">
      <c r="A474" s="6">
        <v>46138</v>
      </c>
      <c r="B474" s="7" t="s">
        <v>578</v>
      </c>
      <c r="C474" s="91">
        <v>0.96875</v>
      </c>
      <c r="D474" s="86" t="s">
        <v>661</v>
      </c>
      <c r="E474" s="7" t="s">
        <v>309</v>
      </c>
      <c r="F474" s="86" t="s">
        <v>512</v>
      </c>
      <c r="G474" s="7" t="s">
        <v>85</v>
      </c>
      <c r="H474" s="52" t="s">
        <v>157</v>
      </c>
      <c r="I474" s="98"/>
      <c r="J474" s="7" t="s">
        <v>309</v>
      </c>
      <c r="K474" s="52" t="s">
        <v>157</v>
      </c>
      <c r="L474" s="86">
        <v>675</v>
      </c>
      <c r="M474" s="86">
        <v>33</v>
      </c>
      <c r="N474" s="86">
        <v>12</v>
      </c>
      <c r="O474" s="86">
        <v>2</v>
      </c>
      <c r="P474" s="86">
        <v>0</v>
      </c>
      <c r="Q474" s="69">
        <f t="shared" si="139"/>
        <v>4.8888888888888891E-2</v>
      </c>
      <c r="R474" s="69">
        <f t="shared" si="140"/>
        <v>0.36363636363636365</v>
      </c>
      <c r="S474" s="86"/>
      <c r="T474" s="86"/>
      <c r="U474" s="86"/>
      <c r="V474" s="86"/>
      <c r="W474" s="87"/>
    </row>
    <row r="475" spans="1:23" ht="6.6" customHeight="1">
      <c r="A475" s="22"/>
      <c r="B475" s="23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5"/>
      <c r="R475" s="25"/>
      <c r="S475" s="24"/>
      <c r="T475" s="24"/>
      <c r="U475" s="24"/>
      <c r="V475" s="25"/>
      <c r="W475" s="26"/>
    </row>
    <row r="476" spans="1:23">
      <c r="A476" s="6">
        <v>46139</v>
      </c>
      <c r="B476" s="7" t="s">
        <v>301</v>
      </c>
      <c r="C476" s="18" t="s">
        <v>589</v>
      </c>
      <c r="D476" s="18" t="s">
        <v>185</v>
      </c>
      <c r="E476" s="18" t="s">
        <v>252</v>
      </c>
      <c r="F476" s="18" t="s">
        <v>110</v>
      </c>
      <c r="G476" s="18"/>
      <c r="H476" s="18" t="s">
        <v>106</v>
      </c>
      <c r="I476" s="47"/>
      <c r="J476" s="18" t="s">
        <v>34</v>
      </c>
      <c r="K476" s="18" t="s">
        <v>106</v>
      </c>
      <c r="L476" s="112">
        <v>777</v>
      </c>
      <c r="M476" s="112">
        <v>14</v>
      </c>
      <c r="N476" s="112">
        <v>8</v>
      </c>
      <c r="O476" s="112">
        <v>6</v>
      </c>
      <c r="P476" s="112">
        <v>0</v>
      </c>
      <c r="Q476" s="69">
        <f t="shared" ref="Q476:Q489" si="141">M476/L476</f>
        <v>1.8018018018018018E-2</v>
      </c>
      <c r="R476" s="69">
        <f t="shared" ref="R476:R489" si="142">N476/M476</f>
        <v>0.5714285714285714</v>
      </c>
      <c r="S476" s="7"/>
      <c r="T476" s="112"/>
      <c r="U476" s="112"/>
      <c r="V476" s="112"/>
      <c r="W476" s="7"/>
    </row>
    <row r="477" spans="1:23">
      <c r="A477" s="6">
        <v>46139</v>
      </c>
      <c r="B477" s="7" t="s">
        <v>301</v>
      </c>
      <c r="C477" s="18" t="s">
        <v>590</v>
      </c>
      <c r="D477" s="18" t="s">
        <v>580</v>
      </c>
      <c r="E477" s="18" t="s">
        <v>252</v>
      </c>
      <c r="F477" s="18" t="s">
        <v>579</v>
      </c>
      <c r="G477" s="18"/>
      <c r="H477" s="18" t="s">
        <v>106</v>
      </c>
      <c r="I477" s="47"/>
      <c r="J477" s="18" t="s">
        <v>34</v>
      </c>
      <c r="K477" s="18" t="s">
        <v>106</v>
      </c>
      <c r="L477" s="112"/>
      <c r="M477" s="112"/>
      <c r="N477" s="112"/>
      <c r="O477" s="112"/>
      <c r="P477" s="112"/>
      <c r="Q477" s="69" t="e">
        <f t="shared" si="141"/>
        <v>#DIV/0!</v>
      </c>
      <c r="R477" s="69" t="e">
        <f t="shared" si="142"/>
        <v>#DIV/0!</v>
      </c>
      <c r="S477" s="7"/>
      <c r="T477" s="112"/>
      <c r="U477" s="112"/>
      <c r="V477" s="112"/>
      <c r="W477" s="7"/>
    </row>
    <row r="478" spans="1:23">
      <c r="A478" s="6">
        <v>46139</v>
      </c>
      <c r="B478" s="7" t="s">
        <v>301</v>
      </c>
      <c r="C478" s="18"/>
      <c r="D478" s="18" t="s">
        <v>144</v>
      </c>
      <c r="E478" s="18" t="s">
        <v>252</v>
      </c>
      <c r="F478" s="18" t="s">
        <v>145</v>
      </c>
      <c r="G478" s="18"/>
      <c r="H478" s="18" t="s">
        <v>157</v>
      </c>
      <c r="I478" s="47"/>
      <c r="J478" s="18" t="s">
        <v>34</v>
      </c>
      <c r="K478" s="18" t="s">
        <v>157</v>
      </c>
      <c r="L478" s="112">
        <v>4019</v>
      </c>
      <c r="M478" s="112">
        <v>3212</v>
      </c>
      <c r="N478" s="112">
        <v>2644</v>
      </c>
      <c r="O478" s="112">
        <v>5</v>
      </c>
      <c r="P478" s="112">
        <v>0</v>
      </c>
      <c r="Q478" s="69">
        <f t="shared" si="141"/>
        <v>0.79920378203533216</v>
      </c>
      <c r="R478" s="69">
        <f t="shared" si="142"/>
        <v>0.82316313823163134</v>
      </c>
      <c r="S478" s="7"/>
      <c r="T478" s="112"/>
      <c r="U478" s="112"/>
      <c r="V478" s="112"/>
      <c r="W478" s="7"/>
    </row>
    <row r="479" spans="1:23">
      <c r="A479" s="6">
        <v>46139</v>
      </c>
      <c r="B479" s="7" t="s">
        <v>301</v>
      </c>
      <c r="C479" s="18"/>
      <c r="D479" s="18" t="s">
        <v>146</v>
      </c>
      <c r="E479" s="18" t="s">
        <v>252</v>
      </c>
      <c r="F479" s="18" t="s">
        <v>147</v>
      </c>
      <c r="G479" s="18"/>
      <c r="H479" s="18" t="s">
        <v>149</v>
      </c>
      <c r="I479" s="47"/>
      <c r="J479" s="18" t="s">
        <v>34</v>
      </c>
      <c r="K479" s="18" t="s">
        <v>149</v>
      </c>
      <c r="L479" s="112">
        <v>3996</v>
      </c>
      <c r="M479" s="112">
        <v>3259</v>
      </c>
      <c r="N479" s="112">
        <v>2597</v>
      </c>
      <c r="O479" s="112">
        <v>4</v>
      </c>
      <c r="P479" s="112">
        <v>0</v>
      </c>
      <c r="Q479" s="69">
        <f t="shared" si="141"/>
        <v>0.81556556556556559</v>
      </c>
      <c r="R479" s="69">
        <f t="shared" si="142"/>
        <v>0.79687020558453514</v>
      </c>
      <c r="S479" s="7"/>
      <c r="T479" s="7"/>
      <c r="U479" s="7"/>
      <c r="V479" s="7"/>
      <c r="W479" s="7"/>
    </row>
    <row r="480" spans="1:23">
      <c r="A480" s="6">
        <v>46139</v>
      </c>
      <c r="B480" s="7" t="s">
        <v>301</v>
      </c>
      <c r="C480" s="18" t="s">
        <v>589</v>
      </c>
      <c r="D480" s="18" t="s">
        <v>187</v>
      </c>
      <c r="E480" s="18" t="s">
        <v>252</v>
      </c>
      <c r="F480" s="18" t="s">
        <v>188</v>
      </c>
      <c r="G480" s="18"/>
      <c r="H480" s="18" t="s">
        <v>186</v>
      </c>
      <c r="I480" s="47"/>
      <c r="J480" s="18" t="s">
        <v>34</v>
      </c>
      <c r="K480" s="18" t="s">
        <v>186</v>
      </c>
      <c r="L480" s="112">
        <v>1926</v>
      </c>
      <c r="M480" s="112">
        <v>13</v>
      </c>
      <c r="N480" s="112">
        <v>2</v>
      </c>
      <c r="O480" s="112">
        <v>0</v>
      </c>
      <c r="P480" s="112">
        <v>0</v>
      </c>
      <c r="Q480" s="69">
        <f t="shared" si="141"/>
        <v>6.7497403946002073E-3</v>
      </c>
      <c r="R480" s="69">
        <f t="shared" si="142"/>
        <v>0.15384615384615385</v>
      </c>
      <c r="S480" s="7"/>
      <c r="T480" s="7"/>
      <c r="U480" s="7"/>
      <c r="V480" s="7"/>
      <c r="W480" s="7"/>
    </row>
    <row r="481" spans="1:23">
      <c r="A481" s="6">
        <v>46139</v>
      </c>
      <c r="B481" s="7" t="s">
        <v>301</v>
      </c>
      <c r="C481" s="18" t="s">
        <v>590</v>
      </c>
      <c r="D481" s="18" t="s">
        <v>580</v>
      </c>
      <c r="E481" s="18" t="s">
        <v>252</v>
      </c>
      <c r="F481" s="18" t="s">
        <v>579</v>
      </c>
      <c r="G481" s="18"/>
      <c r="H481" s="18" t="s">
        <v>186</v>
      </c>
      <c r="I481" s="47"/>
      <c r="J481" s="18" t="s">
        <v>34</v>
      </c>
      <c r="K481" s="18" t="s">
        <v>186</v>
      </c>
      <c r="L481" s="112"/>
      <c r="M481" s="112"/>
      <c r="N481" s="112"/>
      <c r="O481" s="112"/>
      <c r="P481" s="112"/>
      <c r="Q481" s="69" t="e">
        <f t="shared" si="141"/>
        <v>#DIV/0!</v>
      </c>
      <c r="R481" s="69" t="e">
        <f t="shared" si="142"/>
        <v>#DIV/0!</v>
      </c>
      <c r="S481" s="7"/>
      <c r="T481" s="7"/>
      <c r="U481" s="7"/>
      <c r="V481" s="7"/>
      <c r="W481" s="7"/>
    </row>
    <row r="482" spans="1:23">
      <c r="A482" s="6">
        <v>46139</v>
      </c>
      <c r="B482" s="7" t="s">
        <v>301</v>
      </c>
      <c r="C482" s="7"/>
      <c r="D482" s="7" t="s">
        <v>695</v>
      </c>
      <c r="E482" s="7" t="s">
        <v>252</v>
      </c>
      <c r="F482" s="7"/>
      <c r="G482" s="7"/>
      <c r="H482" s="7" t="s">
        <v>170</v>
      </c>
      <c r="I482" s="47"/>
      <c r="J482" s="7" t="s">
        <v>34</v>
      </c>
      <c r="K482" s="7" t="s">
        <v>170</v>
      </c>
      <c r="L482" s="112">
        <v>2997</v>
      </c>
      <c r="M482" s="112">
        <v>2864</v>
      </c>
      <c r="N482" s="112">
        <v>2134</v>
      </c>
      <c r="O482" s="112">
        <v>0</v>
      </c>
      <c r="P482" s="112">
        <v>4</v>
      </c>
      <c r="Q482" s="69">
        <f t="shared" si="141"/>
        <v>0.95562228895562229</v>
      </c>
      <c r="R482" s="69">
        <f t="shared" si="142"/>
        <v>0.74511173184357538</v>
      </c>
      <c r="S482" s="7"/>
      <c r="T482" s="7"/>
      <c r="U482" s="7"/>
      <c r="V482" s="7"/>
      <c r="W482" s="7"/>
    </row>
    <row r="483" spans="1:23">
      <c r="A483" s="6">
        <v>46139</v>
      </c>
      <c r="B483" s="7" t="s">
        <v>301</v>
      </c>
      <c r="C483" s="7"/>
      <c r="D483" s="100" t="s">
        <v>696</v>
      </c>
      <c r="E483" s="7" t="s">
        <v>252</v>
      </c>
      <c r="F483" s="7"/>
      <c r="G483" s="7"/>
      <c r="H483" s="7" t="s">
        <v>170</v>
      </c>
      <c r="I483" s="84"/>
      <c r="J483" s="7" t="s">
        <v>34</v>
      </c>
      <c r="K483" s="7" t="s">
        <v>170</v>
      </c>
      <c r="L483" s="112">
        <v>2997</v>
      </c>
      <c r="M483" s="112">
        <v>2868</v>
      </c>
      <c r="N483" s="112">
        <v>1966</v>
      </c>
      <c r="O483" s="112">
        <v>0</v>
      </c>
      <c r="P483" s="112">
        <v>4</v>
      </c>
      <c r="Q483" s="69">
        <f t="shared" si="141"/>
        <v>0.95695695695695693</v>
      </c>
      <c r="R483" s="69">
        <f t="shared" si="142"/>
        <v>0.68549511854951184</v>
      </c>
      <c r="S483" s="7"/>
      <c r="T483" s="7"/>
      <c r="U483" s="7"/>
      <c r="V483" s="7"/>
      <c r="W483" s="7"/>
    </row>
    <row r="484" spans="1:23">
      <c r="A484" s="6">
        <v>46139</v>
      </c>
      <c r="B484" s="7" t="s">
        <v>301</v>
      </c>
      <c r="C484" s="7"/>
      <c r="D484" s="100" t="s">
        <v>666</v>
      </c>
      <c r="E484" s="7" t="s">
        <v>252</v>
      </c>
      <c r="F484" s="7"/>
      <c r="G484" s="7"/>
      <c r="H484" s="7" t="s">
        <v>170</v>
      </c>
      <c r="I484" s="84"/>
      <c r="J484" s="7" t="s">
        <v>34</v>
      </c>
      <c r="K484" s="7" t="s">
        <v>170</v>
      </c>
      <c r="L484" s="112">
        <v>349</v>
      </c>
      <c r="M484" s="112">
        <v>339</v>
      </c>
      <c r="N484" s="112">
        <v>260</v>
      </c>
      <c r="O484" s="112">
        <v>0</v>
      </c>
      <c r="P484" s="112">
        <v>1</v>
      </c>
      <c r="Q484" s="69">
        <f t="shared" si="141"/>
        <v>0.97134670487106012</v>
      </c>
      <c r="R484" s="69">
        <f t="shared" si="142"/>
        <v>0.76696165191740417</v>
      </c>
      <c r="S484" s="7"/>
      <c r="T484" s="7"/>
      <c r="U484" s="7"/>
      <c r="V484" s="7"/>
      <c r="W484" s="7"/>
    </row>
    <row r="485" spans="1:23">
      <c r="A485" s="6">
        <v>46139</v>
      </c>
      <c r="B485" s="7" t="s">
        <v>301</v>
      </c>
      <c r="C485" s="62">
        <v>0.9375</v>
      </c>
      <c r="D485" s="31" t="s">
        <v>687</v>
      </c>
      <c r="E485" s="7" t="s">
        <v>252</v>
      </c>
      <c r="F485" s="7" t="s">
        <v>688</v>
      </c>
      <c r="G485" s="7"/>
      <c r="H485" s="7" t="s">
        <v>149</v>
      </c>
      <c r="I485" s="47" t="s">
        <v>228</v>
      </c>
      <c r="J485" s="7" t="s">
        <v>34</v>
      </c>
      <c r="K485" s="7" t="s">
        <v>149</v>
      </c>
      <c r="L485" s="112">
        <v>1095</v>
      </c>
      <c r="M485" s="112">
        <v>795</v>
      </c>
      <c r="N485" s="112">
        <v>561</v>
      </c>
      <c r="O485" s="112">
        <v>2</v>
      </c>
      <c r="P485" s="112">
        <v>0</v>
      </c>
      <c r="Q485" s="69">
        <f t="shared" si="141"/>
        <v>0.72602739726027399</v>
      </c>
      <c r="R485" s="69">
        <f t="shared" si="142"/>
        <v>0.70566037735849052</v>
      </c>
      <c r="S485" s="7"/>
      <c r="T485" s="7"/>
      <c r="U485" s="7"/>
      <c r="V485" s="7"/>
      <c r="W485" s="7"/>
    </row>
    <row r="486" spans="1:23" ht="16.8">
      <c r="A486" s="6">
        <v>46139</v>
      </c>
      <c r="B486" s="7" t="s">
        <v>301</v>
      </c>
      <c r="C486" s="62">
        <v>0.95833333333333337</v>
      </c>
      <c r="D486" s="31" t="s">
        <v>689</v>
      </c>
      <c r="E486" s="7" t="s">
        <v>252</v>
      </c>
      <c r="F486" s="7" t="s">
        <v>690</v>
      </c>
      <c r="G486" s="7"/>
      <c r="H486" s="52" t="s">
        <v>157</v>
      </c>
      <c r="I486" s="47" t="s">
        <v>228</v>
      </c>
      <c r="J486" s="7" t="s">
        <v>34</v>
      </c>
      <c r="K486" s="52" t="s">
        <v>157</v>
      </c>
      <c r="L486" s="112">
        <v>2598</v>
      </c>
      <c r="M486" s="112">
        <v>1944</v>
      </c>
      <c r="N486" s="112">
        <v>1438</v>
      </c>
      <c r="O486" s="112">
        <v>2</v>
      </c>
      <c r="P486" s="112">
        <v>0</v>
      </c>
      <c r="Q486" s="69">
        <f t="shared" si="141"/>
        <v>0.74826789838337182</v>
      </c>
      <c r="R486" s="69">
        <f t="shared" si="142"/>
        <v>0.73971193415637859</v>
      </c>
      <c r="S486" s="7"/>
      <c r="T486" s="7"/>
      <c r="U486" s="7"/>
      <c r="V486" s="7"/>
      <c r="W486" s="7"/>
    </row>
    <row r="487" spans="1:23" ht="16.8">
      <c r="A487" s="6">
        <v>46139</v>
      </c>
      <c r="B487" s="7" t="s">
        <v>301</v>
      </c>
      <c r="C487" s="62">
        <v>0.82291666666666663</v>
      </c>
      <c r="D487" s="31" t="s">
        <v>691</v>
      </c>
      <c r="E487" s="7" t="s">
        <v>252</v>
      </c>
      <c r="F487" s="31" t="s">
        <v>692</v>
      </c>
      <c r="G487" s="7"/>
      <c r="H487" s="52" t="s">
        <v>420</v>
      </c>
      <c r="I487" s="47" t="s">
        <v>228</v>
      </c>
      <c r="J487" s="7" t="s">
        <v>34</v>
      </c>
      <c r="K487" s="52" t="s">
        <v>420</v>
      </c>
      <c r="L487" s="112">
        <v>368</v>
      </c>
      <c r="M487" s="112">
        <v>100</v>
      </c>
      <c r="N487" s="112">
        <v>23</v>
      </c>
      <c r="O487" s="112">
        <v>4</v>
      </c>
      <c r="P487" s="112">
        <v>1</v>
      </c>
      <c r="Q487" s="69">
        <f t="shared" si="141"/>
        <v>0.27173913043478259</v>
      </c>
      <c r="R487" s="69">
        <f t="shared" si="142"/>
        <v>0.23</v>
      </c>
      <c r="S487" s="7"/>
      <c r="T487" s="7"/>
      <c r="U487" s="7"/>
      <c r="V487" s="7"/>
      <c r="W487" s="7"/>
    </row>
    <row r="488" spans="1:23">
      <c r="A488" s="6">
        <v>46139</v>
      </c>
      <c r="B488" s="7" t="s">
        <v>301</v>
      </c>
      <c r="C488" s="62">
        <v>0.79166666666666663</v>
      </c>
      <c r="D488" s="7" t="s">
        <v>693</v>
      </c>
      <c r="E488" s="7" t="s">
        <v>252</v>
      </c>
      <c r="F488" s="7" t="s">
        <v>688</v>
      </c>
      <c r="G488" s="7"/>
      <c r="H488" s="7" t="s">
        <v>121</v>
      </c>
      <c r="I488" s="47"/>
      <c r="J488" s="7" t="s">
        <v>34</v>
      </c>
      <c r="K488" s="7" t="s">
        <v>121</v>
      </c>
      <c r="L488" s="112">
        <v>348</v>
      </c>
      <c r="M488" s="112">
        <v>25</v>
      </c>
      <c r="N488" s="112">
        <v>19</v>
      </c>
      <c r="O488" s="112">
        <v>0</v>
      </c>
      <c r="P488" s="112">
        <v>0</v>
      </c>
      <c r="Q488" s="69">
        <f t="shared" si="141"/>
        <v>7.183908045977011E-2</v>
      </c>
      <c r="R488" s="69">
        <f t="shared" si="142"/>
        <v>0.76</v>
      </c>
      <c r="S488" s="7"/>
      <c r="T488" s="7"/>
      <c r="U488" s="7"/>
      <c r="V488" s="7"/>
      <c r="W488" s="7"/>
    </row>
    <row r="489" spans="1:23" ht="16.8">
      <c r="A489" s="6">
        <v>46139</v>
      </c>
      <c r="B489" s="7" t="s">
        <v>301</v>
      </c>
      <c r="C489" s="64">
        <v>0.85416666666666663</v>
      </c>
      <c r="D489" s="7" t="s">
        <v>694</v>
      </c>
      <c r="E489" s="7" t="s">
        <v>252</v>
      </c>
      <c r="F489" s="7" t="s">
        <v>690</v>
      </c>
      <c r="G489" s="35"/>
      <c r="H489" s="53" t="s">
        <v>210</v>
      </c>
      <c r="I489" s="47"/>
      <c r="J489" s="35" t="s">
        <v>34</v>
      </c>
      <c r="K489" s="53" t="s">
        <v>210</v>
      </c>
      <c r="L489" s="112">
        <v>861</v>
      </c>
      <c r="M489" s="112">
        <v>34</v>
      </c>
      <c r="N489" s="112">
        <v>17</v>
      </c>
      <c r="O489" s="112">
        <v>0</v>
      </c>
      <c r="P489" s="112">
        <v>0</v>
      </c>
      <c r="Q489" s="94">
        <f t="shared" si="141"/>
        <v>3.9488966318234613E-2</v>
      </c>
      <c r="R489" s="94">
        <f t="shared" si="142"/>
        <v>0.5</v>
      </c>
      <c r="S489" s="35"/>
      <c r="T489" s="35"/>
      <c r="U489" s="35"/>
      <c r="V489" s="35"/>
      <c r="W489" s="35"/>
    </row>
    <row r="490" spans="1:23" ht="16.8">
      <c r="A490" s="85"/>
      <c r="B490" s="86"/>
      <c r="C490" s="91"/>
      <c r="D490" s="92"/>
      <c r="E490" s="86"/>
      <c r="F490" s="86"/>
      <c r="G490" s="86"/>
      <c r="H490" s="86"/>
      <c r="I490" s="86"/>
      <c r="J490" s="86"/>
      <c r="K490" s="93"/>
      <c r="L490" s="86"/>
      <c r="M490" s="86"/>
      <c r="N490" s="86"/>
      <c r="O490" s="86"/>
      <c r="P490" s="86"/>
      <c r="Q490" s="89"/>
      <c r="R490" s="89"/>
      <c r="S490" s="86"/>
      <c r="T490" s="86"/>
      <c r="U490" s="86"/>
      <c r="V490" s="86"/>
      <c r="W490" s="87"/>
    </row>
    <row r="491" spans="1:23">
      <c r="A491" s="6">
        <v>46139</v>
      </c>
      <c r="B491" s="7" t="s">
        <v>301</v>
      </c>
      <c r="C491" s="18" t="s">
        <v>591</v>
      </c>
      <c r="D491" s="18" t="s">
        <v>108</v>
      </c>
      <c r="E491" s="18" t="s">
        <v>35</v>
      </c>
      <c r="F491" s="18" t="s">
        <v>115</v>
      </c>
      <c r="G491" s="18"/>
      <c r="H491" s="18" t="s">
        <v>106</v>
      </c>
      <c r="I491" s="14"/>
      <c r="J491" s="18" t="s">
        <v>35</v>
      </c>
      <c r="K491" s="18" t="s">
        <v>106</v>
      </c>
      <c r="L491" s="7">
        <v>777</v>
      </c>
      <c r="M491" s="7">
        <v>14</v>
      </c>
      <c r="N491" s="7">
        <v>1</v>
      </c>
      <c r="O491" s="7">
        <v>4</v>
      </c>
      <c r="P491" s="7">
        <v>0</v>
      </c>
      <c r="Q491" s="69">
        <f t="shared" ref="Q491" si="143">M491/L491</f>
        <v>1.8018018018018018E-2</v>
      </c>
      <c r="R491" s="69">
        <f t="shared" ref="R491" si="144">N491/M491</f>
        <v>7.1428571428571425E-2</v>
      </c>
      <c r="S491" s="7"/>
      <c r="T491" s="7"/>
      <c r="U491" s="7"/>
      <c r="V491" s="7"/>
      <c r="W491" s="7"/>
    </row>
    <row r="492" spans="1:23">
      <c r="A492" s="6">
        <v>46139</v>
      </c>
      <c r="B492" s="7" t="s">
        <v>301</v>
      </c>
      <c r="C492" s="18" t="s">
        <v>592</v>
      </c>
      <c r="D492" s="18" t="s">
        <v>587</v>
      </c>
      <c r="E492" s="18" t="s">
        <v>35</v>
      </c>
      <c r="F492" s="18" t="s">
        <v>588</v>
      </c>
      <c r="G492" s="18"/>
      <c r="H492" s="18" t="s">
        <v>106</v>
      </c>
      <c r="I492" s="29"/>
      <c r="J492" s="18" t="s">
        <v>35</v>
      </c>
      <c r="K492" s="18" t="s">
        <v>106</v>
      </c>
      <c r="L492" s="7"/>
      <c r="M492" s="7"/>
      <c r="N492" s="7"/>
      <c r="O492" s="7"/>
      <c r="P492" s="7"/>
      <c r="Q492" s="69" t="e">
        <f t="shared" ref="Q492:Q498" si="145">M492/L492</f>
        <v>#DIV/0!</v>
      </c>
      <c r="R492" s="69" t="e">
        <f t="shared" ref="R492:R498" si="146">N492/M492</f>
        <v>#DIV/0!</v>
      </c>
      <c r="S492" s="7"/>
      <c r="T492" s="7"/>
      <c r="U492" s="7"/>
      <c r="V492" s="7"/>
      <c r="W492" s="7"/>
    </row>
    <row r="493" spans="1:23">
      <c r="A493" s="6">
        <v>46139</v>
      </c>
      <c r="B493" s="7" t="s">
        <v>301</v>
      </c>
      <c r="C493" s="18"/>
      <c r="D493" s="18" t="s">
        <v>155</v>
      </c>
      <c r="E493" s="18" t="s">
        <v>35</v>
      </c>
      <c r="F493" s="18" t="s">
        <v>156</v>
      </c>
      <c r="G493" s="18"/>
      <c r="H493" s="18" t="s">
        <v>157</v>
      </c>
      <c r="I493" s="30"/>
      <c r="J493" s="18" t="s">
        <v>35</v>
      </c>
      <c r="K493" s="18" t="s">
        <v>157</v>
      </c>
      <c r="L493" s="7">
        <v>4015</v>
      </c>
      <c r="M493" s="7">
        <v>3921</v>
      </c>
      <c r="N493" s="7">
        <v>2566</v>
      </c>
      <c r="O493" s="7">
        <v>0</v>
      </c>
      <c r="P493" s="7">
        <v>0</v>
      </c>
      <c r="Q493" s="69">
        <f t="shared" si="145"/>
        <v>0.97658779576587795</v>
      </c>
      <c r="R493" s="69">
        <f t="shared" si="146"/>
        <v>0.6544248916092833</v>
      </c>
      <c r="S493" s="7"/>
      <c r="T493" s="7"/>
      <c r="U493" s="7"/>
      <c r="V493" s="7"/>
      <c r="W493" s="7"/>
    </row>
    <row r="494" spans="1:23">
      <c r="A494" s="6">
        <v>46139</v>
      </c>
      <c r="B494" s="7" t="s">
        <v>301</v>
      </c>
      <c r="C494" s="18"/>
      <c r="D494" s="18" t="s">
        <v>158</v>
      </c>
      <c r="E494" s="18" t="s">
        <v>35</v>
      </c>
      <c r="F494" s="18" t="s">
        <v>159</v>
      </c>
      <c r="G494" s="18"/>
      <c r="H494" s="18" t="s">
        <v>149</v>
      </c>
      <c r="I494" s="30"/>
      <c r="J494" s="18" t="s">
        <v>35</v>
      </c>
      <c r="K494" s="18" t="s">
        <v>149</v>
      </c>
      <c r="L494" s="7">
        <v>3992</v>
      </c>
      <c r="M494" s="7">
        <v>3651</v>
      </c>
      <c r="N494" s="7">
        <v>2679</v>
      </c>
      <c r="O494" s="7">
        <v>0</v>
      </c>
      <c r="P494" s="7">
        <v>0</v>
      </c>
      <c r="Q494" s="69">
        <f t="shared" si="145"/>
        <v>0.91457915831663328</v>
      </c>
      <c r="R494" s="69">
        <f t="shared" si="146"/>
        <v>0.73377156943303201</v>
      </c>
      <c r="S494" s="7"/>
      <c r="T494" s="7"/>
      <c r="U494" s="7"/>
      <c r="V494" s="7"/>
      <c r="W494" s="7"/>
    </row>
    <row r="495" spans="1:23">
      <c r="A495" s="6">
        <v>46139</v>
      </c>
      <c r="B495" s="7" t="s">
        <v>301</v>
      </c>
      <c r="C495" s="18" t="s">
        <v>591</v>
      </c>
      <c r="D495" s="18" t="s">
        <v>189</v>
      </c>
      <c r="E495" s="18" t="s">
        <v>35</v>
      </c>
      <c r="F495" s="18"/>
      <c r="G495" s="18"/>
      <c r="H495" s="18" t="s">
        <v>186</v>
      </c>
      <c r="I495" s="30"/>
      <c r="J495" s="18" t="s">
        <v>35</v>
      </c>
      <c r="K495" s="18" t="s">
        <v>186</v>
      </c>
      <c r="L495" s="7">
        <v>1936</v>
      </c>
      <c r="M495" s="7">
        <v>10</v>
      </c>
      <c r="N495" s="7">
        <v>0</v>
      </c>
      <c r="O495" s="7">
        <v>0</v>
      </c>
      <c r="P495" s="7">
        <v>0</v>
      </c>
      <c r="Q495" s="69">
        <f t="shared" si="145"/>
        <v>5.1652892561983473E-3</v>
      </c>
      <c r="R495" s="69">
        <f t="shared" si="146"/>
        <v>0</v>
      </c>
      <c r="S495" s="7"/>
      <c r="T495" s="7"/>
      <c r="U495" s="7"/>
      <c r="V495" s="7"/>
      <c r="W495" s="7"/>
    </row>
    <row r="496" spans="1:23">
      <c r="A496" s="6">
        <v>46139</v>
      </c>
      <c r="B496" s="7" t="s">
        <v>301</v>
      </c>
      <c r="C496" s="18" t="s">
        <v>592</v>
      </c>
      <c r="D496" s="18" t="s">
        <v>587</v>
      </c>
      <c r="E496" s="18" t="s">
        <v>35</v>
      </c>
      <c r="F496" s="18" t="s">
        <v>588</v>
      </c>
      <c r="G496" s="18"/>
      <c r="H496" s="18"/>
      <c r="I496" s="29"/>
      <c r="J496" s="18" t="s">
        <v>35</v>
      </c>
      <c r="K496" s="18" t="s">
        <v>186</v>
      </c>
      <c r="L496" s="7"/>
      <c r="M496" s="7"/>
      <c r="N496" s="7"/>
      <c r="O496" s="7"/>
      <c r="P496" s="7"/>
      <c r="Q496" s="69" t="e">
        <f t="shared" si="145"/>
        <v>#DIV/0!</v>
      </c>
      <c r="R496" s="69" t="e">
        <f t="shared" si="146"/>
        <v>#DIV/0!</v>
      </c>
      <c r="S496" s="7"/>
      <c r="T496" s="7"/>
      <c r="U496" s="7"/>
      <c r="V496" s="7"/>
      <c r="W496" s="7"/>
    </row>
    <row r="497" spans="1:23">
      <c r="A497" s="6">
        <v>46139</v>
      </c>
      <c r="B497" s="7" t="s">
        <v>301</v>
      </c>
      <c r="C497" s="7"/>
      <c r="D497" s="7" t="s">
        <v>697</v>
      </c>
      <c r="E497" s="7" t="s">
        <v>253</v>
      </c>
      <c r="F497" s="7"/>
      <c r="G497" s="7"/>
      <c r="H497" s="7" t="s">
        <v>170</v>
      </c>
      <c r="I497" s="14"/>
      <c r="J497" s="7" t="s">
        <v>35</v>
      </c>
      <c r="K497" s="7" t="s">
        <v>170</v>
      </c>
      <c r="L497" s="7">
        <v>3002</v>
      </c>
      <c r="M497" s="7">
        <v>2850</v>
      </c>
      <c r="N497" s="7">
        <v>1916</v>
      </c>
      <c r="O497" s="7">
        <v>0</v>
      </c>
      <c r="P497" s="7">
        <v>1</v>
      </c>
      <c r="Q497" s="69">
        <f t="shared" si="145"/>
        <v>0.94936708860759489</v>
      </c>
      <c r="R497" s="69">
        <f t="shared" si="146"/>
        <v>0.67228070175438592</v>
      </c>
      <c r="S497" s="7"/>
      <c r="T497" s="7"/>
      <c r="U497" s="7"/>
      <c r="V497" s="7"/>
      <c r="W497" s="7"/>
    </row>
    <row r="498" spans="1:23">
      <c r="A498" s="6">
        <v>46139</v>
      </c>
      <c r="B498" s="7" t="s">
        <v>301</v>
      </c>
      <c r="C498" s="7"/>
      <c r="D498" s="100" t="s">
        <v>698</v>
      </c>
      <c r="E498" s="7" t="s">
        <v>253</v>
      </c>
      <c r="F498" s="7"/>
      <c r="G498" s="7"/>
      <c r="H498" s="7" t="s">
        <v>170</v>
      </c>
      <c r="I498" s="84"/>
      <c r="J498" s="7" t="s">
        <v>35</v>
      </c>
      <c r="K498" s="7" t="s">
        <v>170</v>
      </c>
      <c r="L498" s="7">
        <v>3002</v>
      </c>
      <c r="M498" s="7">
        <v>2858</v>
      </c>
      <c r="N498" s="7">
        <v>1850</v>
      </c>
      <c r="O498" s="7">
        <v>0</v>
      </c>
      <c r="P498" s="7">
        <v>1</v>
      </c>
      <c r="Q498" s="69">
        <f t="shared" si="145"/>
        <v>0.95203197868087941</v>
      </c>
      <c r="R498" s="69">
        <f t="shared" si="146"/>
        <v>0.64730580825752271</v>
      </c>
      <c r="S498" s="7"/>
      <c r="T498" s="7"/>
      <c r="U498" s="7"/>
      <c r="V498" s="7"/>
      <c r="W498" s="7"/>
    </row>
    <row r="499" spans="1:23">
      <c r="A499" s="6">
        <v>46139</v>
      </c>
      <c r="B499" s="7" t="s">
        <v>301</v>
      </c>
      <c r="C499" s="7"/>
      <c r="D499" s="100" t="s">
        <v>668</v>
      </c>
      <c r="E499" s="7" t="s">
        <v>253</v>
      </c>
      <c r="F499" s="7"/>
      <c r="G499" s="7"/>
      <c r="H499" s="7" t="s">
        <v>170</v>
      </c>
      <c r="I499" s="84"/>
      <c r="J499" s="7" t="s">
        <v>35</v>
      </c>
      <c r="K499" s="7" t="s">
        <v>170</v>
      </c>
      <c r="L499" s="7">
        <v>349</v>
      </c>
      <c r="M499" s="7">
        <v>322</v>
      </c>
      <c r="N499" s="7">
        <v>200</v>
      </c>
      <c r="O499" s="7">
        <v>0</v>
      </c>
      <c r="P499" s="7">
        <v>0</v>
      </c>
      <c r="Q499" s="69">
        <f t="shared" ref="Q499:Q504" si="147">M499/L499</f>
        <v>0.92263610315186251</v>
      </c>
      <c r="R499" s="69">
        <f t="shared" ref="R499:R504" si="148">N499/M499</f>
        <v>0.6211180124223602</v>
      </c>
      <c r="S499" s="7"/>
      <c r="T499" s="7"/>
      <c r="U499" s="7"/>
      <c r="V499" s="7"/>
      <c r="W499" s="7"/>
    </row>
    <row r="500" spans="1:23">
      <c r="A500" s="6">
        <v>46139</v>
      </c>
      <c r="B500" s="7" t="s">
        <v>301</v>
      </c>
      <c r="C500" s="62">
        <v>0.85416666666666663</v>
      </c>
      <c r="D500" s="31" t="s">
        <v>699</v>
      </c>
      <c r="E500" s="7" t="s">
        <v>253</v>
      </c>
      <c r="F500" s="7" t="s">
        <v>700</v>
      </c>
      <c r="G500" s="7"/>
      <c r="H500" s="7" t="s">
        <v>149</v>
      </c>
      <c r="I500" s="14" t="s">
        <v>228</v>
      </c>
      <c r="J500" s="7" t="s">
        <v>35</v>
      </c>
      <c r="K500" s="7" t="s">
        <v>149</v>
      </c>
      <c r="L500" s="7">
        <v>1309</v>
      </c>
      <c r="M500" s="7">
        <v>982</v>
      </c>
      <c r="N500" s="7">
        <v>720</v>
      </c>
      <c r="O500" s="7">
        <v>0</v>
      </c>
      <c r="P500" s="7">
        <v>0</v>
      </c>
      <c r="Q500" s="69">
        <f t="shared" si="147"/>
        <v>0.7501909854851031</v>
      </c>
      <c r="R500" s="69">
        <f t="shared" si="148"/>
        <v>0.73319755600814662</v>
      </c>
      <c r="S500" s="7"/>
      <c r="T500" s="7"/>
      <c r="U500" s="7"/>
      <c r="V500" s="7"/>
      <c r="W500" s="7"/>
    </row>
    <row r="501" spans="1:23" ht="16.8">
      <c r="A501" s="6">
        <v>46139</v>
      </c>
      <c r="B501" s="7" t="s">
        <v>301</v>
      </c>
      <c r="C501" s="62">
        <v>0.875</v>
      </c>
      <c r="D501" s="31" t="s">
        <v>701</v>
      </c>
      <c r="E501" s="7" t="s">
        <v>253</v>
      </c>
      <c r="F501" s="7" t="s">
        <v>702</v>
      </c>
      <c r="G501" s="7"/>
      <c r="H501" s="52" t="s">
        <v>157</v>
      </c>
      <c r="I501" s="14" t="s">
        <v>228</v>
      </c>
      <c r="J501" s="7" t="s">
        <v>35</v>
      </c>
      <c r="K501" s="52" t="s">
        <v>157</v>
      </c>
      <c r="L501" s="7"/>
      <c r="M501" s="7"/>
      <c r="N501" s="7"/>
      <c r="O501" s="7"/>
      <c r="P501" s="7"/>
      <c r="Q501" s="69" t="e">
        <f t="shared" si="147"/>
        <v>#DIV/0!</v>
      </c>
      <c r="R501" s="69" t="e">
        <f t="shared" si="148"/>
        <v>#DIV/0!</v>
      </c>
      <c r="S501" s="7"/>
      <c r="T501" s="7"/>
      <c r="U501" s="7"/>
      <c r="V501" s="7"/>
      <c r="W501" s="7"/>
    </row>
    <row r="502" spans="1:23" ht="16.8">
      <c r="A502" s="6">
        <v>46139</v>
      </c>
      <c r="B502" s="7" t="s">
        <v>301</v>
      </c>
      <c r="C502" s="62">
        <v>0.97916666666666663</v>
      </c>
      <c r="D502" s="31" t="s">
        <v>703</v>
      </c>
      <c r="E502" s="7" t="s">
        <v>253</v>
      </c>
      <c r="F502" s="31" t="s">
        <v>704</v>
      </c>
      <c r="G502" s="7"/>
      <c r="H502" s="52" t="s">
        <v>420</v>
      </c>
      <c r="I502" s="14" t="s">
        <v>228</v>
      </c>
      <c r="J502" s="7" t="s">
        <v>35</v>
      </c>
      <c r="K502" s="52" t="s">
        <v>420</v>
      </c>
      <c r="L502" s="7">
        <v>366</v>
      </c>
      <c r="M502" s="7">
        <v>38</v>
      </c>
      <c r="N502" s="7">
        <v>8</v>
      </c>
      <c r="O502" s="7">
        <v>0</v>
      </c>
      <c r="P502" s="7">
        <v>0</v>
      </c>
      <c r="Q502" s="69">
        <f t="shared" si="147"/>
        <v>0.10382513661202186</v>
      </c>
      <c r="R502" s="69">
        <f t="shared" si="148"/>
        <v>0.21052631578947367</v>
      </c>
      <c r="S502" s="7"/>
      <c r="T502" s="7"/>
      <c r="U502" s="7"/>
      <c r="V502" s="7"/>
      <c r="W502" s="7"/>
    </row>
    <row r="503" spans="1:23">
      <c r="A503" s="6">
        <v>46139</v>
      </c>
      <c r="B503" s="7" t="s">
        <v>301</v>
      </c>
      <c r="C503" s="62">
        <v>0.91666666666666663</v>
      </c>
      <c r="D503" s="31" t="s">
        <v>705</v>
      </c>
      <c r="E503" s="7" t="s">
        <v>253</v>
      </c>
      <c r="F503" s="7" t="s">
        <v>700</v>
      </c>
      <c r="G503" s="7"/>
      <c r="H503" s="7" t="s">
        <v>121</v>
      </c>
      <c r="I503" s="47"/>
      <c r="J503" s="7" t="s">
        <v>35</v>
      </c>
      <c r="K503" s="7" t="s">
        <v>121</v>
      </c>
      <c r="L503" s="7">
        <v>359</v>
      </c>
      <c r="M503" s="7">
        <v>24</v>
      </c>
      <c r="N503" s="7">
        <v>15</v>
      </c>
      <c r="O503" s="7">
        <v>0</v>
      </c>
      <c r="P503" s="7">
        <v>0</v>
      </c>
      <c r="Q503" s="69">
        <f t="shared" si="147"/>
        <v>6.6852367688022288E-2</v>
      </c>
      <c r="R503" s="69">
        <f t="shared" si="148"/>
        <v>0.625</v>
      </c>
      <c r="S503" s="7"/>
      <c r="T503" s="7"/>
      <c r="U503" s="7"/>
      <c r="V503" s="7"/>
      <c r="W503" s="7"/>
    </row>
    <row r="504" spans="1:23" ht="16.8">
      <c r="A504" s="6">
        <v>46139</v>
      </c>
      <c r="B504" s="7" t="s">
        <v>301</v>
      </c>
      <c r="C504" s="62">
        <v>0.96875</v>
      </c>
      <c r="D504" s="31" t="s">
        <v>706</v>
      </c>
      <c r="E504" s="7" t="s">
        <v>253</v>
      </c>
      <c r="F504" s="7" t="s">
        <v>702</v>
      </c>
      <c r="G504" s="7"/>
      <c r="H504" s="52" t="s">
        <v>210</v>
      </c>
      <c r="I504" s="47"/>
      <c r="J504" s="7" t="s">
        <v>35</v>
      </c>
      <c r="K504" s="52" t="s">
        <v>210</v>
      </c>
      <c r="L504" s="7">
        <v>895</v>
      </c>
      <c r="M504" s="7">
        <v>35</v>
      </c>
      <c r="N504" s="7">
        <v>12</v>
      </c>
      <c r="O504" s="7">
        <v>1</v>
      </c>
      <c r="P504" s="7">
        <v>0</v>
      </c>
      <c r="Q504" s="69">
        <f t="shared" si="147"/>
        <v>3.9106145251396648E-2</v>
      </c>
      <c r="R504" s="69">
        <f t="shared" si="148"/>
        <v>0.34285714285714286</v>
      </c>
      <c r="S504" s="7"/>
      <c r="T504" s="7"/>
      <c r="U504" s="7"/>
      <c r="V504" s="7"/>
      <c r="W504" s="7"/>
    </row>
    <row r="505" spans="1:23" ht="16.8">
      <c r="A505" s="85"/>
      <c r="B505" s="86"/>
      <c r="C505" s="91"/>
      <c r="D505" s="92"/>
      <c r="E505" s="86"/>
      <c r="F505" s="86"/>
      <c r="G505" s="86"/>
      <c r="H505" s="86"/>
      <c r="I505" s="86"/>
      <c r="J505" s="86"/>
      <c r="K505" s="93"/>
      <c r="L505" s="86"/>
      <c r="M505" s="86"/>
      <c r="N505" s="86"/>
      <c r="O505" s="86"/>
      <c r="P505" s="86"/>
      <c r="Q505" s="89"/>
      <c r="R505" s="89"/>
      <c r="S505" s="86"/>
      <c r="T505" s="86"/>
      <c r="U505" s="86"/>
      <c r="V505" s="86"/>
      <c r="W505" s="87"/>
    </row>
    <row r="506" spans="1:23">
      <c r="A506" s="6">
        <v>46139</v>
      </c>
      <c r="B506" s="7" t="s">
        <v>301</v>
      </c>
      <c r="C506" s="18" t="s">
        <v>596</v>
      </c>
      <c r="D506" s="18" t="s">
        <v>595</v>
      </c>
      <c r="E506" s="18" t="s">
        <v>27</v>
      </c>
      <c r="F506" s="18" t="s">
        <v>303</v>
      </c>
      <c r="G506" s="18" t="s">
        <v>85</v>
      </c>
      <c r="H506" s="18" t="s">
        <v>186</v>
      </c>
      <c r="I506" s="47"/>
      <c r="J506" s="18" t="s">
        <v>27</v>
      </c>
      <c r="K506" s="18" t="s">
        <v>186</v>
      </c>
      <c r="L506" s="7">
        <v>1941</v>
      </c>
      <c r="M506" s="7">
        <v>9</v>
      </c>
      <c r="N506" s="7">
        <v>2</v>
      </c>
      <c r="O506" s="7">
        <v>0</v>
      </c>
      <c r="P506" s="7">
        <v>0</v>
      </c>
      <c r="Q506" s="69">
        <f t="shared" ref="Q506" si="149">M506/L506</f>
        <v>4.6367851622874804E-3</v>
      </c>
      <c r="R506" s="69">
        <f t="shared" ref="R506" si="150">N506/M506</f>
        <v>0.22222222222222221</v>
      </c>
      <c r="S506" s="7"/>
      <c r="T506" s="7"/>
      <c r="U506" s="7"/>
      <c r="V506" s="7"/>
      <c r="W506" s="7"/>
    </row>
    <row r="507" spans="1:23">
      <c r="A507" s="6">
        <v>46139</v>
      </c>
      <c r="B507" s="7" t="s">
        <v>301</v>
      </c>
      <c r="C507" s="18" t="s">
        <v>597</v>
      </c>
      <c r="D507" s="18" t="s">
        <v>594</v>
      </c>
      <c r="E507" s="18" t="s">
        <v>27</v>
      </c>
      <c r="F507" s="18" t="s">
        <v>593</v>
      </c>
      <c r="G507" s="18" t="s">
        <v>85</v>
      </c>
      <c r="H507" s="18"/>
      <c r="I507" s="29"/>
      <c r="J507" s="18" t="s">
        <v>27</v>
      </c>
      <c r="K507" s="18" t="s">
        <v>186</v>
      </c>
      <c r="L507" s="7"/>
      <c r="M507" s="7"/>
      <c r="N507" s="7"/>
      <c r="O507" s="7"/>
      <c r="P507" s="7"/>
      <c r="Q507" s="69" t="e">
        <f t="shared" ref="Q507:Q512" si="151">M507/L507</f>
        <v>#DIV/0!</v>
      </c>
      <c r="R507" s="69" t="e">
        <f t="shared" ref="R507:R512" si="152">N507/M507</f>
        <v>#DIV/0!</v>
      </c>
      <c r="S507" s="7"/>
      <c r="T507" s="7"/>
      <c r="U507" s="7"/>
      <c r="V507" s="7"/>
      <c r="W507" s="7"/>
    </row>
    <row r="508" spans="1:23">
      <c r="A508" s="6">
        <v>46139</v>
      </c>
      <c r="B508" s="7" t="s">
        <v>301</v>
      </c>
      <c r="C508" s="18" t="s">
        <v>347</v>
      </c>
      <c r="D508" s="18" t="s">
        <v>345</v>
      </c>
      <c r="E508" s="18" t="s">
        <v>27</v>
      </c>
      <c r="F508" s="18" t="s">
        <v>346</v>
      </c>
      <c r="G508" s="18" t="s">
        <v>85</v>
      </c>
      <c r="H508" s="18" t="s">
        <v>313</v>
      </c>
      <c r="I508" s="47"/>
      <c r="J508" s="18" t="s">
        <v>27</v>
      </c>
      <c r="K508" s="18" t="s">
        <v>313</v>
      </c>
      <c r="L508" s="7"/>
      <c r="M508" s="7"/>
      <c r="N508" s="7"/>
      <c r="O508" s="7"/>
      <c r="P508" s="7"/>
      <c r="Q508" s="69" t="e">
        <f t="shared" si="151"/>
        <v>#DIV/0!</v>
      </c>
      <c r="R508" s="69" t="e">
        <f t="shared" si="152"/>
        <v>#DIV/0!</v>
      </c>
      <c r="S508" s="7"/>
      <c r="T508" s="7"/>
      <c r="U508" s="7"/>
      <c r="V508" s="7"/>
      <c r="W508" s="7"/>
    </row>
    <row r="509" spans="1:23">
      <c r="A509" s="6">
        <v>46139</v>
      </c>
      <c r="B509" s="7" t="s">
        <v>301</v>
      </c>
      <c r="C509" s="18" t="s">
        <v>308</v>
      </c>
      <c r="D509" s="18" t="s">
        <v>503</v>
      </c>
      <c r="E509" s="18" t="s">
        <v>27</v>
      </c>
      <c r="F509" s="18" t="s">
        <v>502</v>
      </c>
      <c r="G509" s="18" t="s">
        <v>85</v>
      </c>
      <c r="H509" s="18" t="s">
        <v>106</v>
      </c>
      <c r="I509" s="47"/>
      <c r="J509" s="18" t="s">
        <v>27</v>
      </c>
      <c r="K509" s="18" t="s">
        <v>106</v>
      </c>
      <c r="L509" s="7">
        <v>771</v>
      </c>
      <c r="M509" s="7">
        <v>39</v>
      </c>
      <c r="N509" s="7">
        <v>17</v>
      </c>
      <c r="O509" s="7">
        <v>7</v>
      </c>
      <c r="P509" s="7">
        <v>0</v>
      </c>
      <c r="Q509" s="69">
        <f t="shared" si="151"/>
        <v>5.0583657587548639E-2</v>
      </c>
      <c r="R509" s="69">
        <f t="shared" si="152"/>
        <v>0.4358974358974359</v>
      </c>
      <c r="S509" s="7"/>
      <c r="T509" s="7"/>
      <c r="U509" s="7"/>
      <c r="V509" s="7"/>
      <c r="W509" s="7"/>
    </row>
    <row r="510" spans="1:23">
      <c r="A510" s="6">
        <v>46139</v>
      </c>
      <c r="B510" s="7" t="s">
        <v>301</v>
      </c>
      <c r="C510" s="18" t="s">
        <v>598</v>
      </c>
      <c r="D510" s="18" t="s">
        <v>594</v>
      </c>
      <c r="E510" s="18" t="s">
        <v>27</v>
      </c>
      <c r="F510" s="18" t="s">
        <v>593</v>
      </c>
      <c r="G510" s="18" t="s">
        <v>85</v>
      </c>
      <c r="H510" s="18"/>
      <c r="I510" s="29"/>
      <c r="J510" s="18" t="s">
        <v>27</v>
      </c>
      <c r="K510" s="18" t="s">
        <v>106</v>
      </c>
      <c r="L510" s="7"/>
      <c r="M510" s="7"/>
      <c r="N510" s="7"/>
      <c r="O510" s="7"/>
      <c r="P510" s="7"/>
      <c r="Q510" s="69" t="e">
        <f t="shared" si="151"/>
        <v>#DIV/0!</v>
      </c>
      <c r="R510" s="69" t="e">
        <f t="shared" si="152"/>
        <v>#DIV/0!</v>
      </c>
      <c r="S510" s="7"/>
      <c r="T510" s="7"/>
      <c r="U510" s="7"/>
      <c r="V510" s="7"/>
      <c r="W510" s="7"/>
    </row>
    <row r="511" spans="1:23">
      <c r="A511" s="6">
        <v>46139</v>
      </c>
      <c r="B511" s="7" t="s">
        <v>301</v>
      </c>
      <c r="C511" s="62">
        <v>0.75</v>
      </c>
      <c r="D511" s="77" t="s">
        <v>721</v>
      </c>
      <c r="E511" s="77" t="s">
        <v>27</v>
      </c>
      <c r="F511" t="s">
        <v>722</v>
      </c>
      <c r="G511" s="77" t="s">
        <v>85</v>
      </c>
      <c r="H511" s="77" t="s">
        <v>348</v>
      </c>
      <c r="I511" s="14" t="s">
        <v>209</v>
      </c>
      <c r="J511" s="77" t="s">
        <v>27</v>
      </c>
      <c r="K511" s="77" t="s">
        <v>348</v>
      </c>
      <c r="L511" s="7">
        <v>3084</v>
      </c>
      <c r="M511" s="7">
        <v>40</v>
      </c>
      <c r="N511" s="7">
        <v>12</v>
      </c>
      <c r="O511" s="7">
        <v>0</v>
      </c>
      <c r="P511" s="7">
        <v>3</v>
      </c>
      <c r="Q511" s="69">
        <f t="shared" si="151"/>
        <v>1.2970168612191959E-2</v>
      </c>
      <c r="R511" s="69">
        <f t="shared" si="152"/>
        <v>0.3</v>
      </c>
      <c r="S511" s="7"/>
      <c r="T511" s="7"/>
      <c r="U511" s="7"/>
      <c r="V511" s="7"/>
      <c r="W511" s="7"/>
    </row>
    <row r="512" spans="1:23">
      <c r="A512" s="6">
        <v>46139</v>
      </c>
      <c r="B512" s="7" t="s">
        <v>301</v>
      </c>
      <c r="C512" s="62">
        <v>0.76041666666666663</v>
      </c>
      <c r="D512" s="77" t="s">
        <v>723</v>
      </c>
      <c r="E512" s="77" t="s">
        <v>27</v>
      </c>
      <c r="F512" t="s">
        <v>724</v>
      </c>
      <c r="G512" s="77" t="s">
        <v>85</v>
      </c>
      <c r="H512" s="77" t="s">
        <v>349</v>
      </c>
      <c r="I512" s="14" t="s">
        <v>209</v>
      </c>
      <c r="J512" s="77" t="s">
        <v>27</v>
      </c>
      <c r="K512" s="77" t="s">
        <v>349</v>
      </c>
      <c r="L512" s="7">
        <v>1268</v>
      </c>
      <c r="M512" s="7">
        <v>15</v>
      </c>
      <c r="N512" s="7">
        <v>7</v>
      </c>
      <c r="O512" s="7">
        <v>0</v>
      </c>
      <c r="P512" s="7">
        <v>1</v>
      </c>
      <c r="Q512" s="69">
        <f t="shared" si="151"/>
        <v>1.1829652996845425E-2</v>
      </c>
      <c r="R512" s="69">
        <f t="shared" si="152"/>
        <v>0.46666666666666667</v>
      </c>
      <c r="S512" s="7"/>
      <c r="T512" s="7"/>
      <c r="U512" s="7"/>
      <c r="V512" s="7"/>
      <c r="W512" s="7"/>
    </row>
    <row r="513" spans="1:23">
      <c r="A513" s="6">
        <v>46139</v>
      </c>
      <c r="B513" s="7" t="s">
        <v>301</v>
      </c>
      <c r="C513" s="62">
        <v>0.70833333333333337</v>
      </c>
      <c r="D513" s="77" t="s">
        <v>725</v>
      </c>
      <c r="E513" s="77" t="s">
        <v>27</v>
      </c>
      <c r="F513" t="s">
        <v>726</v>
      </c>
      <c r="G513" s="77" t="s">
        <v>85</v>
      </c>
      <c r="H513" s="77" t="s">
        <v>350</v>
      </c>
      <c r="I513" s="14" t="s">
        <v>209</v>
      </c>
      <c r="J513" s="77" t="s">
        <v>27</v>
      </c>
      <c r="K513" s="77" t="s">
        <v>350</v>
      </c>
      <c r="L513" s="7">
        <v>5571</v>
      </c>
      <c r="M513" s="7">
        <v>38</v>
      </c>
      <c r="N513" s="7">
        <v>11</v>
      </c>
      <c r="O513" s="7">
        <v>0</v>
      </c>
      <c r="P513" s="7">
        <v>1</v>
      </c>
      <c r="Q513" s="69">
        <f t="shared" ref="Q513:Q518" si="153">M513/L513</f>
        <v>6.8210375157063364E-3</v>
      </c>
      <c r="R513" s="69">
        <f t="shared" ref="R513:R518" si="154">N513/M513</f>
        <v>0.28947368421052633</v>
      </c>
      <c r="S513" s="7"/>
      <c r="T513" s="7"/>
      <c r="U513" s="7"/>
      <c r="V513" s="7"/>
      <c r="W513" s="7"/>
    </row>
    <row r="514" spans="1:23">
      <c r="A514" s="6">
        <v>46139</v>
      </c>
      <c r="B514" s="7" t="s">
        <v>301</v>
      </c>
      <c r="C514" s="62">
        <v>0.78125</v>
      </c>
      <c r="D514" s="77" t="s">
        <v>727</v>
      </c>
      <c r="E514" s="77" t="s">
        <v>27</v>
      </c>
      <c r="F514" s="77" t="s">
        <v>728</v>
      </c>
      <c r="G514" s="77" t="s">
        <v>85</v>
      </c>
      <c r="H514" s="77" t="s">
        <v>351</v>
      </c>
      <c r="I514" s="14" t="s">
        <v>677</v>
      </c>
      <c r="J514" s="77" t="s">
        <v>27</v>
      </c>
      <c r="K514" s="77" t="s">
        <v>351</v>
      </c>
      <c r="L514" s="7">
        <v>3278</v>
      </c>
      <c r="M514" s="7">
        <v>27</v>
      </c>
      <c r="N514" s="7">
        <v>7</v>
      </c>
      <c r="O514" s="7">
        <v>0</v>
      </c>
      <c r="P514" s="7">
        <v>1</v>
      </c>
      <c r="Q514" s="69">
        <f t="shared" si="153"/>
        <v>8.2367297132397797E-3</v>
      </c>
      <c r="R514" s="69">
        <f t="shared" si="154"/>
        <v>0.25925925925925924</v>
      </c>
      <c r="S514" s="7"/>
      <c r="T514" s="7"/>
      <c r="U514" s="7"/>
      <c r="V514" s="7"/>
      <c r="W514" s="7"/>
    </row>
    <row r="515" spans="1:23">
      <c r="A515" s="6">
        <v>46139</v>
      </c>
      <c r="B515" s="7" t="s">
        <v>301</v>
      </c>
      <c r="C515" s="62">
        <v>0.80208333333333337</v>
      </c>
      <c r="D515" s="88" t="s">
        <v>729</v>
      </c>
      <c r="E515" s="77" t="s">
        <v>27</v>
      </c>
      <c r="F515" t="s">
        <v>730</v>
      </c>
      <c r="G515" s="77" t="s">
        <v>85</v>
      </c>
      <c r="H515" s="7" t="s">
        <v>210</v>
      </c>
      <c r="I515" s="14" t="s">
        <v>209</v>
      </c>
      <c r="J515" s="77" t="s">
        <v>27</v>
      </c>
      <c r="K515" s="7" t="s">
        <v>210</v>
      </c>
      <c r="L515" s="7">
        <v>855</v>
      </c>
      <c r="M515" s="7">
        <v>40</v>
      </c>
      <c r="N515" s="7">
        <v>14</v>
      </c>
      <c r="O515" s="7">
        <v>0</v>
      </c>
      <c r="P515" s="7">
        <v>0</v>
      </c>
      <c r="Q515" s="69">
        <f t="shared" si="153"/>
        <v>4.6783625730994149E-2</v>
      </c>
      <c r="R515" s="69">
        <f t="shared" si="154"/>
        <v>0.35</v>
      </c>
      <c r="S515" s="7"/>
      <c r="T515" s="7"/>
      <c r="U515" s="7"/>
      <c r="V515" s="7"/>
      <c r="W515" s="7"/>
    </row>
    <row r="516" spans="1:23" ht="16.8">
      <c r="A516" s="6">
        <v>46139</v>
      </c>
      <c r="B516" s="7" t="s">
        <v>301</v>
      </c>
      <c r="C516" s="62">
        <v>0.83333333333333337</v>
      </c>
      <c r="D516" s="77" t="s">
        <v>731</v>
      </c>
      <c r="E516" s="77" t="s">
        <v>27</v>
      </c>
      <c r="F516" t="s">
        <v>722</v>
      </c>
      <c r="G516" s="77" t="s">
        <v>85</v>
      </c>
      <c r="H516" s="52" t="s">
        <v>157</v>
      </c>
      <c r="I516" s="14"/>
      <c r="J516" s="77" t="s">
        <v>27</v>
      </c>
      <c r="K516" s="52" t="s">
        <v>157</v>
      </c>
      <c r="L516" s="7">
        <v>3084</v>
      </c>
      <c r="M516" s="7">
        <v>30</v>
      </c>
      <c r="N516" s="7">
        <v>6</v>
      </c>
      <c r="O516" s="7">
        <v>0</v>
      </c>
      <c r="P516" s="7">
        <v>3</v>
      </c>
      <c r="Q516" s="69">
        <f t="shared" si="153"/>
        <v>9.727626459143969E-3</v>
      </c>
      <c r="R516" s="69">
        <f t="shared" si="154"/>
        <v>0.2</v>
      </c>
      <c r="S516" s="86"/>
      <c r="T516" s="86"/>
      <c r="U516" s="86"/>
      <c r="V516" s="86"/>
      <c r="W516" s="87"/>
    </row>
    <row r="517" spans="1:23" ht="16.8">
      <c r="A517" s="6">
        <v>46139</v>
      </c>
      <c r="B517" s="7" t="s">
        <v>301</v>
      </c>
      <c r="C517" s="62">
        <v>0.99652777777777779</v>
      </c>
      <c r="D517" s="88" t="s">
        <v>745</v>
      </c>
      <c r="E517" s="77" t="s">
        <v>27</v>
      </c>
      <c r="F517" s="77" t="s">
        <v>716</v>
      </c>
      <c r="G517" s="7"/>
      <c r="H517" s="107" t="s">
        <v>157</v>
      </c>
      <c r="I517" s="113"/>
      <c r="J517" s="77" t="s">
        <v>27</v>
      </c>
      <c r="K517" s="52" t="s">
        <v>157</v>
      </c>
      <c r="L517" s="86">
        <v>3751</v>
      </c>
      <c r="M517" s="86">
        <v>3066</v>
      </c>
      <c r="N517" s="86">
        <v>2290</v>
      </c>
      <c r="O517" s="86">
        <v>0</v>
      </c>
      <c r="P517" s="86">
        <v>0</v>
      </c>
      <c r="Q517" s="102">
        <f t="shared" si="153"/>
        <v>0.81738203145827781</v>
      </c>
      <c r="R517" s="102">
        <f t="shared" si="154"/>
        <v>0.74690150032615787</v>
      </c>
      <c r="S517" s="86"/>
      <c r="T517" s="86"/>
      <c r="U517" s="86"/>
      <c r="V517" s="86"/>
      <c r="W517" s="87"/>
    </row>
    <row r="518" spans="1:23" ht="16.8">
      <c r="A518" s="6">
        <v>46139</v>
      </c>
      <c r="B518" s="7" t="s">
        <v>301</v>
      </c>
      <c r="C518" s="91"/>
      <c r="D518" s="77" t="s">
        <v>732</v>
      </c>
      <c r="E518" s="77" t="s">
        <v>27</v>
      </c>
      <c r="F518" s="97"/>
      <c r="G518" s="97"/>
      <c r="H518" s="93" t="s">
        <v>683</v>
      </c>
      <c r="I518" s="113" t="s">
        <v>686</v>
      </c>
      <c r="J518" s="77" t="s">
        <v>27</v>
      </c>
      <c r="K518" s="93" t="s">
        <v>683</v>
      </c>
      <c r="L518" s="86">
        <v>1499</v>
      </c>
      <c r="M518" s="86">
        <v>1434</v>
      </c>
      <c r="N518" s="86">
        <v>1164</v>
      </c>
      <c r="O518" s="86">
        <v>0</v>
      </c>
      <c r="P518" s="86">
        <v>1</v>
      </c>
      <c r="Q518" s="102">
        <f t="shared" si="153"/>
        <v>0.95663775850567045</v>
      </c>
      <c r="R518" s="102">
        <f t="shared" si="154"/>
        <v>0.81171548117154813</v>
      </c>
      <c r="S518" s="86"/>
      <c r="T518" s="86"/>
      <c r="U518" s="86"/>
      <c r="V518" s="86"/>
      <c r="W518" s="87"/>
    </row>
    <row r="519" spans="1:23" ht="16.8">
      <c r="A519" s="85"/>
      <c r="B519" s="86"/>
      <c r="C519" s="91"/>
      <c r="D519" s="92"/>
      <c r="E519" s="86"/>
      <c r="F519" s="86"/>
      <c r="G519" s="86"/>
      <c r="H519" s="86"/>
      <c r="I519" s="86"/>
      <c r="J519" s="86"/>
      <c r="K519" s="93"/>
      <c r="L519" s="86"/>
      <c r="M519" s="86"/>
      <c r="N519" s="86"/>
      <c r="O519" s="86"/>
      <c r="P519" s="86"/>
      <c r="Q519" s="89"/>
      <c r="R519" s="89"/>
      <c r="S519" s="86"/>
      <c r="T519" s="86"/>
      <c r="U519" s="86"/>
      <c r="V519" s="86"/>
      <c r="W519" s="87"/>
    </row>
    <row r="520" spans="1:23">
      <c r="A520" s="6">
        <v>46139</v>
      </c>
      <c r="B520" s="7" t="s">
        <v>301</v>
      </c>
      <c r="C520" s="18" t="s">
        <v>599</v>
      </c>
      <c r="D520" s="18" t="s">
        <v>306</v>
      </c>
      <c r="E520" s="18" t="s">
        <v>28</v>
      </c>
      <c r="F520" s="18" t="s">
        <v>307</v>
      </c>
      <c r="G520" s="18" t="s">
        <v>85</v>
      </c>
      <c r="H520" s="18" t="s">
        <v>186</v>
      </c>
      <c r="I520" s="47"/>
      <c r="J520" s="18" t="s">
        <v>28</v>
      </c>
      <c r="K520" s="18" t="s">
        <v>186</v>
      </c>
      <c r="L520" s="7">
        <v>1942</v>
      </c>
      <c r="M520" s="7">
        <v>11</v>
      </c>
      <c r="N520" s="7">
        <v>4</v>
      </c>
      <c r="O520" s="7">
        <v>1</v>
      </c>
      <c r="P520" s="7">
        <v>0</v>
      </c>
      <c r="Q520" s="69">
        <f t="shared" ref="Q520" si="155">M520/L520</f>
        <v>5.6642636457260552E-3</v>
      </c>
      <c r="R520" s="69">
        <f t="shared" ref="R520" si="156">N520/M520</f>
        <v>0.36363636363636365</v>
      </c>
      <c r="S520" s="7"/>
      <c r="T520" s="7"/>
      <c r="U520" s="7"/>
      <c r="V520" s="7"/>
      <c r="W520" s="7"/>
    </row>
    <row r="521" spans="1:23">
      <c r="A521" s="6">
        <v>46139</v>
      </c>
      <c r="B521" s="7" t="s">
        <v>301</v>
      </c>
      <c r="C521" s="18" t="s">
        <v>600</v>
      </c>
      <c r="D521" s="18" t="s">
        <v>602</v>
      </c>
      <c r="E521" s="18" t="s">
        <v>28</v>
      </c>
      <c r="F521" s="18" t="s">
        <v>601</v>
      </c>
      <c r="G521" s="18"/>
      <c r="H521" s="18" t="s">
        <v>186</v>
      </c>
      <c r="I521" s="29"/>
      <c r="J521" s="18" t="s">
        <v>28</v>
      </c>
      <c r="K521" s="18" t="s">
        <v>186</v>
      </c>
      <c r="L521" s="7"/>
      <c r="M521" s="7"/>
      <c r="N521" s="7"/>
      <c r="O521" s="7"/>
      <c r="P521" s="7"/>
      <c r="Q521" s="69" t="e">
        <f t="shared" ref="Q521:Q525" si="157">M521/L521</f>
        <v>#DIV/0!</v>
      </c>
      <c r="R521" s="69" t="e">
        <f t="shared" ref="R521:R525" si="158">N521/M521</f>
        <v>#DIV/0!</v>
      </c>
      <c r="S521" s="7"/>
      <c r="T521" s="86"/>
      <c r="U521" s="86"/>
      <c r="V521" s="86"/>
      <c r="W521" s="7"/>
    </row>
    <row r="522" spans="1:23">
      <c r="A522" s="6">
        <v>46139</v>
      </c>
      <c r="B522" s="7" t="s">
        <v>301</v>
      </c>
      <c r="C522" s="18" t="s">
        <v>347</v>
      </c>
      <c r="D522" s="18" t="s">
        <v>352</v>
      </c>
      <c r="E522" s="18" t="s">
        <v>28</v>
      </c>
      <c r="F522" s="18" t="s">
        <v>353</v>
      </c>
      <c r="G522" s="18" t="s">
        <v>85</v>
      </c>
      <c r="H522" s="18" t="s">
        <v>186</v>
      </c>
      <c r="I522" s="47"/>
      <c r="J522" s="18" t="s">
        <v>28</v>
      </c>
      <c r="K522" s="18" t="s">
        <v>186</v>
      </c>
      <c r="L522" s="7"/>
      <c r="M522" s="7"/>
      <c r="N522" s="7"/>
      <c r="O522" s="7"/>
      <c r="P522" s="7"/>
      <c r="Q522" s="69" t="e">
        <f t="shared" si="157"/>
        <v>#DIV/0!</v>
      </c>
      <c r="R522" s="69" t="e">
        <f t="shared" si="158"/>
        <v>#DIV/0!</v>
      </c>
      <c r="S522" s="7"/>
      <c r="T522" s="86"/>
      <c r="U522" s="86"/>
      <c r="V522" s="86"/>
      <c r="W522" s="7"/>
    </row>
    <row r="523" spans="1:23">
      <c r="A523" s="6">
        <v>46139</v>
      </c>
      <c r="B523" s="7" t="s">
        <v>301</v>
      </c>
      <c r="C523" s="18" t="s">
        <v>599</v>
      </c>
      <c r="D523" s="18" t="s">
        <v>507</v>
      </c>
      <c r="E523" s="18" t="s">
        <v>28</v>
      </c>
      <c r="F523" s="18" t="s">
        <v>506</v>
      </c>
      <c r="G523" s="18" t="s">
        <v>85</v>
      </c>
      <c r="H523" s="18" t="s">
        <v>106</v>
      </c>
      <c r="I523" s="47"/>
      <c r="J523" s="18" t="s">
        <v>28</v>
      </c>
      <c r="K523" s="18" t="s">
        <v>106</v>
      </c>
      <c r="L523" s="7">
        <v>769</v>
      </c>
      <c r="M523" s="7">
        <v>18</v>
      </c>
      <c r="N523" s="7">
        <v>3</v>
      </c>
      <c r="O523" s="7">
        <v>4</v>
      </c>
      <c r="P523" s="7">
        <v>0</v>
      </c>
      <c r="Q523" s="69">
        <f t="shared" si="157"/>
        <v>2.3407022106631991E-2</v>
      </c>
      <c r="R523" s="69">
        <f t="shared" si="158"/>
        <v>0.16666666666666666</v>
      </c>
      <c r="S523" s="7"/>
      <c r="T523" s="86"/>
      <c r="U523" s="86"/>
      <c r="V523" s="86"/>
      <c r="W523" s="7"/>
    </row>
    <row r="524" spans="1:23">
      <c r="A524" s="6">
        <v>46139</v>
      </c>
      <c r="B524" s="7" t="s">
        <v>301</v>
      </c>
      <c r="C524" s="18" t="s">
        <v>600</v>
      </c>
      <c r="D524" s="18" t="s">
        <v>602</v>
      </c>
      <c r="E524" s="18" t="s">
        <v>28</v>
      </c>
      <c r="F524" s="18" t="s">
        <v>601</v>
      </c>
      <c r="G524" s="18" t="s">
        <v>85</v>
      </c>
      <c r="H524" s="18" t="s">
        <v>106</v>
      </c>
      <c r="I524" s="29"/>
      <c r="J524" s="18" t="s">
        <v>28</v>
      </c>
      <c r="K524" s="18" t="s">
        <v>106</v>
      </c>
      <c r="L524" s="7"/>
      <c r="M524" s="7"/>
      <c r="N524" s="7"/>
      <c r="O524" s="7"/>
      <c r="P524" s="7"/>
      <c r="Q524" s="69" t="e">
        <f t="shared" si="157"/>
        <v>#DIV/0!</v>
      </c>
      <c r="R524" s="69" t="e">
        <f t="shared" si="158"/>
        <v>#DIV/0!</v>
      </c>
      <c r="S524" s="7"/>
      <c r="T524" s="7"/>
      <c r="U524" s="7"/>
      <c r="V524" s="7"/>
      <c r="W524" s="7"/>
    </row>
    <row r="525" spans="1:23">
      <c r="A525" s="6">
        <v>46139</v>
      </c>
      <c r="B525" s="7" t="s">
        <v>301</v>
      </c>
      <c r="C525" s="62">
        <v>0.79166666666666663</v>
      </c>
      <c r="D525" s="77" t="s">
        <v>707</v>
      </c>
      <c r="E525" s="77" t="s">
        <v>28</v>
      </c>
      <c r="F525" s="77" t="s">
        <v>712</v>
      </c>
      <c r="G525" s="77"/>
      <c r="H525" s="77" t="s">
        <v>358</v>
      </c>
      <c r="I525" s="47" t="s">
        <v>209</v>
      </c>
      <c r="J525" s="77" t="s">
        <v>28</v>
      </c>
      <c r="K525" s="77" t="s">
        <v>359</v>
      </c>
      <c r="L525" s="7">
        <v>2973</v>
      </c>
      <c r="M525" s="7">
        <v>22</v>
      </c>
      <c r="N525" s="7">
        <v>5</v>
      </c>
      <c r="O525" s="7">
        <v>0</v>
      </c>
      <c r="P525" s="7">
        <v>5</v>
      </c>
      <c r="Q525" s="69">
        <f t="shared" si="157"/>
        <v>7.3999327278842916E-3</v>
      </c>
      <c r="R525" s="69">
        <f t="shared" si="158"/>
        <v>0.22727272727272727</v>
      </c>
      <c r="S525" s="7"/>
      <c r="T525" s="7"/>
      <c r="U525" s="7"/>
      <c r="V525" s="7"/>
      <c r="W525" s="7"/>
    </row>
    <row r="526" spans="1:23">
      <c r="A526" s="6">
        <v>46139</v>
      </c>
      <c r="B526" s="7" t="s">
        <v>301</v>
      </c>
      <c r="C526" s="62">
        <v>0.80208333333333337</v>
      </c>
      <c r="D526" s="99" t="s">
        <v>708</v>
      </c>
      <c r="E526" s="77" t="s">
        <v>28</v>
      </c>
      <c r="F526" s="77" t="s">
        <v>713</v>
      </c>
      <c r="G526" s="77"/>
      <c r="H526" s="77" t="s">
        <v>359</v>
      </c>
      <c r="I526" s="47" t="s">
        <v>209</v>
      </c>
      <c r="J526" s="77" t="s">
        <v>28</v>
      </c>
      <c r="K526" s="77" t="s">
        <v>358</v>
      </c>
      <c r="L526" s="7">
        <v>1300</v>
      </c>
      <c r="M526" s="7">
        <v>19</v>
      </c>
      <c r="N526" s="7">
        <v>3</v>
      </c>
      <c r="O526" s="7">
        <v>1</v>
      </c>
      <c r="P526" s="7">
        <v>5</v>
      </c>
      <c r="Q526" s="69">
        <f t="shared" ref="Q526:Q531" si="159">M526/L526</f>
        <v>1.4615384615384615E-2</v>
      </c>
      <c r="R526" s="69">
        <f t="shared" ref="R526:R531" si="160">N526/M526</f>
        <v>0.15789473684210525</v>
      </c>
      <c r="S526" s="7"/>
      <c r="T526" s="7"/>
      <c r="U526" s="7"/>
      <c r="V526" s="7"/>
      <c r="W526" s="7"/>
    </row>
    <row r="527" spans="1:23">
      <c r="A527" s="6">
        <v>46139</v>
      </c>
      <c r="B527" s="7" t="s">
        <v>301</v>
      </c>
      <c r="C527" s="62">
        <v>0.77083333333333337</v>
      </c>
      <c r="D527" s="99" t="s">
        <v>709</v>
      </c>
      <c r="E527" s="77" t="s">
        <v>28</v>
      </c>
      <c r="F527" s="77" t="s">
        <v>714</v>
      </c>
      <c r="G527" s="77"/>
      <c r="H527" s="77" t="s">
        <v>350</v>
      </c>
      <c r="I527" s="47" t="s">
        <v>209</v>
      </c>
      <c r="J527" s="77" t="s">
        <v>28</v>
      </c>
      <c r="K527" s="77" t="s">
        <v>350</v>
      </c>
      <c r="L527" s="7">
        <v>5571</v>
      </c>
      <c r="M527" s="7">
        <v>36</v>
      </c>
      <c r="N527" s="7">
        <v>5</v>
      </c>
      <c r="O527" s="7">
        <v>0</v>
      </c>
      <c r="P527" s="7">
        <v>1</v>
      </c>
      <c r="Q527" s="69">
        <f t="shared" si="159"/>
        <v>6.462035541195477E-3</v>
      </c>
      <c r="R527" s="69">
        <f t="shared" si="160"/>
        <v>0.1388888888888889</v>
      </c>
      <c r="S527" s="7"/>
      <c r="T527" s="7"/>
      <c r="U527" s="7"/>
      <c r="V527" s="7"/>
      <c r="W527" s="7"/>
    </row>
    <row r="528" spans="1:23">
      <c r="A528" s="6">
        <v>46139</v>
      </c>
      <c r="B528" s="7" t="s">
        <v>301</v>
      </c>
      <c r="C528" s="62">
        <v>0.8125</v>
      </c>
      <c r="D528" s="105" t="s">
        <v>710</v>
      </c>
      <c r="E528" s="77" t="s">
        <v>28</v>
      </c>
      <c r="F528" s="77" t="s">
        <v>715</v>
      </c>
      <c r="G528" s="77"/>
      <c r="H528" s="103" t="s">
        <v>351</v>
      </c>
      <c r="I528" s="47" t="s">
        <v>209</v>
      </c>
      <c r="J528" s="77" t="s">
        <v>28</v>
      </c>
      <c r="K528" s="77" t="s">
        <v>351</v>
      </c>
      <c r="L528" s="7">
        <v>3278</v>
      </c>
      <c r="M528" s="7">
        <v>25</v>
      </c>
      <c r="N528" s="7">
        <v>6</v>
      </c>
      <c r="O528" s="7">
        <v>1</v>
      </c>
      <c r="P528" s="7">
        <v>1</v>
      </c>
      <c r="Q528" s="69">
        <f t="shared" si="159"/>
        <v>7.6266015863331298E-3</v>
      </c>
      <c r="R528" s="69">
        <f t="shared" si="160"/>
        <v>0.24</v>
      </c>
      <c r="S528" s="7"/>
      <c r="T528" s="7"/>
      <c r="U528" s="7"/>
      <c r="V528" s="7"/>
      <c r="W528" s="7"/>
    </row>
    <row r="529" spans="1:23">
      <c r="A529" s="6">
        <v>46139</v>
      </c>
      <c r="B529" s="7" t="s">
        <v>301</v>
      </c>
      <c r="C529" s="62">
        <v>0.85416666666666663</v>
      </c>
      <c r="D529" s="106" t="s">
        <v>711</v>
      </c>
      <c r="E529" s="77" t="s">
        <v>28</v>
      </c>
      <c r="F529" s="77" t="s">
        <v>716</v>
      </c>
      <c r="G529" s="7"/>
      <c r="H529" s="87" t="s">
        <v>210</v>
      </c>
      <c r="I529" s="47" t="s">
        <v>209</v>
      </c>
      <c r="J529" s="7" t="s">
        <v>28</v>
      </c>
      <c r="K529" s="7" t="s">
        <v>210</v>
      </c>
      <c r="L529" s="7">
        <v>862</v>
      </c>
      <c r="M529" s="7">
        <v>36</v>
      </c>
      <c r="N529" s="7">
        <v>22</v>
      </c>
      <c r="O529" s="7">
        <v>0</v>
      </c>
      <c r="P529" s="7">
        <v>0</v>
      </c>
      <c r="Q529" s="69">
        <f t="shared" si="159"/>
        <v>4.1763341067285381E-2</v>
      </c>
      <c r="R529" s="69">
        <f t="shared" si="160"/>
        <v>0.61111111111111116</v>
      </c>
      <c r="S529" s="7"/>
      <c r="T529" s="7"/>
      <c r="U529" s="7"/>
      <c r="V529" s="7"/>
      <c r="W529" s="7"/>
    </row>
    <row r="530" spans="1:23" ht="16.8">
      <c r="A530" s="6">
        <v>46139</v>
      </c>
      <c r="B530" s="7" t="s">
        <v>301</v>
      </c>
      <c r="C530" s="62">
        <v>0.89583333333333337</v>
      </c>
      <c r="D530" s="99" t="s">
        <v>717</v>
      </c>
      <c r="E530" s="7" t="s">
        <v>28</v>
      </c>
      <c r="F530" s="77" t="s">
        <v>714</v>
      </c>
      <c r="G530" s="7"/>
      <c r="H530" s="104" t="s">
        <v>157</v>
      </c>
      <c r="I530" s="29"/>
      <c r="J530" s="7" t="s">
        <v>28</v>
      </c>
      <c r="K530" s="52" t="s">
        <v>157</v>
      </c>
      <c r="L530" s="86">
        <v>2972</v>
      </c>
      <c r="M530" s="86">
        <v>2059</v>
      </c>
      <c r="N530" s="86">
        <v>1706</v>
      </c>
      <c r="O530" s="86">
        <v>2</v>
      </c>
      <c r="P530" s="86">
        <v>0</v>
      </c>
      <c r="Q530" s="69">
        <f t="shared" si="159"/>
        <v>0.69279946164199191</v>
      </c>
      <c r="R530" s="69">
        <f t="shared" si="160"/>
        <v>0.82855755220981053</v>
      </c>
      <c r="S530" s="86"/>
      <c r="T530" s="86"/>
      <c r="U530" s="86"/>
      <c r="V530" s="86"/>
      <c r="W530" s="87"/>
    </row>
    <row r="531" spans="1:23" ht="16.8">
      <c r="A531" s="6">
        <v>46139</v>
      </c>
      <c r="B531" s="7" t="s">
        <v>301</v>
      </c>
      <c r="C531" s="62" t="s">
        <v>719</v>
      </c>
      <c r="D531" s="88" t="s">
        <v>746</v>
      </c>
      <c r="E531" s="7" t="s">
        <v>28</v>
      </c>
      <c r="F531" t="s">
        <v>730</v>
      </c>
      <c r="G531" s="77" t="s">
        <v>85</v>
      </c>
      <c r="H531" s="110" t="s">
        <v>157</v>
      </c>
      <c r="I531" s="108"/>
      <c r="J531" s="7"/>
      <c r="K531" s="109"/>
      <c r="L531" s="86">
        <v>2365</v>
      </c>
      <c r="M531" s="86">
        <v>1668</v>
      </c>
      <c r="N531" s="86">
        <v>1265</v>
      </c>
      <c r="O531" s="86">
        <v>0</v>
      </c>
      <c r="P531" s="86">
        <v>0</v>
      </c>
      <c r="Q531" s="69">
        <f t="shared" si="159"/>
        <v>0.70528541226215646</v>
      </c>
      <c r="R531" s="69">
        <f t="shared" si="160"/>
        <v>0.75839328537170259</v>
      </c>
      <c r="S531" s="86"/>
      <c r="T531" s="86"/>
      <c r="U531" s="86"/>
      <c r="V531" s="86"/>
      <c r="W531" s="87"/>
    </row>
    <row r="532" spans="1:23" ht="16.8">
      <c r="A532" s="6">
        <v>46139</v>
      </c>
      <c r="B532" s="7" t="s">
        <v>301</v>
      </c>
      <c r="C532" s="62"/>
      <c r="D532" s="99" t="s">
        <v>718</v>
      </c>
      <c r="E532" s="7" t="s">
        <v>28</v>
      </c>
      <c r="F532" s="77" t="s">
        <v>713</v>
      </c>
      <c r="G532" s="7"/>
      <c r="H532" s="93" t="s">
        <v>684</v>
      </c>
      <c r="I532" s="98" t="s">
        <v>686</v>
      </c>
      <c r="J532" s="7" t="s">
        <v>28</v>
      </c>
      <c r="K532" s="93" t="s">
        <v>684</v>
      </c>
      <c r="L532" s="86">
        <v>1499</v>
      </c>
      <c r="M532" s="86">
        <v>1327</v>
      </c>
      <c r="N532" s="86">
        <v>1061</v>
      </c>
      <c r="O532" s="86">
        <v>0</v>
      </c>
      <c r="P532" s="86">
        <v>1</v>
      </c>
      <c r="Q532" s="69">
        <f t="shared" ref="Q532" si="161">M532/L532</f>
        <v>0.88525683789192799</v>
      </c>
      <c r="R532" s="69">
        <f t="shared" ref="R532" si="162">N532/M532</f>
        <v>0.79954785229841752</v>
      </c>
      <c r="S532" s="86"/>
      <c r="T532" s="86"/>
      <c r="U532" s="86"/>
      <c r="V532" s="86"/>
      <c r="W532" s="87"/>
    </row>
    <row r="533" spans="1:23" ht="16.8">
      <c r="A533" s="85"/>
      <c r="B533" s="86"/>
      <c r="C533" s="91"/>
      <c r="D533" s="92"/>
      <c r="E533" s="86"/>
      <c r="F533" s="86"/>
      <c r="G533" s="86"/>
      <c r="H533" s="86"/>
      <c r="I533" s="86"/>
      <c r="J533" s="86"/>
      <c r="K533" s="93"/>
      <c r="L533" s="86"/>
      <c r="M533" s="86"/>
      <c r="N533" s="86"/>
      <c r="O533" s="86"/>
      <c r="P533" s="86"/>
      <c r="Q533" s="89"/>
      <c r="R533" s="89"/>
      <c r="S533" s="86"/>
      <c r="T533" s="86"/>
      <c r="U533" s="86"/>
      <c r="V533" s="86"/>
      <c r="W533" s="87"/>
    </row>
    <row r="534" spans="1:23">
      <c r="A534" s="6">
        <v>46139</v>
      </c>
      <c r="B534" s="7" t="s">
        <v>301</v>
      </c>
      <c r="C534" s="18" t="s">
        <v>598</v>
      </c>
      <c r="D534" s="18" t="s">
        <v>310</v>
      </c>
      <c r="E534" s="18" t="s">
        <v>309</v>
      </c>
      <c r="F534" s="18" t="s">
        <v>311</v>
      </c>
      <c r="G534" s="18" t="s">
        <v>85</v>
      </c>
      <c r="H534" s="18" t="s">
        <v>186</v>
      </c>
      <c r="I534" s="47"/>
      <c r="J534" s="18" t="s">
        <v>309</v>
      </c>
      <c r="K534" s="18" t="s">
        <v>186</v>
      </c>
      <c r="L534" s="7">
        <v>1933</v>
      </c>
      <c r="M534" s="7">
        <v>10</v>
      </c>
      <c r="N534" s="7">
        <v>1</v>
      </c>
      <c r="O534" s="7">
        <v>1</v>
      </c>
      <c r="P534" s="7">
        <v>0</v>
      </c>
      <c r="Q534" s="69">
        <f t="shared" ref="Q534" si="163">M534/L534</f>
        <v>5.1733057423693739E-3</v>
      </c>
      <c r="R534" s="69">
        <f t="shared" ref="R534" si="164">N534/M534</f>
        <v>0.1</v>
      </c>
      <c r="S534" s="7"/>
      <c r="T534" s="7">
        <v>767</v>
      </c>
      <c r="U534" s="7">
        <v>10</v>
      </c>
      <c r="V534" s="7">
        <v>2</v>
      </c>
      <c r="W534" s="7"/>
    </row>
    <row r="535" spans="1:23">
      <c r="A535" s="6">
        <v>46139</v>
      </c>
      <c r="B535" s="7" t="s">
        <v>301</v>
      </c>
      <c r="C535" s="18" t="s">
        <v>605</v>
      </c>
      <c r="D535" s="18" t="s">
        <v>604</v>
      </c>
      <c r="E535" s="18" t="s">
        <v>309</v>
      </c>
      <c r="F535" s="18" t="s">
        <v>603</v>
      </c>
      <c r="G535" s="18" t="s">
        <v>85</v>
      </c>
      <c r="H535" s="18" t="s">
        <v>186</v>
      </c>
      <c r="I535" s="29"/>
      <c r="J535" s="18" t="s">
        <v>309</v>
      </c>
      <c r="K535" s="18" t="s">
        <v>186</v>
      </c>
      <c r="L535" s="7"/>
      <c r="M535" s="7"/>
      <c r="N535" s="7"/>
      <c r="O535" s="7"/>
      <c r="P535" s="7"/>
      <c r="Q535" s="69" t="e">
        <f t="shared" ref="Q535:Q542" si="165">M535/L535</f>
        <v>#DIV/0!</v>
      </c>
      <c r="R535" s="69" t="e">
        <f t="shared" ref="R535:R542" si="166">N535/M535</f>
        <v>#DIV/0!</v>
      </c>
      <c r="S535" s="7"/>
      <c r="T535" s="7">
        <v>1914</v>
      </c>
      <c r="U535" s="7">
        <v>1176</v>
      </c>
      <c r="V535" s="7">
        <v>912</v>
      </c>
      <c r="W535" s="7"/>
    </row>
    <row r="536" spans="1:23">
      <c r="A536" s="6">
        <v>46139</v>
      </c>
      <c r="B536" s="7" t="s">
        <v>301</v>
      </c>
      <c r="C536" s="18" t="s">
        <v>347</v>
      </c>
      <c r="D536" s="18" t="s">
        <v>354</v>
      </c>
      <c r="E536" s="18" t="s">
        <v>309</v>
      </c>
      <c r="F536" s="18" t="s">
        <v>355</v>
      </c>
      <c r="G536" s="18" t="s">
        <v>85</v>
      </c>
      <c r="H536" s="18" t="s">
        <v>313</v>
      </c>
      <c r="I536" s="47"/>
      <c r="J536" s="18" t="s">
        <v>309</v>
      </c>
      <c r="K536" s="18" t="s">
        <v>313</v>
      </c>
      <c r="L536" s="7"/>
      <c r="M536" s="7"/>
      <c r="N536" s="7"/>
      <c r="O536" s="7"/>
      <c r="P536" s="7"/>
      <c r="Q536" s="69" t="e">
        <f t="shared" si="165"/>
        <v>#DIV/0!</v>
      </c>
      <c r="R536" s="69" t="e">
        <f t="shared" si="166"/>
        <v>#DIV/0!</v>
      </c>
      <c r="S536" s="7"/>
      <c r="T536" s="86">
        <v>2492</v>
      </c>
      <c r="U536" s="86">
        <v>1765</v>
      </c>
      <c r="V536" s="86">
        <v>1331</v>
      </c>
      <c r="W536" s="7"/>
    </row>
    <row r="537" spans="1:23">
      <c r="A537" s="6">
        <v>46139</v>
      </c>
      <c r="B537" s="7" t="s">
        <v>301</v>
      </c>
      <c r="C537" s="18" t="s">
        <v>598</v>
      </c>
      <c r="D537" s="18" t="s">
        <v>510</v>
      </c>
      <c r="E537" s="18" t="s">
        <v>309</v>
      </c>
      <c r="F537" s="18" t="s">
        <v>509</v>
      </c>
      <c r="G537" s="18" t="s">
        <v>85</v>
      </c>
      <c r="H537" s="18" t="s">
        <v>106</v>
      </c>
      <c r="I537" s="47"/>
      <c r="J537" s="18" t="s">
        <v>309</v>
      </c>
      <c r="K537" s="18" t="s">
        <v>106</v>
      </c>
      <c r="L537" s="7">
        <v>767</v>
      </c>
      <c r="M537" s="7">
        <v>10</v>
      </c>
      <c r="N537" s="7">
        <v>2</v>
      </c>
      <c r="O537" s="7">
        <v>4</v>
      </c>
      <c r="P537" s="7">
        <v>0</v>
      </c>
      <c r="Q537" s="69">
        <f t="shared" si="165"/>
        <v>1.303780964797914E-2</v>
      </c>
      <c r="R537" s="69">
        <f t="shared" si="166"/>
        <v>0.2</v>
      </c>
      <c r="S537" s="7"/>
      <c r="T537" s="86">
        <v>1497</v>
      </c>
      <c r="U537" s="86">
        <v>1199</v>
      </c>
      <c r="V537" s="86">
        <v>1111</v>
      </c>
      <c r="W537" s="7"/>
    </row>
    <row r="538" spans="1:23">
      <c r="A538" s="6">
        <v>46139</v>
      </c>
      <c r="B538" s="7" t="s">
        <v>301</v>
      </c>
      <c r="C538" s="18" t="s">
        <v>605</v>
      </c>
      <c r="D538" s="18" t="s">
        <v>604</v>
      </c>
      <c r="E538" s="18" t="s">
        <v>309</v>
      </c>
      <c r="F538" s="18" t="s">
        <v>603</v>
      </c>
      <c r="G538" s="18" t="s">
        <v>85</v>
      </c>
      <c r="H538" s="18" t="s">
        <v>106</v>
      </c>
      <c r="I538" s="29"/>
      <c r="J538" s="18" t="s">
        <v>309</v>
      </c>
      <c r="K538" s="18" t="s">
        <v>106</v>
      </c>
      <c r="L538" s="7"/>
      <c r="M538" s="7"/>
      <c r="N538" s="7"/>
      <c r="O538" s="7"/>
      <c r="P538" s="7"/>
      <c r="Q538" s="69" t="e">
        <f t="shared" si="165"/>
        <v>#DIV/0!</v>
      </c>
      <c r="R538" s="69" t="e">
        <f t="shared" si="166"/>
        <v>#DIV/0!</v>
      </c>
      <c r="S538" s="7"/>
      <c r="T538" s="7">
        <f>SUM(T534:T537)</f>
        <v>6670</v>
      </c>
      <c r="U538" s="7">
        <f>SUM(U534:U537)</f>
        <v>4150</v>
      </c>
      <c r="V538" s="7">
        <f>SUM(V534:V537)</f>
        <v>3356</v>
      </c>
      <c r="W538" s="7"/>
    </row>
    <row r="539" spans="1:23">
      <c r="A539" s="6">
        <v>46139</v>
      </c>
      <c r="B539" s="7" t="s">
        <v>301</v>
      </c>
      <c r="C539" s="62">
        <v>0.79166666666666663</v>
      </c>
      <c r="D539" t="s">
        <v>733</v>
      </c>
      <c r="E539" s="77" t="s">
        <v>309</v>
      </c>
      <c r="F539" t="s">
        <v>734</v>
      </c>
      <c r="G539" s="77" t="s">
        <v>85</v>
      </c>
      <c r="H539" s="77" t="s">
        <v>380</v>
      </c>
      <c r="I539" s="14" t="s">
        <v>209</v>
      </c>
      <c r="J539" s="77" t="s">
        <v>309</v>
      </c>
      <c r="K539" s="77" t="s">
        <v>380</v>
      </c>
      <c r="L539" s="7">
        <v>3712</v>
      </c>
      <c r="M539" s="7">
        <v>29</v>
      </c>
      <c r="N539" s="7">
        <v>9</v>
      </c>
      <c r="O539" s="7">
        <v>0</v>
      </c>
      <c r="P539" s="7">
        <v>1</v>
      </c>
      <c r="Q539" s="69">
        <f t="shared" si="165"/>
        <v>7.8125E-3</v>
      </c>
      <c r="R539" s="69">
        <f t="shared" si="166"/>
        <v>0.31034482758620691</v>
      </c>
      <c r="S539" s="7"/>
      <c r="T539" s="7"/>
      <c r="U539" s="7"/>
      <c r="V539" s="7"/>
      <c r="W539" s="7"/>
    </row>
    <row r="540" spans="1:23">
      <c r="A540" s="6">
        <v>46139</v>
      </c>
      <c r="B540" s="7" t="s">
        <v>301</v>
      </c>
      <c r="C540" s="62">
        <v>0.80208333333333337</v>
      </c>
      <c r="D540" t="s">
        <v>735</v>
      </c>
      <c r="E540" s="77" t="s">
        <v>309</v>
      </c>
      <c r="F540" t="s">
        <v>736</v>
      </c>
      <c r="G540" s="77" t="s">
        <v>85</v>
      </c>
      <c r="H540" s="77" t="s">
        <v>383</v>
      </c>
      <c r="I540" s="14" t="s">
        <v>209</v>
      </c>
      <c r="J540" s="77" t="s">
        <v>309</v>
      </c>
      <c r="K540" s="77" t="s">
        <v>383</v>
      </c>
      <c r="L540" s="7">
        <v>1642</v>
      </c>
      <c r="M540" s="7">
        <v>17</v>
      </c>
      <c r="N540" s="7">
        <v>7</v>
      </c>
      <c r="O540" s="7">
        <v>0</v>
      </c>
      <c r="P540" s="7">
        <v>1</v>
      </c>
      <c r="Q540" s="69">
        <f t="shared" si="165"/>
        <v>1.0353227771010963E-2</v>
      </c>
      <c r="R540" s="69">
        <f t="shared" si="166"/>
        <v>0.41176470588235292</v>
      </c>
      <c r="S540" s="7"/>
      <c r="T540" s="7"/>
      <c r="U540" s="7"/>
      <c r="V540" s="7"/>
      <c r="W540" s="7"/>
    </row>
    <row r="541" spans="1:23">
      <c r="A541" s="6">
        <v>46139</v>
      </c>
      <c r="B541" s="7" t="s">
        <v>301</v>
      </c>
      <c r="C541" s="62">
        <v>0.77083333333333337</v>
      </c>
      <c r="D541" t="s">
        <v>737</v>
      </c>
      <c r="E541" s="77" t="s">
        <v>309</v>
      </c>
      <c r="F541" t="s">
        <v>738</v>
      </c>
      <c r="G541" s="77" t="s">
        <v>85</v>
      </c>
      <c r="H541" s="7" t="s">
        <v>350</v>
      </c>
      <c r="I541" s="14" t="s">
        <v>209</v>
      </c>
      <c r="J541" s="77" t="s">
        <v>309</v>
      </c>
      <c r="K541" s="7" t="s">
        <v>350</v>
      </c>
      <c r="L541" s="7">
        <v>5571</v>
      </c>
      <c r="M541" s="7">
        <v>29</v>
      </c>
      <c r="N541" s="7">
        <v>4</v>
      </c>
      <c r="O541" s="7">
        <v>0</v>
      </c>
      <c r="P541" s="7">
        <v>1</v>
      </c>
      <c r="Q541" s="69">
        <f t="shared" si="165"/>
        <v>5.2055286304074676E-3</v>
      </c>
      <c r="R541" s="69">
        <f t="shared" si="166"/>
        <v>0.13793103448275862</v>
      </c>
      <c r="S541" s="7"/>
      <c r="T541" s="7"/>
      <c r="U541" s="7"/>
      <c r="V541" s="7"/>
      <c r="W541" s="7"/>
    </row>
    <row r="542" spans="1:23">
      <c r="A542" s="6">
        <v>46139</v>
      </c>
      <c r="B542" s="7" t="s">
        <v>301</v>
      </c>
      <c r="C542" s="62">
        <v>0.8125</v>
      </c>
      <c r="D542" t="s">
        <v>739</v>
      </c>
      <c r="E542" s="77" t="s">
        <v>309</v>
      </c>
      <c r="F542" t="s">
        <v>740</v>
      </c>
      <c r="G542" s="77" t="s">
        <v>85</v>
      </c>
      <c r="H542" s="87" t="s">
        <v>351</v>
      </c>
      <c r="I542" s="14" t="s">
        <v>209</v>
      </c>
      <c r="J542" s="77" t="s">
        <v>309</v>
      </c>
      <c r="K542" s="7" t="s">
        <v>351</v>
      </c>
      <c r="L542" s="7">
        <v>3278</v>
      </c>
      <c r="M542" s="7">
        <v>23</v>
      </c>
      <c r="N542" s="7">
        <v>7</v>
      </c>
      <c r="O542" s="7">
        <v>0</v>
      </c>
      <c r="P542" s="7">
        <v>1</v>
      </c>
      <c r="Q542" s="69">
        <f t="shared" si="165"/>
        <v>7.0164734594264791E-3</v>
      </c>
      <c r="R542" s="69">
        <f t="shared" si="166"/>
        <v>0.30434782608695654</v>
      </c>
      <c r="S542" s="7"/>
      <c r="T542" s="7"/>
      <c r="U542" s="7"/>
      <c r="V542" s="7"/>
      <c r="W542" s="7"/>
    </row>
    <row r="543" spans="1:23">
      <c r="A543" s="6">
        <v>46139</v>
      </c>
      <c r="B543" s="7" t="s">
        <v>301</v>
      </c>
      <c r="C543" s="62">
        <v>0.85416666666666663</v>
      </c>
      <c r="D543" t="s">
        <v>741</v>
      </c>
      <c r="E543" s="88" t="s">
        <v>309</v>
      </c>
      <c r="F543" t="s">
        <v>742</v>
      </c>
      <c r="G543" s="77" t="s">
        <v>85</v>
      </c>
      <c r="H543" s="87" t="s">
        <v>210</v>
      </c>
      <c r="I543" s="14" t="s">
        <v>209</v>
      </c>
      <c r="J543" s="7" t="s">
        <v>309</v>
      </c>
      <c r="K543" s="7" t="s">
        <v>210</v>
      </c>
      <c r="L543" s="7">
        <v>862</v>
      </c>
      <c r="M543" s="7">
        <v>31</v>
      </c>
      <c r="N543" s="7">
        <v>18</v>
      </c>
      <c r="O543" s="7">
        <v>1</v>
      </c>
      <c r="P543" s="7">
        <v>0</v>
      </c>
      <c r="Q543" s="69">
        <f t="shared" ref="Q543:Q545" si="167">M543/L543</f>
        <v>3.5962877030162411E-2</v>
      </c>
      <c r="R543" s="69">
        <f t="shared" ref="R543:R545" si="168">N543/M543</f>
        <v>0.58064516129032262</v>
      </c>
      <c r="S543" s="7"/>
      <c r="T543" s="7"/>
      <c r="U543" s="7"/>
      <c r="V543" s="7"/>
      <c r="W543" s="7"/>
    </row>
    <row r="544" spans="1:23" ht="16.8">
      <c r="A544" s="6">
        <v>46139</v>
      </c>
      <c r="B544" s="7" t="s">
        <v>301</v>
      </c>
      <c r="C544" s="62">
        <v>0.96875</v>
      </c>
      <c r="D544" t="s">
        <v>743</v>
      </c>
      <c r="E544" s="7" t="s">
        <v>309</v>
      </c>
      <c r="F544" t="s">
        <v>734</v>
      </c>
      <c r="G544" s="77" t="s">
        <v>85</v>
      </c>
      <c r="H544" s="104" t="s">
        <v>157</v>
      </c>
      <c r="I544" s="14"/>
      <c r="J544" s="7" t="s">
        <v>309</v>
      </c>
      <c r="K544" s="52" t="s">
        <v>157</v>
      </c>
      <c r="L544" s="7">
        <v>1914</v>
      </c>
      <c r="M544" s="7">
        <v>1176</v>
      </c>
      <c r="N544" s="7">
        <v>912</v>
      </c>
      <c r="O544" s="7">
        <v>0</v>
      </c>
      <c r="P544" s="7">
        <v>1</v>
      </c>
      <c r="Q544" s="69">
        <f t="shared" si="167"/>
        <v>0.61442006269592475</v>
      </c>
      <c r="R544" s="69">
        <f t="shared" si="168"/>
        <v>0.77551020408163263</v>
      </c>
      <c r="S544" s="86"/>
      <c r="T544" s="86"/>
      <c r="U544" s="86"/>
      <c r="V544" s="86"/>
      <c r="W544" s="87"/>
    </row>
    <row r="545" spans="1:23" ht="16.8">
      <c r="A545" s="6">
        <v>46139</v>
      </c>
      <c r="B545" s="7" t="s">
        <v>301</v>
      </c>
      <c r="C545" s="62" t="s">
        <v>720</v>
      </c>
      <c r="D545" s="111" t="s">
        <v>747</v>
      </c>
      <c r="E545" s="77" t="s">
        <v>28</v>
      </c>
      <c r="F545" s="77" t="s">
        <v>715</v>
      </c>
      <c r="G545" s="77"/>
      <c r="H545" s="110" t="s">
        <v>157</v>
      </c>
      <c r="I545" s="113"/>
      <c r="J545" s="7"/>
      <c r="K545" s="109"/>
      <c r="L545" s="86">
        <v>2492</v>
      </c>
      <c r="M545" s="86">
        <v>1765</v>
      </c>
      <c r="N545" s="86">
        <v>1331</v>
      </c>
      <c r="O545" s="86">
        <v>0</v>
      </c>
      <c r="P545" s="86">
        <v>0</v>
      </c>
      <c r="Q545" s="69">
        <f t="shared" si="167"/>
        <v>0.7082664526484751</v>
      </c>
      <c r="R545" s="69">
        <f t="shared" si="168"/>
        <v>0.75410764872521241</v>
      </c>
      <c r="S545" s="86"/>
      <c r="T545" s="86"/>
      <c r="U545" s="86"/>
      <c r="V545" s="86"/>
      <c r="W545" s="87"/>
    </row>
    <row r="546" spans="1:23" ht="16.8">
      <c r="A546" s="6">
        <v>46139</v>
      </c>
      <c r="B546" s="7" t="s">
        <v>301</v>
      </c>
      <c r="C546" s="62"/>
      <c r="D546" t="s">
        <v>744</v>
      </c>
      <c r="E546" s="86" t="s">
        <v>309</v>
      </c>
      <c r="F546" t="s">
        <v>738</v>
      </c>
      <c r="G546" s="77" t="s">
        <v>85</v>
      </c>
      <c r="H546" s="93" t="s">
        <v>685</v>
      </c>
      <c r="I546" s="113" t="s">
        <v>686</v>
      </c>
      <c r="J546" s="7" t="s">
        <v>309</v>
      </c>
      <c r="K546" s="93" t="s">
        <v>685</v>
      </c>
      <c r="L546" s="86">
        <v>1497</v>
      </c>
      <c r="M546" s="86">
        <v>1199</v>
      </c>
      <c r="N546" s="86">
        <v>1111</v>
      </c>
      <c r="O546" s="86">
        <v>0</v>
      </c>
      <c r="P546" s="86">
        <v>3</v>
      </c>
      <c r="Q546" s="69">
        <f t="shared" ref="Q546" si="169">M546/L546</f>
        <v>0.80093520374081495</v>
      </c>
      <c r="R546" s="69">
        <f t="shared" ref="R546" si="170">N546/M546</f>
        <v>0.92660550458715596</v>
      </c>
      <c r="S546" s="86"/>
      <c r="T546" s="86"/>
      <c r="U546" s="86"/>
      <c r="V546" s="86"/>
      <c r="W546" s="87"/>
    </row>
    <row r="547" spans="1:23" ht="6.6" customHeight="1">
      <c r="A547" s="22"/>
      <c r="B547" s="23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5"/>
      <c r="R547" s="25"/>
      <c r="S547" s="24"/>
      <c r="T547" s="24"/>
      <c r="U547" s="24"/>
      <c r="V547" s="25"/>
      <c r="W547" s="26"/>
    </row>
  </sheetData>
  <phoneticPr fontId="3" type="noConversion"/>
  <conditionalFormatting sqref="E552:E577">
    <cfRule type="duplicateValues" dxfId="5" priority="63"/>
  </conditionalFormatting>
  <conditionalFormatting sqref="E552:E599">
    <cfRule type="duplicateValues" dxfId="4" priority="64"/>
  </conditionalFormatting>
  <conditionalFormatting sqref="G549:G562">
    <cfRule type="duplicateValues" dxfId="3" priority="57"/>
  </conditionalFormatting>
  <conditionalFormatting sqref="G561:G562 G552:H559 G549:G551">
    <cfRule type="duplicateValues" dxfId="2" priority="53"/>
  </conditionalFormatting>
  <conditionalFormatting sqref="G561:G562 H552:H559">
    <cfRule type="duplicateValues" dxfId="1" priority="47"/>
    <cfRule type="duplicateValues" dxfId="0" priority="48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F83C1-D856-429E-AC0B-4C0750DE79F0}">
  <sheetPr>
    <tabColor rgb="FFFF0000"/>
  </sheetPr>
  <dimension ref="A1:Z31"/>
  <sheetViews>
    <sheetView topLeftCell="D15" workbookViewId="0">
      <selection activeCell="A28" sqref="A28:XFD31"/>
    </sheetView>
  </sheetViews>
  <sheetFormatPr defaultRowHeight="14.4"/>
  <cols>
    <col min="1" max="1" width="10.33203125" bestFit="1" customWidth="1"/>
    <col min="4" max="4" width="10.88671875" bestFit="1" customWidth="1"/>
    <col min="5" max="5" width="33.88671875" bestFit="1" customWidth="1"/>
    <col min="6" max="6" width="10.21875" bestFit="1" customWidth="1"/>
    <col min="7" max="7" width="16.88671875" bestFit="1" customWidth="1"/>
    <col min="8" max="8" width="22" customWidth="1"/>
    <col min="11" max="11" width="16.33203125" bestFit="1" customWidth="1"/>
    <col min="13" max="13" width="15.44140625" bestFit="1" customWidth="1"/>
    <col min="14" max="14" width="31.33203125" bestFit="1" customWidth="1"/>
  </cols>
  <sheetData>
    <row r="1" spans="1:26" ht="17.399999999999999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37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3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3" t="s">
        <v>25</v>
      </c>
    </row>
    <row r="2" spans="1:26">
      <c r="A2" s="6">
        <v>46128</v>
      </c>
      <c r="B2" s="7" t="s">
        <v>196</v>
      </c>
      <c r="C2" s="7" t="s">
        <v>89</v>
      </c>
      <c r="D2" s="7">
        <v>3324014643</v>
      </c>
      <c r="E2" s="7" t="s">
        <v>197</v>
      </c>
      <c r="F2" s="7">
        <v>20875349</v>
      </c>
      <c r="G2" s="7" t="s">
        <v>198</v>
      </c>
      <c r="H2" s="7" t="s">
        <v>199</v>
      </c>
      <c r="I2" s="7" t="s">
        <v>85</v>
      </c>
      <c r="J2" s="7" t="s">
        <v>84</v>
      </c>
      <c r="K2" s="49" t="s">
        <v>203</v>
      </c>
      <c r="L2" s="7" t="s">
        <v>202</v>
      </c>
      <c r="M2" s="7" t="s">
        <v>201</v>
      </c>
      <c r="N2" s="7" t="s">
        <v>200</v>
      </c>
      <c r="O2" s="7">
        <v>15</v>
      </c>
      <c r="P2" s="7">
        <v>3</v>
      </c>
      <c r="Q2" s="7">
        <v>1</v>
      </c>
      <c r="R2" s="7">
        <v>0</v>
      </c>
      <c r="S2" s="7">
        <v>0</v>
      </c>
      <c r="T2" s="32">
        <f>P2/O2</f>
        <v>0.2</v>
      </c>
      <c r="U2" s="32">
        <f>Q2/P2</f>
        <v>0.33333333333333331</v>
      </c>
      <c r="V2" s="7"/>
      <c r="W2" s="7"/>
      <c r="X2" s="7"/>
      <c r="Y2" s="7"/>
      <c r="Z2" s="7"/>
    </row>
    <row r="3" spans="1:26">
      <c r="A3" s="6">
        <v>46128</v>
      </c>
      <c r="B3" s="7" t="s">
        <v>196</v>
      </c>
      <c r="C3" s="7" t="s">
        <v>89</v>
      </c>
      <c r="D3" s="7">
        <v>1655201</v>
      </c>
      <c r="E3" s="7" t="s">
        <v>197</v>
      </c>
      <c r="F3" s="7">
        <v>20875349</v>
      </c>
      <c r="G3" s="7" t="s">
        <v>198</v>
      </c>
      <c r="H3" s="7" t="s">
        <v>199</v>
      </c>
      <c r="I3" s="7" t="s">
        <v>85</v>
      </c>
      <c r="J3" s="7" t="s">
        <v>84</v>
      </c>
      <c r="K3" s="49" t="s">
        <v>204</v>
      </c>
      <c r="L3" s="7" t="s">
        <v>202</v>
      </c>
      <c r="M3" s="7" t="s">
        <v>201</v>
      </c>
      <c r="N3" s="7" t="s">
        <v>200</v>
      </c>
      <c r="O3" s="7">
        <v>28</v>
      </c>
      <c r="P3" s="7">
        <v>1</v>
      </c>
      <c r="Q3" s="7">
        <v>0</v>
      </c>
      <c r="R3" s="7">
        <v>0</v>
      </c>
      <c r="S3" s="7">
        <v>0</v>
      </c>
      <c r="T3" s="32">
        <f>P3/O3</f>
        <v>3.5714285714285712E-2</v>
      </c>
      <c r="U3" s="32">
        <f>Q3/P3</f>
        <v>0</v>
      </c>
      <c r="V3" s="7"/>
      <c r="W3" s="7"/>
      <c r="X3" s="7"/>
      <c r="Y3" s="7"/>
      <c r="Z3" s="7"/>
    </row>
    <row r="5" spans="1:26">
      <c r="A5" s="6">
        <v>46129</v>
      </c>
      <c r="B5" s="7" t="s">
        <v>206</v>
      </c>
      <c r="C5" s="50" t="s">
        <v>86</v>
      </c>
      <c r="D5" s="7">
        <v>3324014643</v>
      </c>
      <c r="E5" s="7" t="s">
        <v>197</v>
      </c>
      <c r="F5" s="7">
        <v>20875349</v>
      </c>
      <c r="G5" s="7" t="s">
        <v>198</v>
      </c>
      <c r="H5" s="7" t="s">
        <v>199</v>
      </c>
      <c r="I5" s="7" t="s">
        <v>85</v>
      </c>
      <c r="J5" s="7" t="s">
        <v>84</v>
      </c>
      <c r="K5" s="49"/>
      <c r="L5" s="7" t="s">
        <v>202</v>
      </c>
      <c r="M5" s="7" t="s">
        <v>201</v>
      </c>
      <c r="N5" s="7" t="s">
        <v>200</v>
      </c>
      <c r="O5" s="7">
        <v>17</v>
      </c>
      <c r="P5" s="7">
        <v>2</v>
      </c>
      <c r="Q5" s="7">
        <v>2</v>
      </c>
      <c r="R5" s="7">
        <v>0</v>
      </c>
      <c r="S5" s="7">
        <v>0</v>
      </c>
      <c r="T5" s="32">
        <f>P5/O5</f>
        <v>0.11764705882352941</v>
      </c>
      <c r="U5" s="32">
        <f>Q5/P5</f>
        <v>1</v>
      </c>
      <c r="V5" s="7"/>
      <c r="W5" s="7"/>
      <c r="X5" s="7"/>
      <c r="Y5" s="7"/>
      <c r="Z5" s="7"/>
    </row>
    <row r="6" spans="1:26">
      <c r="A6" s="6">
        <v>46129</v>
      </c>
      <c r="B6" s="7" t="s">
        <v>206</v>
      </c>
      <c r="C6" s="50" t="s">
        <v>86</v>
      </c>
      <c r="D6" s="7">
        <v>3325254160</v>
      </c>
      <c r="E6" s="7" t="s">
        <v>268</v>
      </c>
      <c r="F6" s="7">
        <v>20887237</v>
      </c>
      <c r="G6" s="7" t="s">
        <v>198</v>
      </c>
      <c r="H6" s="7" t="s">
        <v>269</v>
      </c>
      <c r="I6" s="7" t="s">
        <v>85</v>
      </c>
      <c r="J6" s="7" t="s">
        <v>84</v>
      </c>
      <c r="K6" s="30" t="s">
        <v>207</v>
      </c>
      <c r="L6" s="7" t="s">
        <v>202</v>
      </c>
      <c r="M6" s="7" t="s">
        <v>201</v>
      </c>
      <c r="N6" s="7" t="s">
        <v>205</v>
      </c>
      <c r="O6" s="7">
        <v>23</v>
      </c>
      <c r="P6" s="7">
        <v>6</v>
      </c>
      <c r="Q6" s="7">
        <v>2</v>
      </c>
      <c r="R6" s="7">
        <v>0</v>
      </c>
      <c r="S6" s="7">
        <v>0</v>
      </c>
      <c r="T6" s="32">
        <f>P6/O6</f>
        <v>0.2608695652173913</v>
      </c>
      <c r="U6" s="32">
        <f>Q6/P6</f>
        <v>0.33333333333333331</v>
      </c>
      <c r="V6" s="7"/>
      <c r="W6" s="7"/>
      <c r="X6" s="7"/>
      <c r="Y6" s="7"/>
      <c r="Z6" s="7"/>
    </row>
    <row r="8" spans="1:26">
      <c r="A8" s="6">
        <v>46130</v>
      </c>
      <c r="B8" s="7" t="s">
        <v>26</v>
      </c>
      <c r="C8" s="50" t="s">
        <v>86</v>
      </c>
      <c r="D8" s="7">
        <v>3324014643</v>
      </c>
      <c r="E8" s="7" t="s">
        <v>197</v>
      </c>
      <c r="F8" s="7">
        <v>20875349</v>
      </c>
      <c r="G8" s="7" t="s">
        <v>198</v>
      </c>
      <c r="H8" s="7" t="s">
        <v>199</v>
      </c>
      <c r="I8" s="7" t="s">
        <v>85</v>
      </c>
      <c r="J8" s="7" t="s">
        <v>84</v>
      </c>
      <c r="K8" s="49"/>
      <c r="L8" s="7" t="s">
        <v>202</v>
      </c>
      <c r="M8" s="7" t="s">
        <v>201</v>
      </c>
      <c r="N8" s="7" t="s">
        <v>200</v>
      </c>
      <c r="O8" s="7">
        <v>15</v>
      </c>
      <c r="P8" s="7">
        <v>4</v>
      </c>
      <c r="Q8" s="7">
        <v>1</v>
      </c>
      <c r="R8" s="7">
        <v>0</v>
      </c>
      <c r="S8" s="7">
        <v>0</v>
      </c>
      <c r="T8" s="32">
        <f>P8/O8</f>
        <v>0.26666666666666666</v>
      </c>
      <c r="U8" s="32">
        <f>Q8/P8</f>
        <v>0.25</v>
      </c>
      <c r="V8" s="7"/>
      <c r="W8" s="7"/>
      <c r="X8" s="7"/>
      <c r="Y8" s="7"/>
      <c r="Z8" s="7"/>
    </row>
    <row r="9" spans="1:26">
      <c r="A9" s="6">
        <v>46130</v>
      </c>
      <c r="B9" s="7" t="s">
        <v>26</v>
      </c>
      <c r="C9" s="50" t="s">
        <v>86</v>
      </c>
      <c r="D9" s="7">
        <v>3325254160</v>
      </c>
      <c r="E9" s="7" t="s">
        <v>268</v>
      </c>
      <c r="F9" s="7">
        <v>20887237</v>
      </c>
      <c r="G9" s="7" t="s">
        <v>198</v>
      </c>
      <c r="H9" s="7" t="s">
        <v>269</v>
      </c>
      <c r="I9" s="7" t="s">
        <v>85</v>
      </c>
      <c r="J9" s="7" t="s">
        <v>84</v>
      </c>
      <c r="K9" s="30"/>
      <c r="L9" s="7" t="s">
        <v>202</v>
      </c>
      <c r="M9" s="7" t="s">
        <v>201</v>
      </c>
      <c r="N9" s="7" t="s">
        <v>205</v>
      </c>
      <c r="O9" s="7">
        <v>19</v>
      </c>
      <c r="P9" s="7">
        <v>5</v>
      </c>
      <c r="Q9" s="7">
        <v>2</v>
      </c>
      <c r="R9" s="7">
        <v>0</v>
      </c>
      <c r="S9" s="7">
        <v>0</v>
      </c>
      <c r="T9" s="32">
        <f>P9/O9</f>
        <v>0.26315789473684209</v>
      </c>
      <c r="U9" s="32">
        <f>Q9/P9</f>
        <v>0.4</v>
      </c>
      <c r="V9" s="7"/>
      <c r="W9" s="7"/>
      <c r="X9" s="7"/>
      <c r="Y9" s="7"/>
      <c r="Z9" s="7"/>
    </row>
    <row r="11" spans="1:26">
      <c r="A11" s="6">
        <v>46131</v>
      </c>
      <c r="B11" s="7" t="s">
        <v>33</v>
      </c>
      <c r="C11" s="50" t="s">
        <v>86</v>
      </c>
      <c r="D11" s="7">
        <v>3324014643</v>
      </c>
      <c r="E11" s="7" t="s">
        <v>197</v>
      </c>
      <c r="F11" s="7">
        <v>20875349</v>
      </c>
      <c r="G11" s="7" t="s">
        <v>198</v>
      </c>
      <c r="H11" s="7" t="s">
        <v>199</v>
      </c>
      <c r="I11" s="7" t="s">
        <v>85</v>
      </c>
      <c r="J11" s="7" t="s">
        <v>84</v>
      </c>
      <c r="K11" s="49"/>
      <c r="L11" s="7" t="s">
        <v>202</v>
      </c>
      <c r="M11" s="7" t="s">
        <v>201</v>
      </c>
      <c r="N11" s="7" t="s">
        <v>200</v>
      </c>
      <c r="O11" s="7">
        <v>24</v>
      </c>
      <c r="P11" s="7">
        <v>3</v>
      </c>
      <c r="Q11" s="7">
        <v>2</v>
      </c>
      <c r="R11" s="7">
        <v>0</v>
      </c>
      <c r="S11" s="7">
        <v>0</v>
      </c>
      <c r="T11" s="32">
        <f>P11/O11</f>
        <v>0.125</v>
      </c>
      <c r="U11" s="32">
        <f>Q11/P11</f>
        <v>0.66666666666666663</v>
      </c>
      <c r="V11" s="7"/>
      <c r="W11" s="7"/>
      <c r="X11" s="7"/>
      <c r="Y11" s="7"/>
      <c r="Z11" s="7"/>
    </row>
    <row r="12" spans="1:26">
      <c r="A12" s="6">
        <v>46131</v>
      </c>
      <c r="B12" s="7" t="s">
        <v>33</v>
      </c>
      <c r="C12" s="50" t="s">
        <v>86</v>
      </c>
      <c r="D12" s="7">
        <v>3325254160</v>
      </c>
      <c r="E12" s="7" t="s">
        <v>268</v>
      </c>
      <c r="F12" s="7">
        <v>20887237</v>
      </c>
      <c r="G12" s="7" t="s">
        <v>198</v>
      </c>
      <c r="H12" s="7" t="s">
        <v>269</v>
      </c>
      <c r="I12" s="7" t="s">
        <v>85</v>
      </c>
      <c r="J12" s="7" t="s">
        <v>84</v>
      </c>
      <c r="K12" s="30"/>
      <c r="L12" s="7" t="s">
        <v>202</v>
      </c>
      <c r="M12" s="7" t="s">
        <v>201</v>
      </c>
      <c r="N12" s="7" t="s">
        <v>205</v>
      </c>
      <c r="O12" s="7">
        <v>32</v>
      </c>
      <c r="P12" s="7">
        <v>3</v>
      </c>
      <c r="Q12" s="7">
        <v>2</v>
      </c>
      <c r="R12" s="7">
        <v>0</v>
      </c>
      <c r="S12" s="7">
        <v>0</v>
      </c>
      <c r="T12" s="32">
        <f>P12/O12</f>
        <v>9.375E-2</v>
      </c>
      <c r="U12" s="32">
        <f>Q12/P12</f>
        <v>0.66666666666666663</v>
      </c>
      <c r="V12" s="7"/>
      <c r="W12" s="7"/>
      <c r="X12" s="7"/>
      <c r="Y12" s="7"/>
      <c r="Z12" s="7"/>
    </row>
    <row r="14" spans="1:26">
      <c r="A14" s="6">
        <v>46132</v>
      </c>
      <c r="B14" s="7" t="s">
        <v>36</v>
      </c>
      <c r="C14" s="50" t="s">
        <v>86</v>
      </c>
      <c r="D14" s="7">
        <v>3328566299</v>
      </c>
      <c r="E14" s="7" t="s">
        <v>280</v>
      </c>
      <c r="F14" s="7">
        <v>20895381</v>
      </c>
      <c r="G14" s="7" t="s">
        <v>198</v>
      </c>
      <c r="H14" s="7" t="s">
        <v>281</v>
      </c>
      <c r="I14" s="7" t="s">
        <v>85</v>
      </c>
      <c r="J14" s="7" t="s">
        <v>84</v>
      </c>
      <c r="K14" s="49"/>
      <c r="L14" s="7" t="s">
        <v>202</v>
      </c>
      <c r="M14" s="7" t="s">
        <v>201</v>
      </c>
      <c r="N14" s="7" t="s">
        <v>279</v>
      </c>
      <c r="O14" s="7">
        <v>1843</v>
      </c>
      <c r="P14" s="7">
        <v>61</v>
      </c>
      <c r="Q14" s="7">
        <v>21</v>
      </c>
      <c r="R14" s="7">
        <v>0</v>
      </c>
      <c r="S14" s="7">
        <v>0</v>
      </c>
      <c r="T14" s="32">
        <f t="shared" ref="T14:U16" si="0">P14/O14</f>
        <v>3.3098209441128595E-2</v>
      </c>
      <c r="U14" s="32">
        <f t="shared" si="0"/>
        <v>0.34426229508196721</v>
      </c>
      <c r="V14" s="7"/>
      <c r="W14" s="7"/>
      <c r="X14" s="7"/>
      <c r="Y14" s="7"/>
      <c r="Z14" s="7"/>
    </row>
    <row r="15" spans="1:26">
      <c r="A15" s="6">
        <v>46132</v>
      </c>
      <c r="B15" s="7" t="s">
        <v>36</v>
      </c>
      <c r="C15" s="50" t="s">
        <v>86</v>
      </c>
      <c r="D15" s="7">
        <v>3324014643</v>
      </c>
      <c r="E15" s="7" t="s">
        <v>197</v>
      </c>
      <c r="F15" s="7">
        <v>20875349</v>
      </c>
      <c r="G15" s="7" t="s">
        <v>198</v>
      </c>
      <c r="H15" s="7" t="s">
        <v>199</v>
      </c>
      <c r="I15" s="7" t="s">
        <v>85</v>
      </c>
      <c r="J15" s="7" t="s">
        <v>84</v>
      </c>
      <c r="K15" s="49"/>
      <c r="L15" s="7" t="s">
        <v>202</v>
      </c>
      <c r="M15" s="7" t="s">
        <v>201</v>
      </c>
      <c r="N15" s="7" t="s">
        <v>200</v>
      </c>
      <c r="O15" s="7">
        <v>11</v>
      </c>
      <c r="P15" s="7">
        <v>1</v>
      </c>
      <c r="Q15" s="7">
        <v>0</v>
      </c>
      <c r="R15" s="7">
        <v>0</v>
      </c>
      <c r="S15" s="7">
        <v>0</v>
      </c>
      <c r="T15" s="32">
        <f t="shared" si="0"/>
        <v>9.0909090909090912E-2</v>
      </c>
      <c r="U15" s="32">
        <f t="shared" si="0"/>
        <v>0</v>
      </c>
      <c r="V15" s="7"/>
      <c r="W15" s="7"/>
      <c r="X15" s="7"/>
      <c r="Y15" s="7"/>
      <c r="Z15" s="7"/>
    </row>
    <row r="16" spans="1:26">
      <c r="A16" s="6">
        <v>46132</v>
      </c>
      <c r="B16" s="7" t="s">
        <v>36</v>
      </c>
      <c r="C16" s="50" t="s">
        <v>86</v>
      </c>
      <c r="D16" s="7">
        <v>3325254160</v>
      </c>
      <c r="E16" s="7" t="s">
        <v>268</v>
      </c>
      <c r="F16" s="7">
        <v>20887237</v>
      </c>
      <c r="G16" s="7" t="s">
        <v>198</v>
      </c>
      <c r="H16" s="7" t="s">
        <v>269</v>
      </c>
      <c r="I16" s="7" t="s">
        <v>85</v>
      </c>
      <c r="J16" s="7" t="s">
        <v>84</v>
      </c>
      <c r="K16" s="30"/>
      <c r="L16" s="7" t="s">
        <v>202</v>
      </c>
      <c r="M16" s="7" t="s">
        <v>201</v>
      </c>
      <c r="N16" s="7" t="s">
        <v>205</v>
      </c>
      <c r="O16" s="7">
        <v>24</v>
      </c>
      <c r="P16" s="7">
        <v>2</v>
      </c>
      <c r="Q16" s="7">
        <v>1</v>
      </c>
      <c r="R16" s="7">
        <v>0</v>
      </c>
      <c r="S16" s="7">
        <v>0</v>
      </c>
      <c r="T16" s="32">
        <f t="shared" si="0"/>
        <v>8.3333333333333329E-2</v>
      </c>
      <c r="U16" s="32">
        <f t="shared" si="0"/>
        <v>0.5</v>
      </c>
      <c r="V16" s="7"/>
      <c r="W16" s="7"/>
      <c r="X16" s="7"/>
      <c r="Y16" s="7"/>
      <c r="Z16" s="7"/>
    </row>
    <row r="18" spans="1:26">
      <c r="A18" s="6">
        <v>46133</v>
      </c>
      <c r="B18" s="7" t="s">
        <v>78</v>
      </c>
      <c r="C18" s="50" t="s">
        <v>86</v>
      </c>
      <c r="D18" s="7">
        <v>3328566299</v>
      </c>
      <c r="E18" s="7" t="s">
        <v>280</v>
      </c>
      <c r="F18" s="7">
        <v>20895381</v>
      </c>
      <c r="G18" s="7" t="s">
        <v>198</v>
      </c>
      <c r="H18" s="7" t="s">
        <v>281</v>
      </c>
      <c r="I18" s="7" t="s">
        <v>85</v>
      </c>
      <c r="J18" s="7" t="s">
        <v>84</v>
      </c>
      <c r="K18" s="49"/>
      <c r="L18" s="7" t="s">
        <v>202</v>
      </c>
      <c r="M18" s="7" t="s">
        <v>201</v>
      </c>
      <c r="N18" s="7" t="s">
        <v>279</v>
      </c>
      <c r="O18" s="7">
        <v>1949</v>
      </c>
      <c r="P18" s="7">
        <v>131</v>
      </c>
      <c r="Q18" s="7">
        <v>17</v>
      </c>
      <c r="R18" s="7">
        <v>0</v>
      </c>
      <c r="S18" s="7">
        <v>0</v>
      </c>
      <c r="T18" s="32">
        <f t="shared" ref="T18:U21" si="1">P18/O18</f>
        <v>6.7213955874807593E-2</v>
      </c>
      <c r="U18" s="32">
        <f t="shared" si="1"/>
        <v>0.12977099236641221</v>
      </c>
      <c r="V18" s="7"/>
      <c r="W18" s="7"/>
      <c r="X18" s="7"/>
      <c r="Y18" s="7"/>
      <c r="Z18" s="7"/>
    </row>
    <row r="19" spans="1:26">
      <c r="A19" s="6">
        <v>46133</v>
      </c>
      <c r="B19" s="7" t="s">
        <v>78</v>
      </c>
      <c r="C19" s="50" t="s">
        <v>86</v>
      </c>
      <c r="D19" s="7">
        <v>3329623467</v>
      </c>
      <c r="E19" s="7" t="s">
        <v>323</v>
      </c>
      <c r="F19" s="7">
        <v>20901515</v>
      </c>
      <c r="G19" s="7" t="s">
        <v>198</v>
      </c>
      <c r="H19" s="7" t="s">
        <v>324</v>
      </c>
      <c r="I19" s="7" t="s">
        <v>85</v>
      </c>
      <c r="J19" s="7" t="s">
        <v>84</v>
      </c>
      <c r="K19" s="49" t="s">
        <v>325</v>
      </c>
      <c r="L19" s="7" t="s">
        <v>202</v>
      </c>
      <c r="M19" s="7" t="s">
        <v>201</v>
      </c>
      <c r="N19" s="7" t="s">
        <v>279</v>
      </c>
      <c r="O19" s="7">
        <v>92</v>
      </c>
      <c r="P19" s="7">
        <v>50</v>
      </c>
      <c r="Q19" s="7">
        <v>13</v>
      </c>
      <c r="R19" s="7">
        <v>0</v>
      </c>
      <c r="S19" s="7">
        <v>0</v>
      </c>
      <c r="T19" s="32">
        <f t="shared" ref="T19" si="2">P19/O19</f>
        <v>0.54347826086956519</v>
      </c>
      <c r="U19" s="32">
        <f t="shared" ref="U19" si="3">Q19/P19</f>
        <v>0.26</v>
      </c>
      <c r="V19" s="7"/>
      <c r="W19" s="7"/>
      <c r="X19" s="7"/>
      <c r="Y19" s="7"/>
      <c r="Z19" s="7"/>
    </row>
    <row r="20" spans="1:26">
      <c r="A20" s="6">
        <v>46133</v>
      </c>
      <c r="B20" s="7" t="s">
        <v>78</v>
      </c>
      <c r="C20" s="50" t="s">
        <v>86</v>
      </c>
      <c r="D20" s="7">
        <v>3324014643</v>
      </c>
      <c r="E20" s="7" t="s">
        <v>197</v>
      </c>
      <c r="F20" s="7">
        <v>20875349</v>
      </c>
      <c r="G20" s="7" t="s">
        <v>198</v>
      </c>
      <c r="H20" s="7" t="s">
        <v>199</v>
      </c>
      <c r="I20" s="7" t="s">
        <v>85</v>
      </c>
      <c r="J20" s="7" t="s">
        <v>84</v>
      </c>
      <c r="K20" s="49"/>
      <c r="L20" s="7" t="s">
        <v>202</v>
      </c>
      <c r="M20" s="7" t="s">
        <v>201</v>
      </c>
      <c r="N20" s="7" t="s">
        <v>200</v>
      </c>
      <c r="O20" s="7">
        <v>16</v>
      </c>
      <c r="P20" s="7">
        <v>3</v>
      </c>
      <c r="Q20" s="7">
        <v>0</v>
      </c>
      <c r="R20" s="7">
        <v>0</v>
      </c>
      <c r="S20" s="7">
        <v>0</v>
      </c>
      <c r="T20" s="32">
        <f t="shared" si="1"/>
        <v>0.1875</v>
      </c>
      <c r="U20" s="32">
        <f t="shared" si="1"/>
        <v>0</v>
      </c>
      <c r="V20" s="7"/>
      <c r="W20" s="7"/>
      <c r="X20" s="7"/>
      <c r="Y20" s="7"/>
      <c r="Z20" s="7"/>
    </row>
    <row r="21" spans="1:26">
      <c r="A21" s="6">
        <v>46133</v>
      </c>
      <c r="B21" s="7" t="s">
        <v>78</v>
      </c>
      <c r="C21" s="50" t="s">
        <v>86</v>
      </c>
      <c r="D21" s="7">
        <v>3325254160</v>
      </c>
      <c r="E21" s="7" t="s">
        <v>268</v>
      </c>
      <c r="F21" s="7">
        <v>20887237</v>
      </c>
      <c r="G21" s="7" t="s">
        <v>198</v>
      </c>
      <c r="H21" s="7" t="s">
        <v>269</v>
      </c>
      <c r="I21" s="7" t="s">
        <v>85</v>
      </c>
      <c r="J21" s="7" t="s">
        <v>84</v>
      </c>
      <c r="K21" s="30"/>
      <c r="L21" s="7" t="s">
        <v>202</v>
      </c>
      <c r="M21" s="7" t="s">
        <v>201</v>
      </c>
      <c r="N21" s="7" t="s">
        <v>205</v>
      </c>
      <c r="O21" s="7">
        <v>23</v>
      </c>
      <c r="P21" s="7">
        <v>4</v>
      </c>
      <c r="Q21" s="7">
        <v>3</v>
      </c>
      <c r="R21" s="7">
        <v>0</v>
      </c>
      <c r="S21" s="7">
        <v>0</v>
      </c>
      <c r="T21" s="32">
        <f t="shared" si="1"/>
        <v>0.17391304347826086</v>
      </c>
      <c r="U21" s="32">
        <f t="shared" si="1"/>
        <v>0.75</v>
      </c>
      <c r="V21" s="7"/>
      <c r="W21" s="7"/>
      <c r="X21" s="7"/>
      <c r="Y21" s="7"/>
      <c r="Z21" s="7"/>
    </row>
    <row r="23" spans="1:26">
      <c r="A23" s="6">
        <v>46134</v>
      </c>
      <c r="B23" s="7" t="s">
        <v>124</v>
      </c>
      <c r="C23" s="50" t="s">
        <v>86</v>
      </c>
      <c r="D23" s="7">
        <v>3328566299</v>
      </c>
      <c r="E23" s="7" t="s">
        <v>280</v>
      </c>
      <c r="F23" s="7">
        <v>20895381</v>
      </c>
      <c r="G23" s="7" t="s">
        <v>198</v>
      </c>
      <c r="H23" s="7" t="s">
        <v>281</v>
      </c>
      <c r="I23" s="7" t="s">
        <v>85</v>
      </c>
      <c r="J23" s="7" t="s">
        <v>84</v>
      </c>
      <c r="K23" s="49"/>
      <c r="L23" s="7" t="s">
        <v>202</v>
      </c>
      <c r="M23" s="7" t="s">
        <v>201</v>
      </c>
      <c r="N23" s="7" t="s">
        <v>279</v>
      </c>
      <c r="O23" s="7">
        <v>1734</v>
      </c>
      <c r="P23" s="7">
        <v>102</v>
      </c>
      <c r="Q23" s="7">
        <v>12</v>
      </c>
      <c r="R23" s="7">
        <v>0</v>
      </c>
      <c r="S23" s="7">
        <v>0</v>
      </c>
      <c r="T23" s="32">
        <f t="shared" ref="T23:T26" si="4">P23/O23</f>
        <v>5.8823529411764705E-2</v>
      </c>
      <c r="U23" s="32">
        <f t="shared" ref="U23:U26" si="5">Q23/P23</f>
        <v>0.11764705882352941</v>
      </c>
      <c r="V23" s="7"/>
      <c r="W23" s="7"/>
      <c r="X23" s="7"/>
      <c r="Y23" s="7"/>
      <c r="Z23" s="7"/>
    </row>
    <row r="24" spans="1:26">
      <c r="A24" s="6">
        <v>46134</v>
      </c>
      <c r="B24" s="7" t="s">
        <v>124</v>
      </c>
      <c r="C24" s="50" t="s">
        <v>86</v>
      </c>
      <c r="D24" s="7">
        <v>3329623467</v>
      </c>
      <c r="E24" s="7" t="s">
        <v>323</v>
      </c>
      <c r="F24" s="7">
        <v>20901515</v>
      </c>
      <c r="G24" s="7" t="s">
        <v>198</v>
      </c>
      <c r="H24" s="7" t="s">
        <v>324</v>
      </c>
      <c r="I24" s="7" t="s">
        <v>85</v>
      </c>
      <c r="J24" s="7" t="s">
        <v>84</v>
      </c>
      <c r="K24" s="49"/>
      <c r="L24" s="7" t="s">
        <v>202</v>
      </c>
      <c r="M24" s="7" t="s">
        <v>201</v>
      </c>
      <c r="N24" s="7" t="s">
        <v>279</v>
      </c>
      <c r="O24" s="7">
        <v>95</v>
      </c>
      <c r="P24" s="7">
        <v>30</v>
      </c>
      <c r="Q24" s="7">
        <v>14</v>
      </c>
      <c r="R24" s="7">
        <v>0</v>
      </c>
      <c r="S24" s="7">
        <v>0</v>
      </c>
      <c r="T24" s="32">
        <f t="shared" si="4"/>
        <v>0.31578947368421051</v>
      </c>
      <c r="U24" s="32">
        <f t="shared" si="5"/>
        <v>0.46666666666666667</v>
      </c>
      <c r="V24" s="7"/>
      <c r="W24" s="7"/>
      <c r="X24" s="7"/>
      <c r="Y24" s="7"/>
      <c r="Z24" s="7"/>
    </row>
    <row r="25" spans="1:26">
      <c r="A25" s="6">
        <v>46134</v>
      </c>
      <c r="B25" s="7" t="s">
        <v>124</v>
      </c>
      <c r="C25" s="50" t="s">
        <v>86</v>
      </c>
      <c r="D25" s="7">
        <v>3324014643</v>
      </c>
      <c r="E25" s="7" t="s">
        <v>197</v>
      </c>
      <c r="F25" s="7">
        <v>20875349</v>
      </c>
      <c r="G25" s="7" t="s">
        <v>198</v>
      </c>
      <c r="H25" s="7" t="s">
        <v>199</v>
      </c>
      <c r="I25" s="7" t="s">
        <v>85</v>
      </c>
      <c r="J25" s="7" t="s">
        <v>84</v>
      </c>
      <c r="K25" s="49"/>
      <c r="L25" s="7" t="s">
        <v>202</v>
      </c>
      <c r="M25" s="7" t="s">
        <v>201</v>
      </c>
      <c r="N25" s="7" t="s">
        <v>200</v>
      </c>
      <c r="O25" s="7">
        <v>14</v>
      </c>
      <c r="P25" s="7">
        <v>0</v>
      </c>
      <c r="Q25" s="7">
        <v>0</v>
      </c>
      <c r="R25" s="7">
        <v>0</v>
      </c>
      <c r="S25" s="7">
        <v>0</v>
      </c>
      <c r="T25" s="32">
        <f t="shared" si="4"/>
        <v>0</v>
      </c>
      <c r="U25" s="32" t="e">
        <f t="shared" si="5"/>
        <v>#DIV/0!</v>
      </c>
      <c r="V25" s="7"/>
      <c r="W25" s="7"/>
      <c r="X25" s="7"/>
      <c r="Y25" s="7"/>
      <c r="Z25" s="7"/>
    </row>
    <row r="26" spans="1:26">
      <c r="A26" s="6">
        <v>46134</v>
      </c>
      <c r="B26" s="7" t="s">
        <v>124</v>
      </c>
      <c r="C26" s="50" t="s">
        <v>86</v>
      </c>
      <c r="D26" s="7">
        <v>3325254160</v>
      </c>
      <c r="E26" s="7" t="s">
        <v>268</v>
      </c>
      <c r="F26" s="7">
        <v>20887237</v>
      </c>
      <c r="G26" s="7" t="s">
        <v>198</v>
      </c>
      <c r="H26" s="7" t="s">
        <v>269</v>
      </c>
      <c r="I26" s="7" t="s">
        <v>85</v>
      </c>
      <c r="J26" s="7" t="s">
        <v>84</v>
      </c>
      <c r="K26" s="30"/>
      <c r="L26" s="7" t="s">
        <v>202</v>
      </c>
      <c r="M26" s="7" t="s">
        <v>201</v>
      </c>
      <c r="N26" s="7" t="s">
        <v>205</v>
      </c>
      <c r="O26" s="7">
        <v>28</v>
      </c>
      <c r="P26" s="7">
        <v>0</v>
      </c>
      <c r="Q26" s="7">
        <v>0</v>
      </c>
      <c r="R26" s="7">
        <v>0</v>
      </c>
      <c r="S26" s="7">
        <v>0</v>
      </c>
      <c r="T26" s="32">
        <f t="shared" si="4"/>
        <v>0</v>
      </c>
      <c r="U26" s="32" t="e">
        <f t="shared" si="5"/>
        <v>#DIV/0!</v>
      </c>
      <c r="V26" s="7"/>
      <c r="W26" s="7"/>
      <c r="X26" s="7"/>
      <c r="Y26" s="7"/>
      <c r="Z26" s="7"/>
    </row>
    <row r="28" spans="1:26">
      <c r="A28" s="6">
        <v>46135</v>
      </c>
      <c r="B28" s="7" t="s">
        <v>166</v>
      </c>
      <c r="C28" s="50" t="s">
        <v>86</v>
      </c>
      <c r="D28" s="7">
        <v>3328566299</v>
      </c>
      <c r="E28" s="7" t="s">
        <v>280</v>
      </c>
      <c r="F28" s="7">
        <v>20895381</v>
      </c>
      <c r="G28" s="7" t="s">
        <v>198</v>
      </c>
      <c r="H28" s="7" t="s">
        <v>281</v>
      </c>
      <c r="I28" s="7" t="s">
        <v>85</v>
      </c>
      <c r="J28" s="7" t="s">
        <v>84</v>
      </c>
      <c r="K28" s="49"/>
      <c r="L28" s="7" t="s">
        <v>202</v>
      </c>
      <c r="M28" s="7" t="s">
        <v>201</v>
      </c>
      <c r="N28" s="7" t="s">
        <v>279</v>
      </c>
      <c r="O28" s="7">
        <v>1734</v>
      </c>
      <c r="P28" s="7">
        <v>102</v>
      </c>
      <c r="Q28" s="7">
        <v>12</v>
      </c>
      <c r="R28" s="7">
        <v>0</v>
      </c>
      <c r="S28" s="7">
        <v>0</v>
      </c>
      <c r="T28" s="32">
        <f t="shared" ref="T28:T31" si="6">P28/O28</f>
        <v>5.8823529411764705E-2</v>
      </c>
      <c r="U28" s="32">
        <f t="shared" ref="U28:U31" si="7">Q28/P28</f>
        <v>0.11764705882352941</v>
      </c>
      <c r="V28" s="7"/>
      <c r="W28" s="7"/>
      <c r="X28" s="7"/>
      <c r="Y28" s="7"/>
      <c r="Z28" s="7"/>
    </row>
    <row r="29" spans="1:26">
      <c r="A29" s="6">
        <v>46135</v>
      </c>
      <c r="B29" s="7" t="s">
        <v>166</v>
      </c>
      <c r="C29" s="50" t="s">
        <v>86</v>
      </c>
      <c r="D29" s="7">
        <v>3329623467</v>
      </c>
      <c r="E29" s="7" t="s">
        <v>323</v>
      </c>
      <c r="F29" s="7">
        <v>20901515</v>
      </c>
      <c r="G29" s="7" t="s">
        <v>198</v>
      </c>
      <c r="H29" s="7" t="s">
        <v>324</v>
      </c>
      <c r="I29" s="7" t="s">
        <v>85</v>
      </c>
      <c r="J29" s="7" t="s">
        <v>84</v>
      </c>
      <c r="K29" s="49"/>
      <c r="L29" s="7" t="s">
        <v>202</v>
      </c>
      <c r="M29" s="7" t="s">
        <v>201</v>
      </c>
      <c r="N29" s="7" t="s">
        <v>279</v>
      </c>
      <c r="O29" s="7">
        <v>95</v>
      </c>
      <c r="P29" s="7">
        <v>30</v>
      </c>
      <c r="Q29" s="7">
        <v>14</v>
      </c>
      <c r="R29" s="7">
        <v>0</v>
      </c>
      <c r="S29" s="7">
        <v>0</v>
      </c>
      <c r="T29" s="32">
        <f t="shared" si="6"/>
        <v>0.31578947368421051</v>
      </c>
      <c r="U29" s="32">
        <f t="shared" si="7"/>
        <v>0.46666666666666667</v>
      </c>
      <c r="V29" s="7"/>
      <c r="W29" s="7"/>
      <c r="X29" s="7"/>
      <c r="Y29" s="7"/>
      <c r="Z29" s="7"/>
    </row>
    <row r="30" spans="1:26">
      <c r="A30" s="6">
        <v>46135</v>
      </c>
      <c r="B30" s="7" t="s">
        <v>166</v>
      </c>
      <c r="C30" s="50" t="s">
        <v>86</v>
      </c>
      <c r="D30" s="7">
        <v>3324014643</v>
      </c>
      <c r="E30" s="7" t="s">
        <v>197</v>
      </c>
      <c r="F30" s="7">
        <v>20875349</v>
      </c>
      <c r="G30" s="7" t="s">
        <v>198</v>
      </c>
      <c r="H30" s="7" t="s">
        <v>199</v>
      </c>
      <c r="I30" s="7" t="s">
        <v>85</v>
      </c>
      <c r="J30" s="7" t="s">
        <v>84</v>
      </c>
      <c r="K30" s="49"/>
      <c r="L30" s="7" t="s">
        <v>202</v>
      </c>
      <c r="M30" s="7" t="s">
        <v>201</v>
      </c>
      <c r="N30" s="7" t="s">
        <v>200</v>
      </c>
      <c r="O30" s="7">
        <v>14</v>
      </c>
      <c r="P30" s="7">
        <v>0</v>
      </c>
      <c r="Q30" s="7">
        <v>0</v>
      </c>
      <c r="R30" s="7">
        <v>0</v>
      </c>
      <c r="S30" s="7">
        <v>0</v>
      </c>
      <c r="T30" s="32">
        <f t="shared" si="6"/>
        <v>0</v>
      </c>
      <c r="U30" s="32" t="e">
        <f t="shared" si="7"/>
        <v>#DIV/0!</v>
      </c>
      <c r="V30" s="7"/>
      <c r="W30" s="7"/>
      <c r="X30" s="7"/>
      <c r="Y30" s="7"/>
      <c r="Z30" s="7"/>
    </row>
    <row r="31" spans="1:26">
      <c r="A31" s="6">
        <v>46135</v>
      </c>
      <c r="B31" s="7" t="s">
        <v>166</v>
      </c>
      <c r="C31" s="50" t="s">
        <v>86</v>
      </c>
      <c r="D31" s="7">
        <v>3325254160</v>
      </c>
      <c r="E31" s="7" t="s">
        <v>268</v>
      </c>
      <c r="F31" s="7">
        <v>20887237</v>
      </c>
      <c r="G31" s="7" t="s">
        <v>198</v>
      </c>
      <c r="H31" s="7" t="s">
        <v>269</v>
      </c>
      <c r="I31" s="7" t="s">
        <v>85</v>
      </c>
      <c r="J31" s="7" t="s">
        <v>84</v>
      </c>
      <c r="K31" s="30"/>
      <c r="L31" s="7" t="s">
        <v>202</v>
      </c>
      <c r="M31" s="7" t="s">
        <v>201</v>
      </c>
      <c r="N31" s="7" t="s">
        <v>205</v>
      </c>
      <c r="O31" s="7">
        <v>28</v>
      </c>
      <c r="P31" s="7">
        <v>0</v>
      </c>
      <c r="Q31" s="7">
        <v>0</v>
      </c>
      <c r="R31" s="7">
        <v>0</v>
      </c>
      <c r="S31" s="7">
        <v>0</v>
      </c>
      <c r="T31" s="32">
        <f t="shared" si="6"/>
        <v>0</v>
      </c>
      <c r="U31" s="32" t="e">
        <f t="shared" si="7"/>
        <v>#DIV/0!</v>
      </c>
      <c r="V31" s="7"/>
      <c r="W31" s="7"/>
      <c r="X31" s="7"/>
      <c r="Y31" s="7"/>
      <c r="Z31" s="7"/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AD014-3B4C-40C4-BAD4-056C561B1B7F}">
  <sheetPr>
    <tabColor rgb="FFFF0000"/>
  </sheetPr>
  <dimension ref="A1:Z6"/>
  <sheetViews>
    <sheetView workbookViewId="0">
      <selection activeCell="A5" sqref="A5:XFD6"/>
    </sheetView>
  </sheetViews>
  <sheetFormatPr defaultRowHeight="14.4"/>
  <cols>
    <col min="1" max="1" width="10.33203125" bestFit="1" customWidth="1"/>
    <col min="2" max="2" width="4.77734375" bestFit="1" customWidth="1"/>
    <col min="3" max="3" width="4.88671875" bestFit="1" customWidth="1"/>
    <col min="4" max="4" width="11" bestFit="1" customWidth="1"/>
    <col min="5" max="5" width="41.5546875" bestFit="1" customWidth="1"/>
    <col min="6" max="6" width="10.21875" bestFit="1" customWidth="1"/>
    <col min="7" max="7" width="16.88671875" bestFit="1" customWidth="1"/>
    <col min="8" max="8" width="54.44140625" bestFit="1" customWidth="1"/>
    <col min="9" max="9" width="3.88671875" bestFit="1" customWidth="1"/>
    <col min="10" max="10" width="8.5546875" bestFit="1" customWidth="1"/>
    <col min="11" max="11" width="8.77734375" bestFit="1" customWidth="1"/>
    <col min="12" max="12" width="7.5546875" bestFit="1" customWidth="1"/>
    <col min="13" max="13" width="15.44140625" bestFit="1" customWidth="1"/>
    <col min="14" max="14" width="31.33203125" bestFit="1" customWidth="1"/>
    <col min="15" max="15" width="5.6640625" bestFit="1" customWidth="1"/>
    <col min="16" max="17" width="5.33203125" bestFit="1" customWidth="1"/>
    <col min="18" max="18" width="6" bestFit="1" customWidth="1"/>
    <col min="19" max="19" width="7.6640625" bestFit="1" customWidth="1"/>
    <col min="20" max="21" width="7.33203125" bestFit="1" customWidth="1"/>
    <col min="22" max="22" width="4.88671875" bestFit="1" customWidth="1"/>
    <col min="23" max="23" width="7.6640625" bestFit="1" customWidth="1"/>
    <col min="24" max="24" width="8" bestFit="1" customWidth="1"/>
    <col min="25" max="25" width="3.88671875" bestFit="1" customWidth="1"/>
    <col min="26" max="26" width="5.5546875" bestFit="1" customWidth="1"/>
  </cols>
  <sheetData>
    <row r="1" spans="1:26" ht="17.399999999999999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37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3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3" t="s">
        <v>25</v>
      </c>
    </row>
    <row r="2" spans="1:26">
      <c r="A2" s="6">
        <v>46134</v>
      </c>
      <c r="B2" s="7" t="s">
        <v>124</v>
      </c>
      <c r="C2" s="50" t="s">
        <v>86</v>
      </c>
      <c r="D2" s="7">
        <v>3331048392</v>
      </c>
      <c r="E2" s="7" t="s">
        <v>416</v>
      </c>
      <c r="F2" s="7">
        <v>20912875</v>
      </c>
      <c r="G2" s="7" t="s">
        <v>27</v>
      </c>
      <c r="H2" s="77" t="s">
        <v>418</v>
      </c>
      <c r="I2" s="7" t="s">
        <v>85</v>
      </c>
      <c r="J2" s="7" t="s">
        <v>84</v>
      </c>
      <c r="K2" s="49"/>
      <c r="L2" s="7" t="s">
        <v>202</v>
      </c>
      <c r="M2" s="7" t="s">
        <v>27</v>
      </c>
      <c r="N2" s="7" t="s">
        <v>415</v>
      </c>
      <c r="O2" s="7">
        <v>1650</v>
      </c>
      <c r="P2" s="7">
        <v>112</v>
      </c>
      <c r="Q2" s="7">
        <v>18</v>
      </c>
      <c r="R2" s="7">
        <v>0</v>
      </c>
      <c r="S2" s="7">
        <v>0</v>
      </c>
      <c r="T2" s="32">
        <f t="shared" ref="T2:U3" si="0">P2/O2</f>
        <v>6.7878787878787886E-2</v>
      </c>
      <c r="U2" s="32">
        <f t="shared" si="0"/>
        <v>0.16071428571428573</v>
      </c>
      <c r="V2" s="7"/>
      <c r="W2" s="7"/>
      <c r="X2" s="7"/>
      <c r="Y2" s="7"/>
      <c r="Z2" s="7"/>
    </row>
    <row r="3" spans="1:26">
      <c r="A3" s="6">
        <v>46134</v>
      </c>
      <c r="B3" s="7" t="s">
        <v>124</v>
      </c>
      <c r="C3" s="50" t="s">
        <v>86</v>
      </c>
      <c r="D3" s="7">
        <v>3331056749</v>
      </c>
      <c r="E3" s="7" t="s">
        <v>417</v>
      </c>
      <c r="F3" s="7">
        <v>20913064</v>
      </c>
      <c r="G3" s="7" t="s">
        <v>27</v>
      </c>
      <c r="H3" s="77" t="s">
        <v>375</v>
      </c>
      <c r="I3" s="7" t="s">
        <v>85</v>
      </c>
      <c r="J3" s="7" t="s">
        <v>84</v>
      </c>
      <c r="K3" s="49"/>
      <c r="L3" s="7" t="s">
        <v>202</v>
      </c>
      <c r="M3" s="7" t="s">
        <v>27</v>
      </c>
      <c r="N3" s="7" t="s">
        <v>415</v>
      </c>
      <c r="O3" s="7">
        <v>89</v>
      </c>
      <c r="P3" s="7">
        <v>88</v>
      </c>
      <c r="Q3" s="7">
        <v>4</v>
      </c>
      <c r="R3" s="7">
        <v>0</v>
      </c>
      <c r="S3" s="7">
        <v>0</v>
      </c>
      <c r="T3" s="32">
        <f t="shared" si="0"/>
        <v>0.9887640449438202</v>
      </c>
      <c r="U3" s="32">
        <f t="shared" si="0"/>
        <v>4.5454545454545456E-2</v>
      </c>
      <c r="V3" s="7"/>
      <c r="W3" s="7"/>
      <c r="X3" s="7"/>
      <c r="Y3" s="7"/>
      <c r="Z3" s="7"/>
    </row>
    <row r="5" spans="1:26">
      <c r="A5" s="6">
        <v>46135</v>
      </c>
      <c r="B5" s="7" t="s">
        <v>166</v>
      </c>
      <c r="C5" s="50" t="s">
        <v>86</v>
      </c>
      <c r="D5" s="7">
        <v>3331048392</v>
      </c>
      <c r="E5" s="7" t="s">
        <v>416</v>
      </c>
      <c r="F5" s="7">
        <v>20912875</v>
      </c>
      <c r="G5" s="7" t="s">
        <v>27</v>
      </c>
      <c r="H5" s="77" t="s">
        <v>418</v>
      </c>
      <c r="I5" s="7" t="s">
        <v>85</v>
      </c>
      <c r="J5" s="7" t="s">
        <v>84</v>
      </c>
      <c r="K5" s="49"/>
      <c r="L5" s="7" t="s">
        <v>202</v>
      </c>
      <c r="M5" s="7" t="s">
        <v>27</v>
      </c>
      <c r="N5" s="7" t="s">
        <v>415</v>
      </c>
      <c r="O5" s="7">
        <v>1650</v>
      </c>
      <c r="P5" s="7">
        <v>112</v>
      </c>
      <c r="Q5" s="7">
        <v>18</v>
      </c>
      <c r="R5" s="7">
        <v>0</v>
      </c>
      <c r="S5" s="7">
        <v>0</v>
      </c>
      <c r="T5" s="32">
        <f t="shared" ref="T5:T6" si="1">P5/O5</f>
        <v>6.7878787878787886E-2</v>
      </c>
      <c r="U5" s="32">
        <f t="shared" ref="U5:U6" si="2">Q5/P5</f>
        <v>0.16071428571428573</v>
      </c>
      <c r="V5" s="7"/>
      <c r="W5" s="7"/>
      <c r="X5" s="7"/>
      <c r="Y5" s="7"/>
      <c r="Z5" s="7"/>
    </row>
    <row r="6" spans="1:26">
      <c r="A6" s="6">
        <v>46135</v>
      </c>
      <c r="B6" s="7" t="s">
        <v>166</v>
      </c>
      <c r="C6" s="50" t="s">
        <v>86</v>
      </c>
      <c r="D6" s="7">
        <v>3331056749</v>
      </c>
      <c r="E6" s="7" t="s">
        <v>417</v>
      </c>
      <c r="F6" s="7">
        <v>20913064</v>
      </c>
      <c r="G6" s="7" t="s">
        <v>27</v>
      </c>
      <c r="H6" s="77" t="s">
        <v>375</v>
      </c>
      <c r="I6" s="7" t="s">
        <v>85</v>
      </c>
      <c r="J6" s="7" t="s">
        <v>84</v>
      </c>
      <c r="K6" s="49"/>
      <c r="L6" s="7" t="s">
        <v>202</v>
      </c>
      <c r="M6" s="7" t="s">
        <v>27</v>
      </c>
      <c r="N6" s="7" t="s">
        <v>415</v>
      </c>
      <c r="O6" s="7">
        <v>89</v>
      </c>
      <c r="P6" s="7">
        <v>88</v>
      </c>
      <c r="Q6" s="7">
        <v>4</v>
      </c>
      <c r="R6" s="7">
        <v>0</v>
      </c>
      <c r="S6" s="7">
        <v>0</v>
      </c>
      <c r="T6" s="32">
        <f t="shared" si="1"/>
        <v>0.9887640449438202</v>
      </c>
      <c r="U6" s="32">
        <f t="shared" si="2"/>
        <v>4.5454545454545456E-2</v>
      </c>
      <c r="V6" s="7"/>
      <c r="W6" s="7"/>
      <c r="X6" s="7"/>
      <c r="Y6" s="7"/>
      <c r="Z6" s="7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AdvanceBucket</vt:lpstr>
      <vt:lpstr>CapitalLendify</vt:lpstr>
      <vt:lpstr>FundMestro</vt:lpstr>
      <vt:lpstr>NextDollarPro</vt:lpstr>
      <vt:lpstr>FirstAssistLends</vt:lpstr>
      <vt:lpstr>CapitalPros</vt:lpstr>
      <vt:lpstr>SmartPayBuddy</vt:lpstr>
      <vt:lpstr>TapCashier</vt:lpstr>
      <vt:lpstr>SmartLendings</vt:lpstr>
      <vt:lpstr>Reports</vt:lpstr>
      <vt:lpstr>Ongage</vt:lpstr>
      <vt:lpstr>Customer.io</vt:lpstr>
      <vt:lpstr>Cashflowconnects_Gmail</vt:lpstr>
      <vt:lpstr>SmartPayBuddy_Gmail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Shrivastava || Vellko Media</dc:creator>
  <cp:lastModifiedBy>Priyanshul Tiwari</cp:lastModifiedBy>
  <dcterms:created xsi:type="dcterms:W3CDTF">2015-06-05T18:17:20Z</dcterms:created>
  <dcterms:modified xsi:type="dcterms:W3CDTF">2026-05-04T15:58:56Z</dcterms:modified>
</cp:coreProperties>
</file>